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codeName="ThisWorkbook" defaultThemeVersion="124226"/>
  <bookViews>
    <workbookView xWindow="480" yWindow="240" windowWidth="12396" windowHeight="7728" tabRatio="449" activeTab="1"/>
  </bookViews>
  <sheets>
    <sheet name="项目总工作量" sheetId="7" r:id="rId1"/>
    <sheet name="事务功能" sheetId="4" r:id="rId2"/>
    <sheet name="数据功能" sheetId="2" r:id="rId3"/>
    <sheet name="非功能点估算表" sheetId="6" r:id="rId4"/>
  </sheets>
  <functionGroups builtInGroupCount="17"/>
  <definedNames>
    <definedName name="DET">数据功能!#REF!</definedName>
    <definedName name="DType">事务功能!$G$1</definedName>
    <definedName name="FPRating">数据功能!$D:$D</definedName>
    <definedName name="FTR">数据功能!#REF!</definedName>
    <definedName name="TType">数据功能!$C:$C</definedName>
  </definedNames>
  <calcPr calcId="145621"/>
</workbook>
</file>

<file path=xl/calcChain.xml><?xml version="1.0" encoding="utf-8"?>
<calcChain xmlns="http://schemas.openxmlformats.org/spreadsheetml/2006/main">
  <c r="H57" i="4" l="1"/>
  <c r="H58" i="4" s="1"/>
  <c r="H56" i="4"/>
  <c r="H55" i="4"/>
  <c r="H54" i="4"/>
  <c r="H53" i="4"/>
  <c r="H52" i="4"/>
  <c r="H51" i="4"/>
  <c r="H50" i="4"/>
  <c r="E58" i="4"/>
  <c r="H39" i="4"/>
  <c r="H18" i="4"/>
  <c r="H17" i="4"/>
  <c r="H12" i="4"/>
  <c r="I12" i="4" s="1"/>
  <c r="D12" i="4" s="1"/>
  <c r="H14" i="4"/>
  <c r="I14" i="4" s="1"/>
  <c r="D14" i="4" s="1"/>
  <c r="H10" i="4"/>
  <c r="I10" i="4" s="1"/>
  <c r="D10" i="4" s="1"/>
  <c r="I15" i="7" l="1"/>
  <c r="G15" i="6" l="1"/>
  <c r="G14" i="6"/>
  <c r="G13" i="6"/>
  <c r="G12" i="6"/>
  <c r="G11" i="6"/>
  <c r="G20" i="6"/>
  <c r="G19" i="6"/>
  <c r="G18" i="6"/>
  <c r="G17" i="6"/>
  <c r="G16" i="6"/>
  <c r="D81" i="2"/>
  <c r="E81" i="2" s="1"/>
  <c r="D80" i="2"/>
  <c r="E80" i="2" s="1"/>
  <c r="D79" i="2"/>
  <c r="E79" i="2" s="1"/>
  <c r="D78" i="2"/>
  <c r="E78" i="2" s="1"/>
  <c r="D77" i="2"/>
  <c r="E77" i="2" s="1"/>
  <c r="D76" i="2"/>
  <c r="E76" i="2" s="1"/>
  <c r="D75" i="2"/>
  <c r="E75" i="2" s="1"/>
  <c r="D74" i="2"/>
  <c r="E74" i="2" s="1"/>
  <c r="D73" i="2"/>
  <c r="E73" i="2" s="1"/>
  <c r="D72" i="2"/>
  <c r="E72" i="2" s="1"/>
  <c r="D71" i="2"/>
  <c r="E71" i="2" s="1"/>
  <c r="D70" i="2"/>
  <c r="E70" i="2" s="1"/>
  <c r="D69" i="2"/>
  <c r="E69" i="2" s="1"/>
  <c r="D68" i="2"/>
  <c r="E68" i="2" s="1"/>
  <c r="D67" i="2"/>
  <c r="E67" i="2" s="1"/>
  <c r="D66" i="2"/>
  <c r="E66" i="2" s="1"/>
  <c r="D65" i="2"/>
  <c r="E65" i="2" s="1"/>
  <c r="D64" i="2"/>
  <c r="E64" i="2" s="1"/>
  <c r="D63" i="2"/>
  <c r="E63" i="2" s="1"/>
  <c r="D62" i="2"/>
  <c r="E62" i="2" s="1"/>
  <c r="D61" i="2"/>
  <c r="E61" i="2" s="1"/>
  <c r="D60" i="2"/>
  <c r="E60" i="2" s="1"/>
  <c r="D59" i="2"/>
  <c r="E59" i="2" s="1"/>
  <c r="D58" i="2"/>
  <c r="E58" i="2" s="1"/>
  <c r="D57" i="2"/>
  <c r="E57" i="2" s="1"/>
  <c r="D56" i="2"/>
  <c r="E56" i="2" s="1"/>
  <c r="D55" i="2"/>
  <c r="E55" i="2" s="1"/>
  <c r="D54" i="2"/>
  <c r="E54" i="2" s="1"/>
  <c r="D53" i="2"/>
  <c r="E53" i="2" s="1"/>
  <c r="D52" i="2"/>
  <c r="E52" i="2" s="1"/>
  <c r="D51" i="2"/>
  <c r="E51" i="2" s="1"/>
  <c r="D50" i="2"/>
  <c r="E50" i="2" s="1"/>
  <c r="D49" i="2"/>
  <c r="E49" i="2" s="1"/>
  <c r="D48" i="2"/>
  <c r="E48" i="2" s="1"/>
  <c r="D47" i="2"/>
  <c r="E47" i="2" s="1"/>
  <c r="D46" i="2"/>
  <c r="E46" i="2" s="1"/>
  <c r="D45" i="2"/>
  <c r="E45" i="2" s="1"/>
  <c r="D44" i="2"/>
  <c r="E44" i="2" s="1"/>
  <c r="D43" i="2"/>
  <c r="E43" i="2" s="1"/>
  <c r="D86" i="2"/>
  <c r="E86" i="2" s="1"/>
  <c r="D85" i="2"/>
  <c r="E85" i="2" s="1"/>
  <c r="D84" i="2"/>
  <c r="E84" i="2" s="1"/>
  <c r="D83" i="2"/>
  <c r="E83" i="2" s="1"/>
  <c r="D82" i="2"/>
  <c r="E82" i="2" s="1"/>
  <c r="D42" i="2"/>
  <c r="E42" i="2" s="1"/>
  <c r="D41" i="2"/>
  <c r="E41" i="2" s="1"/>
  <c r="D40" i="2"/>
  <c r="E40" i="2" s="1"/>
  <c r="D39" i="2"/>
  <c r="E39" i="2" s="1"/>
  <c r="D38" i="2"/>
  <c r="E38" i="2" s="1"/>
  <c r="D37" i="2"/>
  <c r="E37" i="2" s="1"/>
  <c r="D36" i="2"/>
  <c r="E36" i="2" s="1"/>
  <c r="D35" i="2"/>
  <c r="E35" i="2" s="1"/>
  <c r="D34" i="2"/>
  <c r="E34" i="2" s="1"/>
  <c r="D33" i="2"/>
  <c r="E33" i="2" s="1"/>
  <c r="D32" i="2"/>
  <c r="E32" i="2" s="1"/>
  <c r="D31" i="2"/>
  <c r="E31" i="2" s="1"/>
  <c r="D30" i="2"/>
  <c r="E30" i="2" s="1"/>
  <c r="D29" i="2"/>
  <c r="E29" i="2" s="1"/>
  <c r="H31" i="4"/>
  <c r="I31" i="4" s="1"/>
  <c r="D31" i="4" s="1"/>
  <c r="H30" i="4"/>
  <c r="I30" i="4" s="1"/>
  <c r="D30" i="4" s="1"/>
  <c r="H29" i="4"/>
  <c r="I29" i="4" s="1"/>
  <c r="D29" i="4" s="1"/>
  <c r="H28" i="4"/>
  <c r="I28" i="4" s="1"/>
  <c r="D28" i="4" s="1"/>
  <c r="H25" i="4"/>
  <c r="H24" i="4"/>
  <c r="H16" i="4"/>
  <c r="I16" i="4" s="1"/>
  <c r="D16" i="4" s="1"/>
  <c r="H13" i="4"/>
  <c r="I13" i="4" s="1"/>
  <c r="D13" i="4" s="1"/>
  <c r="H11" i="4"/>
  <c r="I11" i="4" s="1"/>
  <c r="D11" i="4" s="1"/>
  <c r="H9" i="4"/>
  <c r="I9" i="4" s="1"/>
  <c r="D9" i="4" s="1"/>
  <c r="H8" i="4"/>
  <c r="I8" i="4" s="1"/>
  <c r="D8" i="4" s="1"/>
  <c r="H7" i="4"/>
  <c r="I7" i="4" s="1"/>
  <c r="D7" i="4" s="1"/>
  <c r="H6" i="4"/>
  <c r="I6" i="4" s="1"/>
  <c r="D6" i="4" s="1"/>
  <c r="H5" i="4"/>
  <c r="I5" i="4" s="1"/>
  <c r="D5" i="4" s="1"/>
  <c r="H4" i="4"/>
  <c r="H48" i="4"/>
  <c r="I48" i="4" s="1"/>
  <c r="D48" i="4" s="1"/>
  <c r="H47" i="4"/>
  <c r="I47" i="4" s="1"/>
  <c r="D47" i="4" s="1"/>
  <c r="H46" i="4"/>
  <c r="I46" i="4" s="1"/>
  <c r="D46" i="4" s="1"/>
  <c r="H45" i="4"/>
  <c r="I45" i="4" s="1"/>
  <c r="D45" i="4" s="1"/>
  <c r="H44" i="4"/>
  <c r="I44" i="4" s="1"/>
  <c r="D44" i="4" s="1"/>
  <c r="H43" i="4"/>
  <c r="I43" i="4" s="1"/>
  <c r="D43" i="4" s="1"/>
  <c r="H42" i="4"/>
  <c r="I42" i="4" s="1"/>
  <c r="D42" i="4" s="1"/>
  <c r="H41" i="4"/>
  <c r="I41" i="4" s="1"/>
  <c r="D41" i="4" s="1"/>
  <c r="I4" i="4" l="1"/>
  <c r="I24" i="4"/>
  <c r="D24" i="4" s="1"/>
  <c r="I25" i="4"/>
  <c r="D25" i="4" s="1"/>
  <c r="D4" i="4" l="1"/>
  <c r="D5" i="2"/>
  <c r="E5" i="2" s="1"/>
  <c r="D6" i="2"/>
  <c r="E6" i="2" s="1"/>
  <c r="D7" i="2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87" i="2"/>
  <c r="E87" i="2" s="1"/>
  <c r="D88" i="2"/>
  <c r="E88" i="2" s="1"/>
  <c r="D89" i="2"/>
  <c r="E89" i="2" s="1"/>
  <c r="D90" i="2"/>
  <c r="E90" i="2" s="1"/>
  <c r="D91" i="2"/>
  <c r="E91" i="2" s="1"/>
  <c r="D92" i="2"/>
  <c r="E92" i="2" s="1"/>
  <c r="D93" i="2"/>
  <c r="E93" i="2" s="1"/>
  <c r="D94" i="2"/>
  <c r="E94" i="2" s="1"/>
  <c r="D95" i="2"/>
  <c r="E95" i="2" s="1"/>
  <c r="D96" i="2"/>
  <c r="E96" i="2" s="1"/>
  <c r="D97" i="2"/>
  <c r="E97" i="2" s="1"/>
  <c r="D98" i="2"/>
  <c r="E98" i="2" s="1"/>
  <c r="D99" i="2"/>
  <c r="E99" i="2" s="1"/>
  <c r="D100" i="2"/>
  <c r="E100" i="2" s="1"/>
  <c r="D101" i="2"/>
  <c r="E101" i="2" s="1"/>
  <c r="D102" i="2"/>
  <c r="E102" i="2" s="1"/>
  <c r="D103" i="2"/>
  <c r="E103" i="2" s="1"/>
  <c r="D104" i="2"/>
  <c r="E104" i="2" s="1"/>
  <c r="D105" i="2"/>
  <c r="E105" i="2" s="1"/>
  <c r="D106" i="2"/>
  <c r="E106" i="2" s="1"/>
  <c r="D107" i="2"/>
  <c r="E107" i="2" s="1"/>
  <c r="D108" i="2"/>
  <c r="E108" i="2" s="1"/>
  <c r="D4" i="2"/>
  <c r="E4" i="2" s="1"/>
  <c r="H32" i="4"/>
  <c r="H33" i="4"/>
  <c r="I33" i="4" s="1"/>
  <c r="D33" i="4" s="1"/>
  <c r="H34" i="4"/>
  <c r="I34" i="4" s="1"/>
  <c r="D34" i="4" s="1"/>
  <c r="H35" i="4"/>
  <c r="I35" i="4" s="1"/>
  <c r="D35" i="4" s="1"/>
  <c r="H36" i="4"/>
  <c r="I36" i="4" s="1"/>
  <c r="D36" i="4" s="1"/>
  <c r="H37" i="4"/>
  <c r="I37" i="4" s="1"/>
  <c r="D37" i="4" s="1"/>
  <c r="H38" i="4"/>
  <c r="I38" i="4" s="1"/>
  <c r="D38" i="4" s="1"/>
  <c r="H40" i="4"/>
  <c r="I40" i="4" s="1"/>
  <c r="D40" i="4" s="1"/>
  <c r="H49" i="4"/>
  <c r="I49" i="4" s="1"/>
  <c r="D49" i="4" s="1"/>
  <c r="I32" i="4" l="1"/>
  <c r="D109" i="2"/>
  <c r="D32" i="4" l="1"/>
  <c r="D58" i="4" s="1"/>
  <c r="I58" i="4"/>
  <c r="E109" i="2"/>
  <c r="F109" i="2"/>
  <c r="J13" i="7" s="1"/>
  <c r="G13" i="7" l="1"/>
  <c r="K13" i="7" s="1"/>
  <c r="E15" i="7"/>
  <c r="G4" i="6" l="1"/>
  <c r="G5" i="6"/>
  <c r="G6" i="6"/>
  <c r="G7" i="6"/>
  <c r="G8" i="6"/>
  <c r="G9" i="6"/>
  <c r="G10" i="6"/>
  <c r="G22" i="6"/>
  <c r="G24" i="6"/>
  <c r="G3" i="6"/>
  <c r="C15" i="7" l="1"/>
  <c r="D15" i="7"/>
  <c r="F15" i="7"/>
  <c r="H15" i="7"/>
  <c r="B15" i="7"/>
  <c r="F25" i="6"/>
  <c r="J14" i="7" s="1"/>
  <c r="J15" i="7" s="1"/>
  <c r="E25" i="6"/>
  <c r="G25" i="6" s="1"/>
  <c r="G14" i="7" s="1"/>
  <c r="K14" i="7" s="1"/>
  <c r="H16" i="7" l="1"/>
  <c r="B7" i="7"/>
  <c r="G15" i="7" l="1"/>
  <c r="B16" i="7" s="1"/>
  <c r="K15" i="7"/>
</calcChain>
</file>

<file path=xl/sharedStrings.xml><?xml version="1.0" encoding="utf-8"?>
<sst xmlns="http://schemas.openxmlformats.org/spreadsheetml/2006/main" count="195" uniqueCount="138">
  <si>
    <t>序号</t>
    <phoneticPr fontId="2" type="noConversion"/>
  </si>
  <si>
    <t>数据文件名称</t>
    <phoneticPr fontId="2" type="noConversion"/>
  </si>
  <si>
    <t>类型</t>
    <phoneticPr fontId="2" type="noConversion"/>
  </si>
  <si>
    <t>事务名称</t>
    <phoneticPr fontId="2" type="noConversion"/>
  </si>
  <si>
    <t xml:space="preserve">事务类型 </t>
    <phoneticPr fontId="2" type="noConversion"/>
  </si>
  <si>
    <t>升级类型</t>
    <phoneticPr fontId="2" type="noConversion"/>
  </si>
  <si>
    <t>数据功能</t>
    <phoneticPr fontId="2" type="noConversion"/>
  </si>
  <si>
    <t>事务功能</t>
    <phoneticPr fontId="2" type="noConversion"/>
  </si>
  <si>
    <t>业务需求项</t>
    <phoneticPr fontId="2" type="noConversion"/>
  </si>
  <si>
    <t>业务需求</t>
    <phoneticPr fontId="2" type="noConversion"/>
  </si>
  <si>
    <t>非功能点法工作量测算情况</t>
    <phoneticPr fontId="2" type="noConversion"/>
  </si>
  <si>
    <t>工作任务名称</t>
    <phoneticPr fontId="2" type="noConversion"/>
  </si>
  <si>
    <t>技术人员工作量（人月）</t>
    <phoneticPr fontId="2" type="noConversion"/>
  </si>
  <si>
    <t>业务人员工作量（人月）</t>
    <phoneticPr fontId="2" type="noConversion"/>
  </si>
  <si>
    <t>合计</t>
    <phoneticPr fontId="5" type="noConversion"/>
  </si>
  <si>
    <t>技术人员工作量（人月）</t>
    <phoneticPr fontId="2" type="noConversion"/>
  </si>
  <si>
    <t>业务人员工作量（人月）</t>
    <phoneticPr fontId="2" type="noConversion"/>
  </si>
  <si>
    <t>总行</t>
    <phoneticPr fontId="2" type="noConversion"/>
  </si>
  <si>
    <t>分行借调</t>
    <phoneticPr fontId="2" type="noConversion"/>
  </si>
  <si>
    <t>中心</t>
    <phoneticPr fontId="2" type="noConversion"/>
  </si>
  <si>
    <t>高级人员</t>
    <phoneticPr fontId="2" type="noConversion"/>
  </si>
  <si>
    <t>行内</t>
    <phoneticPr fontId="2" type="noConversion"/>
  </si>
  <si>
    <t>外包</t>
    <phoneticPr fontId="2" type="noConversion"/>
  </si>
  <si>
    <t>合计</t>
    <phoneticPr fontId="2" type="noConversion"/>
  </si>
  <si>
    <t>合计</t>
    <phoneticPr fontId="2" type="noConversion"/>
  </si>
  <si>
    <t>主要工作内容
（即工作任务分解）</t>
    <phoneticPr fontId="2" type="noConversion"/>
  </si>
  <si>
    <t>工作量测算过程简述</t>
    <phoneticPr fontId="2" type="noConversion"/>
  </si>
  <si>
    <t>序号</t>
    <phoneticPr fontId="2" type="noConversion"/>
  </si>
  <si>
    <t>升级类型</t>
    <phoneticPr fontId="2" type="noConversion"/>
  </si>
  <si>
    <t>中级人员</t>
    <phoneticPr fontId="2" type="noConversion"/>
  </si>
  <si>
    <t>开发类型</t>
    <phoneticPr fontId="2" type="noConversion"/>
  </si>
  <si>
    <t>项目名称</t>
    <phoneticPr fontId="2" type="noConversion"/>
  </si>
  <si>
    <t>实施部门</t>
    <phoneticPr fontId="2" type="noConversion"/>
  </si>
  <si>
    <t>项目基本信息</t>
    <phoneticPr fontId="2" type="noConversion"/>
  </si>
  <si>
    <t>一般人员</t>
    <phoneticPr fontId="2" type="noConversion"/>
  </si>
  <si>
    <t>小计</t>
    <phoneticPr fontId="2" type="noConversion"/>
  </si>
  <si>
    <t>[本表白色框需填写]</t>
    <phoneticPr fontId="2" type="noConversion"/>
  </si>
  <si>
    <t>功能点估算法</t>
    <phoneticPr fontId="2" type="noConversion"/>
  </si>
  <si>
    <t>非功能点估算法</t>
    <phoneticPr fontId="2" type="noConversion"/>
  </si>
  <si>
    <t>工作量估算方法分类</t>
    <phoneticPr fontId="2" type="noConversion"/>
  </si>
  <si>
    <t>功能点数</t>
    <phoneticPr fontId="2" type="noConversion"/>
  </si>
  <si>
    <t>小计</t>
    <phoneticPr fontId="2" type="noConversion"/>
  </si>
  <si>
    <t>合计</t>
    <phoneticPr fontId="2" type="noConversion"/>
  </si>
  <si>
    <t>序号</t>
    <phoneticPr fontId="2" type="noConversion"/>
  </si>
  <si>
    <t>任务1</t>
    <phoneticPr fontId="2" type="noConversion"/>
  </si>
  <si>
    <t>任务项1</t>
    <phoneticPr fontId="2" type="noConversion"/>
  </si>
  <si>
    <t>任务项2</t>
    <phoneticPr fontId="2" type="noConversion"/>
  </si>
  <si>
    <t>任务项3</t>
    <phoneticPr fontId="2" type="noConversion"/>
  </si>
  <si>
    <t>新增</t>
  </si>
  <si>
    <t>实现该业务需求项需要的业务人员的工作量。</t>
    <phoneticPr fontId="2" type="noConversion"/>
  </si>
  <si>
    <t>标识该功能的修改类型：
新增
修改
删除</t>
    <phoneticPr fontId="2" type="noConversion"/>
  </si>
  <si>
    <t>ILF：是在被度量应用边界内部维护的，用户可识别的、逻辑相关的数据组或控制信息组。
EIF：是用户可识别的、逻辑相关的数据组或者控制信息组，其由被度量应用所引用，但是另一应用边界内维护。</t>
    <phoneticPr fontId="2" type="noConversion"/>
  </si>
  <si>
    <t>根据实际需要，参照技术人员工作量，合理配比每个功能点所需的业务人员。</t>
    <phoneticPr fontId="2" type="noConversion"/>
  </si>
  <si>
    <t>识别事务功能的类型：
EI（外部输入）
EQ（外部查询）
EO（外部输出）</t>
    <phoneticPr fontId="2" type="noConversion"/>
  </si>
  <si>
    <t>功能点数</t>
    <phoneticPr fontId="2" type="noConversion"/>
  </si>
  <si>
    <t>技术人员工作量（人月</t>
    <phoneticPr fontId="2" type="noConversion"/>
  </si>
  <si>
    <t>自动得出，不需要填写。</t>
    <phoneticPr fontId="2" type="noConversion"/>
  </si>
  <si>
    <t>实现该业务需求项需要的技术人员工作量，由该业务需求项包含的事务功能汇总得出。不需要手工填写。</t>
    <phoneticPr fontId="2" type="noConversion"/>
  </si>
  <si>
    <t>自动得出，不需要手工填写。</t>
    <phoneticPr fontId="2" type="noConversion"/>
  </si>
  <si>
    <t>自动得出，不需要填写。</t>
    <phoneticPr fontId="2" type="noConversion"/>
  </si>
  <si>
    <t>基于业务需求的分解和细化，与业务需求是一对多的关系。如一个业务功能,可以来源于全生命周期IT管理平台中的业务需求项</t>
    <phoneticPr fontId="2" type="noConversion"/>
  </si>
  <si>
    <t>数据功能是系统提供给用户的满足产品内部和外部数据需求的功能。是指一组客户可识别的、逻辑上相互关联的数据或者控制信息。</t>
    <phoneticPr fontId="2" type="noConversion"/>
  </si>
  <si>
    <t>说明:</t>
    <phoneticPr fontId="2" type="noConversion"/>
  </si>
  <si>
    <t>1、本表主要以功能点估算法为主，使用“事务功能”和“数据功能”进行估算。对于无法识别功能点的实施任务，例如“基础设施类”、“推广类”等，使用非功能点估算表进行估算。</t>
    <phoneticPr fontId="2" type="noConversion"/>
  </si>
  <si>
    <t>2、表中包含公式，填写时请根据需要自动插入行，不要修改工作表格式。</t>
    <phoneticPr fontId="2" type="noConversion"/>
  </si>
  <si>
    <t>事务功能是用户可识别的，业务上的一组原子操作，可能由多个处理逻辑构成。例如，“添加柜员信息”这个基本过程可能包含“信息校验”、“修改确认”、“修改结果反馈”等一系列处理逻辑。</t>
    <phoneticPr fontId="2" type="noConversion"/>
  </si>
  <si>
    <t>交易类</t>
    <phoneticPr fontId="2" type="noConversion"/>
  </si>
  <si>
    <t>业务需求</t>
    <phoneticPr fontId="2" type="noConversion"/>
  </si>
  <si>
    <t xml:space="preserve">逻辑上相关的一组软件业务功能的集合。如业务功能模块,可以来源于全生命周期IT管理平台中的业务需求
</t>
    <phoneticPr fontId="2" type="noConversion"/>
  </si>
  <si>
    <t>与事务功能的业务需求保持一致。</t>
    <phoneticPr fontId="2" type="noConversion"/>
  </si>
  <si>
    <t>EI</t>
  </si>
  <si>
    <t>EO</t>
  </si>
  <si>
    <t>ILF</t>
  </si>
  <si>
    <t>学员报名信息表</t>
    <phoneticPr fontId="2" type="noConversion"/>
  </si>
  <si>
    <t>报名规则信息表</t>
    <phoneticPr fontId="2" type="noConversion"/>
  </si>
  <si>
    <t>EQ</t>
  </si>
  <si>
    <t>文档格式转换</t>
    <phoneticPr fontId="2" type="noConversion"/>
  </si>
  <si>
    <t>pdf格式转换</t>
    <phoneticPr fontId="2" type="noConversion"/>
  </si>
  <si>
    <t>word格式转换</t>
    <phoneticPr fontId="2" type="noConversion"/>
  </si>
  <si>
    <t>课程内容转换</t>
    <phoneticPr fontId="2" type="noConversion"/>
  </si>
  <si>
    <t>文档预处理</t>
    <phoneticPr fontId="2" type="noConversion"/>
  </si>
  <si>
    <t>网页内容转换</t>
    <phoneticPr fontId="2" type="noConversion"/>
  </si>
  <si>
    <t>其他内容转换</t>
    <phoneticPr fontId="2" type="noConversion"/>
  </si>
  <si>
    <t>讨论区内容转换</t>
    <phoneticPr fontId="2" type="noConversion"/>
  </si>
  <si>
    <t>文档内容审核</t>
    <phoneticPr fontId="2" type="noConversion"/>
  </si>
  <si>
    <t>文档内容校正</t>
    <phoneticPr fontId="2" type="noConversion"/>
  </si>
  <si>
    <t>字幕文件转换</t>
    <phoneticPr fontId="2" type="noConversion"/>
  </si>
  <si>
    <t>转化成纯文本</t>
    <phoneticPr fontId="2" type="noConversion"/>
  </si>
  <si>
    <t>文档分析</t>
    <phoneticPr fontId="2" type="noConversion"/>
  </si>
  <si>
    <t>文档内容清洗</t>
    <phoneticPr fontId="2" type="noConversion"/>
  </si>
  <si>
    <t>文档内容标记</t>
    <phoneticPr fontId="2" type="noConversion"/>
  </si>
  <si>
    <t>关键词标记</t>
    <phoneticPr fontId="2" type="noConversion"/>
  </si>
  <si>
    <t>自动生成摘要</t>
    <phoneticPr fontId="2" type="noConversion"/>
  </si>
  <si>
    <t>手工校正</t>
    <phoneticPr fontId="2" type="noConversion"/>
  </si>
  <si>
    <t>人工审核</t>
    <phoneticPr fontId="2" type="noConversion"/>
  </si>
  <si>
    <t>敏感词检测接入</t>
    <phoneticPr fontId="2" type="noConversion"/>
  </si>
  <si>
    <t>中英文分词</t>
    <phoneticPr fontId="2" type="noConversion"/>
  </si>
  <si>
    <t>关键词提取</t>
    <phoneticPr fontId="2" type="noConversion"/>
  </si>
  <si>
    <t>关键词词典准备</t>
    <phoneticPr fontId="2" type="noConversion"/>
  </si>
  <si>
    <t>分词黑白名单设置</t>
    <phoneticPr fontId="2" type="noConversion"/>
  </si>
  <si>
    <t>IDF词频统计</t>
    <phoneticPr fontId="2" type="noConversion"/>
  </si>
  <si>
    <t>Cluster聚类分析</t>
    <phoneticPr fontId="2" type="noConversion"/>
  </si>
  <si>
    <t>Classification分类统计</t>
    <phoneticPr fontId="2" type="noConversion"/>
  </si>
  <si>
    <t>TF词频统计</t>
    <phoneticPr fontId="2" type="noConversion"/>
  </si>
  <si>
    <t>文档预分类</t>
    <phoneticPr fontId="2" type="noConversion"/>
  </si>
  <si>
    <t>文档自动分类</t>
    <phoneticPr fontId="2" type="noConversion"/>
  </si>
  <si>
    <t>文档特征提取</t>
    <phoneticPr fontId="2" type="noConversion"/>
  </si>
  <si>
    <t>文档分类</t>
    <phoneticPr fontId="2" type="noConversion"/>
  </si>
  <si>
    <t>文档KNN分析</t>
    <phoneticPr fontId="2" type="noConversion"/>
  </si>
  <si>
    <t>文档相似度计算</t>
    <phoneticPr fontId="2" type="noConversion"/>
  </si>
  <si>
    <t>文档分类模型训练</t>
    <phoneticPr fontId="2" type="noConversion"/>
  </si>
  <si>
    <t>文档分类模型调参</t>
    <phoneticPr fontId="2" type="noConversion"/>
  </si>
  <si>
    <t>文档分类数据回测</t>
    <phoneticPr fontId="2" type="noConversion"/>
  </si>
  <si>
    <t>知识点提取训练</t>
    <phoneticPr fontId="2" type="noConversion"/>
  </si>
  <si>
    <t>知识点训练调参</t>
    <phoneticPr fontId="2" type="noConversion"/>
  </si>
  <si>
    <t>知识点训练结果回测</t>
    <phoneticPr fontId="2" type="noConversion"/>
  </si>
  <si>
    <t>知识点人工设定</t>
    <phoneticPr fontId="2" type="noConversion"/>
  </si>
  <si>
    <t>知识点相关性计算</t>
    <phoneticPr fontId="2" type="noConversion"/>
  </si>
  <si>
    <t>知识点相关性排序</t>
    <phoneticPr fontId="2" type="noConversion"/>
  </si>
  <si>
    <t>知识点关联性模糊查询</t>
    <phoneticPr fontId="2" type="noConversion"/>
  </si>
  <si>
    <t>文本分割</t>
    <phoneticPr fontId="2" type="noConversion"/>
  </si>
  <si>
    <t>文档单词规范化</t>
    <phoneticPr fontId="2" type="noConversion"/>
  </si>
  <si>
    <t>标点符号及单词的词干化</t>
    <phoneticPr fontId="2" type="noConversion"/>
  </si>
  <si>
    <t>去掉停用词</t>
    <phoneticPr fontId="2" type="noConversion"/>
  </si>
  <si>
    <t>去掉标点符号</t>
    <phoneticPr fontId="2" type="noConversion"/>
  </si>
  <si>
    <t>单词的同质化</t>
    <phoneticPr fontId="2" type="noConversion"/>
  </si>
  <si>
    <t>去掉低频词</t>
    <phoneticPr fontId="2" type="noConversion"/>
  </si>
  <si>
    <t>建立BOW词袋模型</t>
    <phoneticPr fontId="2" type="noConversion"/>
  </si>
  <si>
    <t>建立LSI模型</t>
    <phoneticPr fontId="2" type="noConversion"/>
  </si>
  <si>
    <t>知识点自动关联</t>
    <phoneticPr fontId="2" type="noConversion"/>
  </si>
  <si>
    <t>文档处理模块UI设计</t>
    <phoneticPr fontId="2" type="noConversion"/>
  </si>
  <si>
    <t>文档处理模块后台设计</t>
    <phoneticPr fontId="2" type="noConversion"/>
  </si>
  <si>
    <t>文档处理模块存储设计</t>
    <phoneticPr fontId="2" type="noConversion"/>
  </si>
  <si>
    <t>文档处理模块自动化设计</t>
    <phoneticPr fontId="2" type="noConversion"/>
  </si>
  <si>
    <t>文档处理模块批处理设计与实现</t>
    <phoneticPr fontId="2" type="noConversion"/>
  </si>
  <si>
    <t>文档处理模块外部接口提供</t>
    <phoneticPr fontId="2" type="noConversion"/>
  </si>
  <si>
    <t>文档处理模块的登录系统</t>
    <phoneticPr fontId="2" type="noConversion"/>
  </si>
  <si>
    <t>文档处理模块的权限系统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</si>
</sst>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_ * #,##0_ ;_ * \-#,##0_ ;_ * &quot;-&quot;??_ ;_ @_ "/>
    <numFmt numFmtId="177" formatCode="0_ "/>
    <numFmt numFmtId="178" formatCode="0.00_ "/>
    <numFmt numFmtId="179" formatCode="0.00_);[Red]\(0.00\)"/>
    <numFmt numFmtId="180" formatCode="0_);[Red]\(0\)"/>
  </numFmts>
  <fonts count="22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0"/>
      <name val="宋体"/>
      <family val="3"/>
      <charset val="134"/>
    </font>
    <font>
      <i/>
      <sz val="9"/>
      <name val="宋体"/>
      <family val="3"/>
      <charset val="134"/>
    </font>
    <font>
      <i/>
      <sz val="9"/>
      <color theme="4"/>
      <name val="宋体"/>
      <family val="3"/>
      <charset val="134"/>
    </font>
    <font>
      <sz val="10"/>
      <color theme="4"/>
      <name val="宋体"/>
      <family val="3"/>
      <charset val="134"/>
    </font>
    <font>
      <i/>
      <sz val="10"/>
      <color theme="4"/>
      <name val="宋体"/>
      <family val="3"/>
      <charset val="134"/>
    </font>
    <font>
      <b/>
      <i/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43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Alignment="1"/>
    <xf numFmtId="0" fontId="7" fillId="4" borderId="1" xfId="1" applyFont="1" applyFill="1" applyBorder="1" applyAlignment="1">
      <alignment horizontal="center" vertical="center"/>
    </xf>
    <xf numFmtId="0" fontId="6" fillId="0" borderId="1" xfId="0" applyFont="1" applyBorder="1" applyAlignment="1"/>
    <xf numFmtId="177" fontId="6" fillId="0" borderId="1" xfId="1" applyNumberFormat="1" applyFont="1" applyFill="1" applyBorder="1" applyAlignment="1">
      <alignment vertical="center" wrapText="1"/>
    </xf>
    <xf numFmtId="41" fontId="6" fillId="2" borderId="1" xfId="0" applyNumberFormat="1" applyFont="1" applyFill="1" applyBorder="1" applyAlignment="1"/>
    <xf numFmtId="0" fontId="6" fillId="0" borderId="0" xfId="0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center" vertical="center"/>
    </xf>
    <xf numFmtId="0" fontId="8" fillId="0" borderId="8" xfId="0" applyFont="1" applyBorder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7" fillId="4" borderId="1" xfId="0" applyFont="1" applyFill="1" applyBorder="1" applyAlignment="1"/>
    <xf numFmtId="0" fontId="6" fillId="0" borderId="0" xfId="0" applyFont="1" applyProtection="1">
      <alignment vertical="center"/>
      <protection locked="0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alignment vertical="center"/>
      <protection hidden="1"/>
    </xf>
    <xf numFmtId="41" fontId="6" fillId="2" borderId="1" xfId="1" applyNumberFormat="1" applyFont="1" applyFill="1" applyBorder="1" applyAlignment="1">
      <alignment horizontal="right" vertical="center" wrapText="1"/>
    </xf>
    <xf numFmtId="41" fontId="6" fillId="2" borderId="1" xfId="0" applyNumberFormat="1" applyFont="1" applyFill="1" applyBorder="1" applyAlignment="1">
      <alignment horizontal="right"/>
    </xf>
    <xf numFmtId="0" fontId="7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 wrapText="1"/>
    </xf>
    <xf numFmtId="0" fontId="13" fillId="0" borderId="1" xfId="0" applyFont="1" applyBorder="1" applyAlignment="1" applyProtection="1">
      <alignment horizontal="left" vertical="center"/>
      <protection hidden="1"/>
    </xf>
    <xf numFmtId="0" fontId="14" fillId="3" borderId="5" xfId="0" applyFont="1" applyFill="1" applyBorder="1" applyAlignment="1">
      <alignment horizontal="left" vertical="top" wrapText="1"/>
    </xf>
    <xf numFmtId="0" fontId="12" fillId="3" borderId="6" xfId="0" applyFont="1" applyFill="1" applyBorder="1" applyAlignment="1" applyProtection="1">
      <alignment horizontal="left" vertical="top" wrapText="1"/>
      <protection hidden="1"/>
    </xf>
    <xf numFmtId="0" fontId="15" fillId="3" borderId="7" xfId="0" applyFont="1" applyFill="1" applyBorder="1" applyAlignment="1">
      <alignment horizontal="left" vertical="top" wrapText="1"/>
    </xf>
    <xf numFmtId="0" fontId="12" fillId="3" borderId="7" xfId="0" applyFont="1" applyFill="1" applyBorder="1" applyAlignment="1">
      <alignment horizontal="left" vertical="top" wrapText="1"/>
    </xf>
    <xf numFmtId="0" fontId="3" fillId="4" borderId="1" xfId="0" applyFont="1" applyFill="1" applyBorder="1" applyAlignment="1" applyProtection="1">
      <alignment horizontal="center" vertical="center" wrapText="1"/>
      <protection hidden="1"/>
    </xf>
    <xf numFmtId="178" fontId="10" fillId="4" borderId="1" xfId="0" applyNumberFormat="1" applyFont="1" applyFill="1" applyBorder="1" applyAlignment="1">
      <alignment horizontal="left" vertical="center" wrapText="1"/>
    </xf>
    <xf numFmtId="178" fontId="14" fillId="3" borderId="5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4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78" fontId="0" fillId="0" borderId="0" xfId="0" applyNumberFormat="1" applyAlignment="1">
      <alignment horizontal="left" vertical="center"/>
    </xf>
    <xf numFmtId="179" fontId="10" fillId="4" borderId="1" xfId="0" applyNumberFormat="1" applyFont="1" applyFill="1" applyBorder="1" applyAlignment="1">
      <alignment horizontal="left" vertical="center" wrapText="1"/>
    </xf>
    <xf numFmtId="179" fontId="14" fillId="3" borderId="5" xfId="0" applyNumberFormat="1" applyFont="1" applyFill="1" applyBorder="1" applyAlignment="1">
      <alignment horizontal="left" vertical="top" wrapText="1"/>
    </xf>
    <xf numFmtId="178" fontId="14" fillId="3" borderId="7" xfId="0" applyNumberFormat="1" applyFont="1" applyFill="1" applyBorder="1" applyAlignment="1">
      <alignment horizontal="left" vertical="top" wrapText="1"/>
    </xf>
    <xf numFmtId="178" fontId="16" fillId="2" borderId="1" xfId="0" applyNumberFormat="1" applyFont="1" applyFill="1" applyBorder="1" applyAlignment="1">
      <alignment horizontal="left" vertical="center"/>
    </xf>
    <xf numFmtId="178" fontId="16" fillId="0" borderId="0" xfId="0" applyNumberFormat="1" applyFont="1" applyAlignment="1">
      <alignment horizontal="left" vertical="center"/>
    </xf>
    <xf numFmtId="178" fontId="16" fillId="0" borderId="1" xfId="0" applyNumberFormat="1" applyFont="1" applyBorder="1" applyAlignment="1">
      <alignment horizontal="left" vertical="center"/>
    </xf>
    <xf numFmtId="0" fontId="16" fillId="2" borderId="1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0" xfId="0" applyFont="1">
      <alignment vertical="center"/>
    </xf>
    <xf numFmtId="0" fontId="16" fillId="0" borderId="1" xfId="0" applyFont="1" applyBorder="1" applyAlignment="1" applyProtection="1">
      <alignment horizontal="left" vertical="center"/>
      <protection locked="0"/>
    </xf>
    <xf numFmtId="0" fontId="16" fillId="2" borderId="1" xfId="0" applyFont="1" applyFill="1" applyBorder="1" applyAlignment="1" applyProtection="1">
      <alignment horizontal="left" vertical="center"/>
      <protection hidden="1"/>
    </xf>
    <xf numFmtId="0" fontId="16" fillId="0" borderId="0" xfId="0" applyFont="1" applyAlignment="1"/>
    <xf numFmtId="0" fontId="16" fillId="0" borderId="1" xfId="0" applyFont="1" applyBorder="1" applyAlignment="1"/>
    <xf numFmtId="0" fontId="16" fillId="0" borderId="1" xfId="0" applyFont="1" applyFill="1" applyBorder="1" applyAlignment="1">
      <alignment horizontal="left" vertical="center" wrapText="1"/>
    </xf>
    <xf numFmtId="176" fontId="16" fillId="0" borderId="1" xfId="2" applyNumberFormat="1" applyFont="1" applyFill="1" applyBorder="1" applyAlignment="1">
      <alignment horizontal="left" vertical="center"/>
    </xf>
    <xf numFmtId="176" fontId="16" fillId="2" borderId="1" xfId="0" applyNumberFormat="1" applyFont="1" applyFill="1" applyBorder="1" applyAlignment="1">
      <alignment horizontal="left" vertical="center"/>
    </xf>
    <xf numFmtId="176" fontId="17" fillId="0" borderId="0" xfId="0" applyNumberFormat="1" applyFont="1" applyAlignment="1"/>
    <xf numFmtId="0" fontId="17" fillId="0" borderId="0" xfId="0" applyFont="1" applyAlignment="1"/>
    <xf numFmtId="176" fontId="18" fillId="0" borderId="1" xfId="2" applyNumberFormat="1" applyFont="1" applyFill="1" applyBorder="1" applyAlignment="1">
      <alignment horizontal="left" vertical="center"/>
    </xf>
    <xf numFmtId="176" fontId="19" fillId="0" borderId="0" xfId="0" applyNumberFormat="1" applyFont="1" applyAlignment="1"/>
    <xf numFmtId="176" fontId="16" fillId="0" borderId="0" xfId="0" applyNumberFormat="1" applyFont="1" applyAlignment="1"/>
    <xf numFmtId="0" fontId="20" fillId="0" borderId="1" xfId="0" applyFont="1" applyFill="1" applyBorder="1" applyAlignment="1">
      <alignment horizontal="left" vertical="center" wrapText="1"/>
    </xf>
    <xf numFmtId="176" fontId="20" fillId="0" borderId="1" xfId="2" applyNumberFormat="1" applyFont="1" applyFill="1" applyBorder="1" applyAlignment="1">
      <alignment horizontal="left" vertical="center"/>
    </xf>
    <xf numFmtId="176" fontId="20" fillId="2" borderId="1" xfId="2" applyNumberFormat="1" applyFont="1" applyFill="1" applyBorder="1" applyAlignment="1">
      <alignment horizontal="left" vertical="center"/>
    </xf>
    <xf numFmtId="176" fontId="20" fillId="2" borderId="1" xfId="0" applyNumberFormat="1" applyFont="1" applyFill="1" applyBorder="1" applyAlignment="1">
      <alignment horizontal="left" vertical="center"/>
    </xf>
    <xf numFmtId="0" fontId="16" fillId="0" borderId="0" xfId="0" applyFont="1" applyAlignment="1">
      <alignment wrapText="1"/>
    </xf>
    <xf numFmtId="0" fontId="19" fillId="0" borderId="0" xfId="0" applyFont="1" applyAlignment="1"/>
    <xf numFmtId="0" fontId="16" fillId="2" borderId="1" xfId="0" applyFont="1" applyFill="1" applyBorder="1" applyAlignment="1">
      <alignment vertical="center"/>
    </xf>
    <xf numFmtId="180" fontId="3" fillId="4" borderId="7" xfId="0" applyNumberFormat="1" applyFont="1" applyFill="1" applyBorder="1" applyAlignment="1" applyProtection="1">
      <alignment horizontal="left" vertical="center" wrapText="1"/>
      <protection hidden="1"/>
    </xf>
    <xf numFmtId="180" fontId="16" fillId="2" borderId="1" xfId="0" applyNumberFormat="1" applyFont="1" applyFill="1" applyBorder="1" applyAlignment="1">
      <alignment horizontal="left" vertical="center"/>
    </xf>
    <xf numFmtId="180" fontId="0" fillId="0" borderId="0" xfId="0" applyNumberFormat="1" applyAlignment="1" applyProtection="1">
      <alignment horizontal="left" vertical="center"/>
      <protection hidden="1"/>
    </xf>
    <xf numFmtId="0" fontId="16" fillId="0" borderId="1" xfId="0" applyFont="1" applyBorder="1" applyAlignment="1">
      <alignment horizontal="left" vertical="center"/>
    </xf>
    <xf numFmtId="0" fontId="16" fillId="0" borderId="1" xfId="0" applyFont="1" applyBorder="1" applyAlignment="1" applyProtection="1">
      <alignment horizontal="left" vertical="center"/>
      <protection hidden="1"/>
    </xf>
    <xf numFmtId="180" fontId="12" fillId="3" borderId="7" xfId="0" applyNumberFormat="1" applyFont="1" applyFill="1" applyBorder="1" applyAlignment="1" applyProtection="1">
      <alignment horizontal="left" vertical="top" wrapText="1"/>
      <protection hidden="1"/>
    </xf>
    <xf numFmtId="0" fontId="16" fillId="0" borderId="7" xfId="0" applyFont="1" applyBorder="1" applyAlignment="1" applyProtection="1">
      <alignment horizontal="left" vertical="center"/>
      <protection locked="0"/>
    </xf>
    <xf numFmtId="180" fontId="16" fillId="2" borderId="7" xfId="0" applyNumberFormat="1" applyFont="1" applyFill="1" applyBorder="1" applyAlignment="1" applyProtection="1">
      <alignment horizontal="left" vertical="center"/>
      <protection hidden="1"/>
    </xf>
    <xf numFmtId="178" fontId="16" fillId="2" borderId="7" xfId="0" applyNumberFormat="1" applyFont="1" applyFill="1" applyBorder="1" applyAlignment="1">
      <alignment horizontal="left" vertical="center"/>
    </xf>
    <xf numFmtId="178" fontId="16" fillId="0" borderId="7" xfId="0" applyNumberFormat="1" applyFont="1" applyBorder="1" applyAlignment="1">
      <alignment horizontal="left" vertical="center"/>
    </xf>
    <xf numFmtId="0" fontId="11" fillId="3" borderId="6" xfId="0" applyFont="1" applyFill="1" applyBorder="1" applyAlignment="1">
      <alignment horizontal="center" vertical="top" wrapText="1"/>
    </xf>
    <xf numFmtId="0" fontId="1" fillId="0" borderId="0" xfId="0" applyFont="1" applyAlignment="1">
      <alignment vertical="top" wrapText="1"/>
    </xf>
    <xf numFmtId="178" fontId="16" fillId="2" borderId="7" xfId="0" applyNumberFormat="1" applyFont="1" applyFill="1" applyBorder="1" applyAlignment="1">
      <alignment horizontal="left" vertical="center"/>
    </xf>
    <xf numFmtId="180" fontId="12" fillId="3" borderId="6" xfId="0" applyNumberFormat="1" applyFont="1" applyFill="1" applyBorder="1" applyAlignment="1" applyProtection="1">
      <alignment horizontal="left" vertical="top" wrapText="1"/>
      <protection hidden="1"/>
    </xf>
    <xf numFmtId="0" fontId="16" fillId="0" borderId="1" xfId="0" applyFont="1" applyFill="1" applyBorder="1" applyAlignment="1" applyProtection="1">
      <alignment horizontal="left" vertical="center"/>
      <protection hidden="1"/>
    </xf>
    <xf numFmtId="179" fontId="16" fillId="0" borderId="1" xfId="0" applyNumberFormat="1" applyFont="1" applyBorder="1" applyAlignment="1">
      <alignment horizontal="left" vertical="center"/>
    </xf>
    <xf numFmtId="179" fontId="16" fillId="2" borderId="1" xfId="0" applyNumberFormat="1" applyFont="1" applyFill="1" applyBorder="1" applyAlignment="1">
      <alignment horizontal="left" vertical="center"/>
    </xf>
    <xf numFmtId="179" fontId="16" fillId="0" borderId="0" xfId="0" applyNumberFormat="1" applyFont="1" applyAlignment="1">
      <alignment horizontal="left" vertical="center"/>
    </xf>
    <xf numFmtId="41" fontId="7" fillId="2" borderId="1" xfId="0" applyNumberFormat="1" applyFont="1" applyFill="1" applyBorder="1" applyAlignment="1"/>
    <xf numFmtId="0" fontId="16" fillId="0" borderId="1" xfId="0" applyFont="1" applyBorder="1" applyAlignment="1">
      <alignment horizontal="left" vertical="center" wrapText="1"/>
    </xf>
    <xf numFmtId="0" fontId="16" fillId="0" borderId="1" xfId="0" applyFont="1" applyFill="1" applyBorder="1" applyAlignment="1">
      <alignment horizontal="left" vertical="center"/>
    </xf>
    <xf numFmtId="178" fontId="16" fillId="2" borderId="7" xfId="0" applyNumberFormat="1" applyFont="1" applyFill="1" applyBorder="1" applyAlignment="1">
      <alignment horizontal="left" vertical="center"/>
    </xf>
    <xf numFmtId="0" fontId="7" fillId="0" borderId="0" xfId="0" applyFont="1" applyAlignment="1"/>
    <xf numFmtId="0" fontId="21" fillId="0" borderId="0" xfId="0" applyFont="1">
      <alignment vertical="center"/>
    </xf>
    <xf numFmtId="0" fontId="21" fillId="0" borderId="0" xfId="0" applyFont="1" applyAlignment="1"/>
    <xf numFmtId="178" fontId="10" fillId="4" borderId="7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top" wrapText="1"/>
    </xf>
    <xf numFmtId="0" fontId="7" fillId="4" borderId="2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/>
    </xf>
    <xf numFmtId="0" fontId="7" fillId="4" borderId="7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4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horizontal="left" vertical="center" wrapText="1"/>
    </xf>
    <xf numFmtId="0" fontId="7" fillId="4" borderId="1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16" fillId="0" borderId="7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0" fontId="16" fillId="0" borderId="5" xfId="0" applyFont="1" applyFill="1" applyBorder="1" applyAlignment="1">
      <alignment horizontal="left" vertical="center" wrapText="1"/>
    </xf>
    <xf numFmtId="0" fontId="16" fillId="0" borderId="6" xfId="0" applyFont="1" applyFill="1" applyBorder="1" applyAlignment="1">
      <alignment horizontal="left" vertical="center" wrapText="1"/>
    </xf>
    <xf numFmtId="0" fontId="16" fillId="0" borderId="7" xfId="0" applyFont="1" applyFill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/>
    </xf>
    <xf numFmtId="0" fontId="16" fillId="2" borderId="4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 wrapText="1"/>
    </xf>
  </cellXfs>
  <cellStyles count="5">
    <cellStyle name="??" xfId="1"/>
    <cellStyle name="Comma" xfId="2" builtinId="3"/>
    <cellStyle name="Comma 2" xfId="4"/>
    <cellStyle name="Normal" xfId="0" builtinId="0"/>
    <cellStyle name="Normal 2" xfId="3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topLeftCell="A7" workbookViewId="0">
      <selection activeCell="H7" sqref="H7"/>
    </sheetView>
  </sheetViews>
  <sheetFormatPr defaultColWidth="9" defaultRowHeight="14.4" x14ac:dyDescent="0.25"/>
  <cols>
    <col min="1" max="1" width="14.59765625" style="3" customWidth="1"/>
    <col min="2" max="2" width="9.59765625" style="3" customWidth="1"/>
    <col min="3" max="3" width="13.59765625" style="3" customWidth="1"/>
    <col min="4" max="4" width="9.59765625" style="3" customWidth="1"/>
    <col min="5" max="5" width="11.5" style="3" customWidth="1"/>
    <col min="6" max="6" width="10.59765625" style="3" customWidth="1"/>
    <col min="7" max="7" width="8.59765625" style="3" customWidth="1"/>
    <col min="8" max="8" width="9.69921875" style="3" customWidth="1"/>
    <col min="9" max="9" width="10.3984375" style="3" customWidth="1"/>
    <col min="10" max="10" width="9.59765625" style="3" customWidth="1"/>
    <col min="11" max="11" width="7.8984375" style="3" customWidth="1"/>
    <col min="12" max="16384" width="9" style="3"/>
  </cols>
  <sheetData>
    <row r="1" spans="1:11" x14ac:dyDescent="0.25">
      <c r="A1" s="84"/>
    </row>
    <row r="2" spans="1:11" s="1" customFormat="1" ht="19.5" customHeight="1" x14ac:dyDescent="0.25">
      <c r="A2" s="100" t="s">
        <v>36</v>
      </c>
      <c r="B2" s="101"/>
      <c r="C2" s="101"/>
    </row>
    <row r="3" spans="1:11" s="13" customFormat="1" ht="24" customHeight="1" x14ac:dyDescent="0.25">
      <c r="A3" s="102" t="s">
        <v>33</v>
      </c>
      <c r="B3" s="102"/>
      <c r="C3" s="102"/>
    </row>
    <row r="4" spans="1:11" s="13" customFormat="1" ht="18" customHeight="1" x14ac:dyDescent="0.25">
      <c r="A4" s="19" t="s">
        <v>31</v>
      </c>
      <c r="B4" s="98"/>
      <c r="C4" s="98"/>
    </row>
    <row r="5" spans="1:11" s="13" customFormat="1" ht="18" customHeight="1" x14ac:dyDescent="0.25">
      <c r="A5" s="19" t="s">
        <v>32</v>
      </c>
      <c r="B5" s="103"/>
      <c r="C5" s="103"/>
    </row>
    <row r="6" spans="1:11" s="13" customFormat="1" ht="15.75" customHeight="1" x14ac:dyDescent="0.25">
      <c r="A6" s="19" t="s">
        <v>30</v>
      </c>
      <c r="B6" s="97" t="s">
        <v>66</v>
      </c>
      <c r="C6" s="98"/>
    </row>
    <row r="7" spans="1:11" s="13" customFormat="1" ht="15.75" customHeight="1" x14ac:dyDescent="0.25">
      <c r="A7" s="19" t="s">
        <v>40</v>
      </c>
      <c r="B7" s="99">
        <f>事务功能!H58+数据功能!D109</f>
        <v>200</v>
      </c>
      <c r="C7" s="99"/>
    </row>
    <row r="8" spans="1:11" s="1" customFormat="1" ht="15.6" x14ac:dyDescent="0.25">
      <c r="A8" s="10"/>
      <c r="B8" s="11"/>
      <c r="C8" s="11"/>
      <c r="D8" s="11"/>
      <c r="E8" s="11"/>
    </row>
    <row r="10" spans="1:11" ht="18.75" customHeight="1" x14ac:dyDescent="0.25">
      <c r="A10" s="104" t="s">
        <v>39</v>
      </c>
      <c r="B10" s="90" t="s">
        <v>15</v>
      </c>
      <c r="C10" s="91"/>
      <c r="D10" s="91"/>
      <c r="E10" s="91"/>
      <c r="F10" s="91"/>
      <c r="G10" s="92"/>
      <c r="H10" s="90" t="s">
        <v>16</v>
      </c>
      <c r="I10" s="91"/>
      <c r="J10" s="92"/>
      <c r="K10" s="104" t="s">
        <v>24</v>
      </c>
    </row>
    <row r="11" spans="1:11" x14ac:dyDescent="0.25">
      <c r="A11" s="104"/>
      <c r="B11" s="105" t="s">
        <v>21</v>
      </c>
      <c r="C11" s="105"/>
      <c r="D11" s="105" t="s">
        <v>22</v>
      </c>
      <c r="E11" s="105"/>
      <c r="F11" s="105"/>
      <c r="G11" s="106" t="s">
        <v>35</v>
      </c>
      <c r="H11" s="105" t="s">
        <v>17</v>
      </c>
      <c r="I11" s="105" t="s">
        <v>18</v>
      </c>
      <c r="J11" s="93" t="s">
        <v>35</v>
      </c>
      <c r="K11" s="104"/>
    </row>
    <row r="12" spans="1:11" x14ac:dyDescent="0.25">
      <c r="A12" s="104"/>
      <c r="B12" s="4" t="s">
        <v>19</v>
      </c>
      <c r="C12" s="4" t="s">
        <v>18</v>
      </c>
      <c r="D12" s="4" t="s">
        <v>20</v>
      </c>
      <c r="E12" s="9" t="s">
        <v>29</v>
      </c>
      <c r="F12" s="4" t="s">
        <v>34</v>
      </c>
      <c r="G12" s="107"/>
      <c r="H12" s="105"/>
      <c r="I12" s="105"/>
      <c r="J12" s="94"/>
      <c r="K12" s="104"/>
    </row>
    <row r="13" spans="1:11" ht="15" customHeight="1" x14ac:dyDescent="0.25">
      <c r="A13" s="12" t="s">
        <v>37</v>
      </c>
      <c r="B13" s="6"/>
      <c r="C13" s="6"/>
      <c r="D13" s="6"/>
      <c r="E13" s="6"/>
      <c r="F13" s="6"/>
      <c r="G13" s="17">
        <f>事务功能!D58+数据功能!E109</f>
        <v>10.636363636363633</v>
      </c>
      <c r="H13" s="6"/>
      <c r="I13" s="6"/>
      <c r="J13" s="7">
        <f>ROUND(事务功能!E58+数据功能!F109,0)</f>
        <v>10</v>
      </c>
      <c r="K13" s="7">
        <f>ROUND(G13+J13,0)</f>
        <v>21</v>
      </c>
    </row>
    <row r="14" spans="1:11" ht="16.5" customHeight="1" x14ac:dyDescent="0.25">
      <c r="A14" s="12" t="s">
        <v>38</v>
      </c>
      <c r="B14" s="5"/>
      <c r="C14" s="5"/>
      <c r="D14" s="5"/>
      <c r="E14" s="5"/>
      <c r="F14" s="5"/>
      <c r="G14" s="17">
        <f>非功能点估算表!G25</f>
        <v>0</v>
      </c>
      <c r="H14" s="5"/>
      <c r="I14" s="5"/>
      <c r="J14" s="7">
        <f>ROUND(非功能点估算表!F25,0)</f>
        <v>0</v>
      </c>
      <c r="K14" s="7">
        <f>ROUND(G14+J14,0)</f>
        <v>0</v>
      </c>
    </row>
    <row r="15" spans="1:11" ht="15" customHeight="1" x14ac:dyDescent="0.25">
      <c r="A15" s="80" t="s">
        <v>23</v>
      </c>
      <c r="B15" s="7">
        <f>SUM(B13:B14)</f>
        <v>0</v>
      </c>
      <c r="C15" s="7">
        <f t="shared" ref="C15:H15" si="0">SUM(C13:C14)</f>
        <v>0</v>
      </c>
      <c r="D15" s="7">
        <f t="shared" si="0"/>
        <v>0</v>
      </c>
      <c r="E15" s="7">
        <f t="shared" si="0"/>
        <v>0</v>
      </c>
      <c r="F15" s="7">
        <f t="shared" si="0"/>
        <v>0</v>
      </c>
      <c r="G15" s="18">
        <f>SUM(G13:G14)</f>
        <v>10.636363636363633</v>
      </c>
      <c r="H15" s="7">
        <f t="shared" si="0"/>
        <v>0</v>
      </c>
      <c r="I15" s="7">
        <f>SUM(I13:I14)</f>
        <v>0</v>
      </c>
      <c r="J15" s="7">
        <f>SUM(J13:J14)</f>
        <v>10</v>
      </c>
      <c r="K15" s="7">
        <f>K13+K14</f>
        <v>21</v>
      </c>
    </row>
    <row r="16" spans="1:11" ht="18.75" customHeight="1" x14ac:dyDescent="0.25">
      <c r="B16" s="95" t="str">
        <f>IF(ROUND(G15,0)=ROUND(B15+C15+D15+E15+F15,0),"平衡","分配不平衡，请重新分配")</f>
        <v>分配不平衡，请重新分配</v>
      </c>
      <c r="C16" s="95"/>
      <c r="D16" s="95"/>
      <c r="E16" s="95"/>
      <c r="F16" s="95"/>
      <c r="G16" s="95"/>
      <c r="H16" s="96" t="str">
        <f>IF(ROUND(J15,0)=ROUND(H15+I15,0),"平衡","分配不平衡，请重新分配")</f>
        <v>分配不平衡，请重新分配</v>
      </c>
      <c r="I16" s="96"/>
      <c r="J16" s="96"/>
      <c r="K16" s="96"/>
    </row>
    <row r="17" spans="1:1" ht="15.75" customHeight="1" x14ac:dyDescent="0.25">
      <c r="A17" s="8"/>
    </row>
    <row r="18" spans="1:1" ht="15.75" customHeight="1" x14ac:dyDescent="0.25">
      <c r="A18" s="8"/>
    </row>
    <row r="19" spans="1:1" ht="15.75" customHeight="1" x14ac:dyDescent="0.25">
      <c r="A19" s="8" t="s">
        <v>62</v>
      </c>
    </row>
    <row r="20" spans="1:1" s="86" customFormat="1" ht="15.6" x14ac:dyDescent="0.25">
      <c r="A20" s="85" t="s">
        <v>63</v>
      </c>
    </row>
    <row r="21" spans="1:1" s="86" customFormat="1" ht="15.6" x14ac:dyDescent="0.25">
      <c r="A21" s="85" t="s">
        <v>64</v>
      </c>
    </row>
  </sheetData>
  <protectedRanges>
    <protectedRange sqref="B8:E8 B4:C7" name="区域1_1"/>
  </protectedRanges>
  <mergeCells count="18">
    <mergeCell ref="A2:C2"/>
    <mergeCell ref="A3:C3"/>
    <mergeCell ref="B4:C4"/>
    <mergeCell ref="B5:C5"/>
    <mergeCell ref="K10:K12"/>
    <mergeCell ref="A10:A12"/>
    <mergeCell ref="B11:C11"/>
    <mergeCell ref="D11:F11"/>
    <mergeCell ref="H11:H12"/>
    <mergeCell ref="I11:I12"/>
    <mergeCell ref="B10:G10"/>
    <mergeCell ref="G11:G12"/>
    <mergeCell ref="H10:J10"/>
    <mergeCell ref="J11:J12"/>
    <mergeCell ref="B16:G16"/>
    <mergeCell ref="H16:K16"/>
    <mergeCell ref="B6:C6"/>
    <mergeCell ref="B7:C7"/>
  </mergeCells>
  <phoneticPr fontId="2" type="noConversion"/>
  <conditionalFormatting sqref="B16">
    <cfRule type="cellIs" dxfId="3" priority="3" operator="equal">
      <formula>"分配不平衡，请重新分配"</formula>
    </cfRule>
    <cfRule type="cellIs" dxfId="2" priority="4" operator="equal">
      <formula>"平衡"</formula>
    </cfRule>
  </conditionalFormatting>
  <conditionalFormatting sqref="H16:K16">
    <cfRule type="cellIs" dxfId="1" priority="1" operator="equal">
      <formula>"分配不平衡，请重新分配"</formula>
    </cfRule>
    <cfRule type="cellIs" dxfId="0" priority="2" operator="equal">
      <formula>"平衡"</formula>
    </cfRule>
  </conditionalFormatting>
  <dataValidations count="3">
    <dataValidation type="list" allowBlank="1" showInputMessage="1" showErrorMessage="1" sqref="C6 B6">
      <formula1>"交易类,数据分析类,流程管理类,渠道类"</formula1>
    </dataValidation>
    <dataValidation type="list" allowBlank="1" showInputMessage="1" showErrorMessage="1" sqref="B8:C8 E8">
      <formula1>"立项,设计完成,上线后"</formula1>
    </dataValidation>
    <dataValidation type="list" allowBlank="1" showInputMessage="1" showErrorMessage="1" sqref="B5:C5">
      <formula1>"北开,上开,厦开,广开,成开,深开,北数,武数"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8"/>
  <sheetViews>
    <sheetView tabSelected="1" topLeftCell="A22" workbookViewId="0">
      <selection activeCell="G57" sqref="G57"/>
    </sheetView>
  </sheetViews>
  <sheetFormatPr defaultRowHeight="15.6" x14ac:dyDescent="0.25"/>
  <cols>
    <col min="1" max="1" width="6.8984375" customWidth="1"/>
    <col min="2" max="2" width="16.3984375" customWidth="1"/>
    <col min="3" max="3" width="18.19921875" style="2" customWidth="1"/>
    <col min="4" max="4" width="13.8984375" style="33" customWidth="1"/>
    <col min="5" max="5" width="13.5" style="79" customWidth="1"/>
    <col min="6" max="6" width="26.5" bestFit="1" customWidth="1"/>
    <col min="7" max="7" width="14.19921875" style="16" customWidth="1"/>
    <col min="8" max="10" width="20.296875" style="16" customWidth="1"/>
    <col min="11" max="11" width="9.69921875" customWidth="1"/>
    <col min="13" max="13" width="8.69921875" customWidth="1"/>
  </cols>
  <sheetData>
    <row r="1" spans="1:10" ht="31.5" customHeight="1" x14ac:dyDescent="0.25">
      <c r="A1" s="111" t="s">
        <v>7</v>
      </c>
      <c r="B1" s="112"/>
      <c r="C1" s="112"/>
      <c r="D1" s="112"/>
      <c r="E1" s="112"/>
      <c r="F1" s="112"/>
      <c r="G1" s="112"/>
      <c r="H1" s="112"/>
      <c r="I1" s="112"/>
      <c r="J1" s="113"/>
    </row>
    <row r="2" spans="1:10" s="2" customFormat="1" ht="24.75" customHeight="1" x14ac:dyDescent="0.25">
      <c r="A2" s="14" t="s">
        <v>27</v>
      </c>
      <c r="B2" s="14" t="s">
        <v>9</v>
      </c>
      <c r="C2" s="14" t="s">
        <v>8</v>
      </c>
      <c r="D2" s="27" t="s">
        <v>12</v>
      </c>
      <c r="E2" s="34" t="s">
        <v>13</v>
      </c>
      <c r="F2" s="14" t="s">
        <v>3</v>
      </c>
      <c r="G2" s="15" t="s">
        <v>4</v>
      </c>
      <c r="H2" s="26" t="s">
        <v>54</v>
      </c>
      <c r="I2" s="27" t="s">
        <v>55</v>
      </c>
      <c r="J2" s="15" t="s">
        <v>28</v>
      </c>
    </row>
    <row r="3" spans="1:10" s="73" customFormat="1" ht="104.25" customHeight="1" x14ac:dyDescent="0.25">
      <c r="A3" s="72"/>
      <c r="B3" s="22" t="s">
        <v>68</v>
      </c>
      <c r="C3" s="22" t="s">
        <v>60</v>
      </c>
      <c r="D3" s="28" t="s">
        <v>57</v>
      </c>
      <c r="E3" s="35" t="s">
        <v>49</v>
      </c>
      <c r="F3" s="22" t="s">
        <v>65</v>
      </c>
      <c r="G3" s="23" t="s">
        <v>53</v>
      </c>
      <c r="H3" s="67" t="s">
        <v>58</v>
      </c>
      <c r="I3" s="75" t="s">
        <v>56</v>
      </c>
      <c r="J3" s="23" t="s">
        <v>50</v>
      </c>
    </row>
    <row r="4" spans="1:10" s="41" customFormat="1" ht="12" x14ac:dyDescent="0.25">
      <c r="A4" s="65">
        <v>3</v>
      </c>
      <c r="B4" s="65" t="s">
        <v>80</v>
      </c>
      <c r="C4" s="81" t="s">
        <v>76</v>
      </c>
      <c r="D4" s="37">
        <f>I4</f>
        <v>0.27272727272727271</v>
      </c>
      <c r="E4" s="77"/>
      <c r="F4" s="65" t="s">
        <v>78</v>
      </c>
      <c r="G4" s="21" t="s">
        <v>70</v>
      </c>
      <c r="H4" s="44">
        <f t="shared" ref="H4:H31" si="0">IF(G4="EI",4,IF(G4="EO",5,IF(G4="EQ",4,0)))</f>
        <v>4</v>
      </c>
      <c r="I4" s="44">
        <f>IF(项目总工作量!B$6="交易类",H4*1.5/22,IF(项目总工作量!B$6="数据分析类",H4*1.5*0.9/22,IF(项目总工作量!B$6="流程管理类",H4*1.5*0.8/22,IF(项目总工作量!B$6="渠道类",H4*1.5*0.7/22,FALSE))))</f>
        <v>0.27272727272727271</v>
      </c>
      <c r="J4" s="66" t="s">
        <v>48</v>
      </c>
    </row>
    <row r="5" spans="1:10" s="41" customFormat="1" ht="12" x14ac:dyDescent="0.25">
      <c r="A5" s="65"/>
      <c r="B5" s="65"/>
      <c r="C5" s="81"/>
      <c r="D5" s="37">
        <f t="shared" ref="D5:D31" si="1">I5</f>
        <v>0.27272727272727271</v>
      </c>
      <c r="E5" s="77"/>
      <c r="F5" s="65" t="s">
        <v>77</v>
      </c>
      <c r="G5" s="21" t="s">
        <v>70</v>
      </c>
      <c r="H5" s="44">
        <f t="shared" si="0"/>
        <v>4</v>
      </c>
      <c r="I5" s="44">
        <f>IF(项目总工作量!B$6="交易类",H5*1.5/22,IF(项目总工作量!B$6="数据分析类",H5*1.5*0.9/22,IF(项目总工作量!B$6="流程管理类",H5*1.5*0.8/22,IF(项目总工作量!B$6="渠道类",H5*1.5*0.7/22,FALSE))))</f>
        <v>0.27272727272727271</v>
      </c>
      <c r="J5" s="66"/>
    </row>
    <row r="6" spans="1:10" s="41" customFormat="1" ht="12" x14ac:dyDescent="0.25">
      <c r="A6" s="65"/>
      <c r="B6" s="65"/>
      <c r="C6" s="81"/>
      <c r="D6" s="37">
        <f t="shared" si="1"/>
        <v>0.27272727272727271</v>
      </c>
      <c r="E6" s="77"/>
      <c r="F6" s="65" t="s">
        <v>79</v>
      </c>
      <c r="G6" s="21" t="s">
        <v>70</v>
      </c>
      <c r="H6" s="44">
        <f t="shared" si="0"/>
        <v>4</v>
      </c>
      <c r="I6" s="44">
        <f>IF(项目总工作量!B$6="交易类",H6*1.5/22,IF(项目总工作量!B$6="数据分析类",H6*1.5*0.9/22,IF(项目总工作量!B$6="流程管理类",H6*1.5*0.8/22,IF(项目总工作量!B$6="渠道类",H6*1.5*0.7/22,FALSE))))</f>
        <v>0.27272727272727271</v>
      </c>
      <c r="J6" s="66"/>
    </row>
    <row r="7" spans="1:10" s="41" customFormat="1" ht="12" x14ac:dyDescent="0.25">
      <c r="A7" s="65"/>
      <c r="B7" s="65"/>
      <c r="C7" s="81"/>
      <c r="D7" s="37">
        <f t="shared" si="1"/>
        <v>0.27272727272727271</v>
      </c>
      <c r="E7" s="77"/>
      <c r="F7" s="65" t="s">
        <v>83</v>
      </c>
      <c r="G7" s="21" t="s">
        <v>70</v>
      </c>
      <c r="H7" s="44">
        <f t="shared" si="0"/>
        <v>4</v>
      </c>
      <c r="I7" s="44">
        <f>IF(项目总工作量!B$6="交易类",H7*1.5/22,IF(项目总工作量!B$6="数据分析类",H7*1.5*0.9/22,IF(项目总工作量!B$6="流程管理类",H7*1.5*0.8/22,IF(项目总工作量!B$6="渠道类",H7*1.5*0.7/22,FALSE))))</f>
        <v>0.27272727272727271</v>
      </c>
      <c r="J7" s="66"/>
    </row>
    <row r="8" spans="1:10" s="41" customFormat="1" ht="12" x14ac:dyDescent="0.25">
      <c r="A8" s="65"/>
      <c r="B8" s="65"/>
      <c r="C8" s="81"/>
      <c r="D8" s="37">
        <f t="shared" si="1"/>
        <v>0.27272727272727271</v>
      </c>
      <c r="E8" s="77"/>
      <c r="F8" s="65" t="s">
        <v>81</v>
      </c>
      <c r="G8" s="21" t="s">
        <v>70</v>
      </c>
      <c r="H8" s="44">
        <f t="shared" si="0"/>
        <v>4</v>
      </c>
      <c r="I8" s="44">
        <f>IF(项目总工作量!B$6="交易类",H8*1.5/22,IF(项目总工作量!B$6="数据分析类",H8*1.5*0.9/22,IF(项目总工作量!B$6="流程管理类",H8*1.5*0.8/22,IF(项目总工作量!B$6="渠道类",H8*1.5*0.7/22,FALSE))))</f>
        <v>0.27272727272727271</v>
      </c>
      <c r="J8" s="66"/>
    </row>
    <row r="9" spans="1:10" s="41" customFormat="1" ht="12" x14ac:dyDescent="0.25">
      <c r="A9" s="65"/>
      <c r="B9" s="65"/>
      <c r="C9" s="81"/>
      <c r="D9" s="37">
        <f t="shared" si="1"/>
        <v>0.27272727272727271</v>
      </c>
      <c r="E9" s="77"/>
      <c r="F9" s="65" t="s">
        <v>86</v>
      </c>
      <c r="G9" s="21" t="s">
        <v>70</v>
      </c>
      <c r="H9" s="44">
        <f t="shared" si="0"/>
        <v>4</v>
      </c>
      <c r="I9" s="44">
        <f>IF(项目总工作量!B$6="交易类",H9*1.5/22,IF(项目总工作量!B$6="数据分析类",H9*1.5*0.9/22,IF(项目总工作量!B$6="流程管理类",H9*1.5*0.8/22,IF(项目总工作量!B$6="渠道类",H9*1.5*0.7/22,FALSE))))</f>
        <v>0.27272727272727271</v>
      </c>
      <c r="J9" s="66"/>
    </row>
    <row r="10" spans="1:10" s="41" customFormat="1" ht="12" x14ac:dyDescent="0.25">
      <c r="A10" s="65"/>
      <c r="B10" s="65"/>
      <c r="C10" s="81"/>
      <c r="D10" s="37">
        <f t="shared" ref="D10" si="2">I10</f>
        <v>0.27272727272727271</v>
      </c>
      <c r="E10" s="77"/>
      <c r="F10" s="65" t="s">
        <v>82</v>
      </c>
      <c r="G10" s="21" t="s">
        <v>70</v>
      </c>
      <c r="H10" s="44">
        <f t="shared" ref="H10" si="3">IF(G10="EI",4,IF(G10="EO",5,IF(G10="EQ",4,0)))</f>
        <v>4</v>
      </c>
      <c r="I10" s="44">
        <f>IF(项目总工作量!B$6="交易类",H10*1.5/22,IF(项目总工作量!B$6="数据分析类",H10*1.5*0.9/22,IF(项目总工作量!B$6="流程管理类",H10*1.5*0.8/22,IF(项目总工作量!B$6="渠道类",H10*1.5*0.7/22,FALSE))))</f>
        <v>0.27272727272727271</v>
      </c>
      <c r="J10" s="66"/>
    </row>
    <row r="11" spans="1:10" s="41" customFormat="1" ht="12.6" customHeight="1" x14ac:dyDescent="0.25">
      <c r="A11" s="65"/>
      <c r="B11" s="65"/>
      <c r="C11" s="81" t="s">
        <v>89</v>
      </c>
      <c r="D11" s="37">
        <f t="shared" si="1"/>
        <v>0.27272727272727271</v>
      </c>
      <c r="E11" s="77"/>
      <c r="F11" s="65" t="s">
        <v>87</v>
      </c>
      <c r="G11" s="21" t="s">
        <v>70</v>
      </c>
      <c r="H11" s="44">
        <f t="shared" si="0"/>
        <v>4</v>
      </c>
      <c r="I11" s="44">
        <f>IF(项目总工作量!B$6="交易类",H11*1.5/22,IF(项目总工作量!B$6="数据分析类",H11*1.5*0.9/22,IF(项目总工作量!B$6="流程管理类",H11*1.5*0.8/22,IF(项目总工作量!B$6="渠道类",H11*1.5*0.7/22,FALSE))))</f>
        <v>0.27272727272727271</v>
      </c>
      <c r="J11" s="66"/>
    </row>
    <row r="12" spans="1:10" s="41" customFormat="1" ht="12.6" customHeight="1" x14ac:dyDescent="0.25">
      <c r="A12" s="65"/>
      <c r="B12" s="65"/>
      <c r="C12" s="81" t="s">
        <v>90</v>
      </c>
      <c r="D12" s="37">
        <f t="shared" si="1"/>
        <v>0.27272727272727271</v>
      </c>
      <c r="E12" s="77">
        <v>1</v>
      </c>
      <c r="F12" s="65" t="s">
        <v>91</v>
      </c>
      <c r="G12" s="21" t="s">
        <v>70</v>
      </c>
      <c r="H12" s="44">
        <f t="shared" si="0"/>
        <v>4</v>
      </c>
      <c r="I12" s="44">
        <f>IF(项目总工作量!B$6="交易类",H12*1.5/22,IF(项目总工作量!B$6="数据分析类",H12*1.5*0.9/22,IF(项目总工作量!B$6="流程管理类",H12*1.5*0.8/22,IF(项目总工作量!B$6="渠道类",H12*1.5*0.7/22,FALSE))))</f>
        <v>0.27272727272727271</v>
      </c>
      <c r="J12" s="66"/>
    </row>
    <row r="13" spans="1:10" s="41" customFormat="1" ht="12" x14ac:dyDescent="0.25">
      <c r="A13" s="65"/>
      <c r="B13" s="65"/>
      <c r="C13" s="81" t="s">
        <v>85</v>
      </c>
      <c r="D13" s="37">
        <f t="shared" si="1"/>
        <v>0.27272727272727271</v>
      </c>
      <c r="E13" s="77">
        <v>5</v>
      </c>
      <c r="F13" s="65" t="s">
        <v>93</v>
      </c>
      <c r="G13" s="21" t="s">
        <v>70</v>
      </c>
      <c r="H13" s="44">
        <f t="shared" si="0"/>
        <v>4</v>
      </c>
      <c r="I13" s="44">
        <f>IF(项目总工作量!B$6="交易类",H13*1.5/22,IF(项目总工作量!B$6="数据分析类",H13*1.5*0.9/22,IF(项目总工作量!B$6="流程管理类",H13*1.5*0.8/22,IF(项目总工作量!B$6="渠道类",H13*1.5*0.7/22,FALSE))))</f>
        <v>0.27272727272727271</v>
      </c>
      <c r="J13" s="66"/>
    </row>
    <row r="14" spans="1:10" s="41" customFormat="1" ht="12" x14ac:dyDescent="0.25">
      <c r="A14" s="65"/>
      <c r="B14" s="65"/>
      <c r="C14" s="81" t="s">
        <v>84</v>
      </c>
      <c r="D14" s="37">
        <f t="shared" si="1"/>
        <v>0.27272727272727271</v>
      </c>
      <c r="E14" s="77">
        <v>2</v>
      </c>
      <c r="F14" s="65" t="s">
        <v>94</v>
      </c>
      <c r="G14" s="21" t="s">
        <v>70</v>
      </c>
      <c r="H14" s="44">
        <f t="shared" ref="H14" si="4">IF(G14="EI",4,IF(G14="EO",5,IF(G14="EQ",4,0)))</f>
        <v>4</v>
      </c>
      <c r="I14" s="44">
        <f>IF(项目总工作量!B$6="交易类",H14*1.5/22,IF(项目总工作量!B$6="数据分析类",H14*1.5*0.9/22,IF(项目总工作量!B$6="流程管理类",H14*1.5*0.8/22,IF(项目总工作量!B$6="渠道类",H14*1.5*0.7/22,FALSE))))</f>
        <v>0.27272727272727271</v>
      </c>
      <c r="J14" s="66"/>
    </row>
    <row r="15" spans="1:10" s="41" customFormat="1" ht="12" x14ac:dyDescent="0.25">
      <c r="A15" s="65"/>
      <c r="B15" s="65"/>
      <c r="C15" s="81"/>
      <c r="D15" s="37"/>
      <c r="E15" s="77"/>
      <c r="F15" s="65" t="s">
        <v>95</v>
      </c>
      <c r="G15" s="21" t="s">
        <v>71</v>
      </c>
      <c r="H15" s="44"/>
      <c r="I15" s="44"/>
      <c r="J15" s="66"/>
    </row>
    <row r="16" spans="1:10" s="41" customFormat="1" ht="12" x14ac:dyDescent="0.25">
      <c r="A16" s="65">
        <v>3</v>
      </c>
      <c r="B16" s="65" t="s">
        <v>80</v>
      </c>
      <c r="C16" s="65" t="s">
        <v>88</v>
      </c>
      <c r="D16" s="37">
        <f t="shared" si="1"/>
        <v>0.27272727272727271</v>
      </c>
      <c r="E16" s="77"/>
      <c r="F16" s="65" t="s">
        <v>96</v>
      </c>
      <c r="G16" s="21" t="s">
        <v>75</v>
      </c>
      <c r="H16" s="44">
        <f t="shared" si="0"/>
        <v>4</v>
      </c>
      <c r="I16" s="44">
        <f>IF(项目总工作量!B$6="交易类",H16*1.5/22,IF(项目总工作量!B$6="数据分析类",H16*1.5*0.9/22,IF(项目总工作量!B$6="流程管理类",H16*1.5*0.8/22,IF(项目总工作量!B$6="渠道类",H16*1.5*0.7/22,FALSE))))</f>
        <v>0.27272727272727271</v>
      </c>
      <c r="J16" s="66"/>
    </row>
    <row r="17" spans="1:10" s="41" customFormat="1" ht="12" x14ac:dyDescent="0.25">
      <c r="A17" s="65"/>
      <c r="B17" s="65"/>
      <c r="C17" s="65"/>
      <c r="D17" s="37"/>
      <c r="E17" s="77"/>
      <c r="F17" s="65" t="s">
        <v>99</v>
      </c>
      <c r="G17" s="21" t="s">
        <v>70</v>
      </c>
      <c r="H17" s="44">
        <f t="shared" si="0"/>
        <v>4</v>
      </c>
      <c r="I17" s="44"/>
      <c r="J17" s="66"/>
    </row>
    <row r="18" spans="1:10" s="41" customFormat="1" ht="12" x14ac:dyDescent="0.25">
      <c r="A18" s="65"/>
      <c r="B18" s="65"/>
      <c r="C18" s="65"/>
      <c r="D18" s="37"/>
      <c r="E18" s="77"/>
      <c r="F18" s="124" t="s">
        <v>121</v>
      </c>
      <c r="G18" s="21" t="s">
        <v>70</v>
      </c>
      <c r="H18" s="44">
        <f t="shared" si="0"/>
        <v>4</v>
      </c>
      <c r="I18" s="44"/>
      <c r="J18" s="66"/>
    </row>
    <row r="19" spans="1:10" s="41" customFormat="1" ht="12" x14ac:dyDescent="0.25">
      <c r="A19" s="65"/>
      <c r="B19" s="65"/>
      <c r="C19" s="65"/>
      <c r="D19" s="37"/>
      <c r="E19" s="77"/>
      <c r="F19" s="124" t="s">
        <v>122</v>
      </c>
      <c r="G19" s="21"/>
      <c r="H19" s="44"/>
      <c r="I19" s="44"/>
      <c r="J19" s="66"/>
    </row>
    <row r="20" spans="1:10" s="41" customFormat="1" ht="12" x14ac:dyDescent="0.25">
      <c r="A20" s="65"/>
      <c r="B20" s="65"/>
      <c r="C20" s="65"/>
      <c r="D20" s="37"/>
      <c r="E20" s="77"/>
      <c r="F20" s="124" t="s">
        <v>123</v>
      </c>
      <c r="G20" s="21"/>
      <c r="H20" s="44"/>
      <c r="I20" s="44"/>
      <c r="J20" s="66"/>
    </row>
    <row r="21" spans="1:10" s="41" customFormat="1" ht="12" x14ac:dyDescent="0.25">
      <c r="A21" s="65"/>
      <c r="B21" s="65"/>
      <c r="C21" s="65"/>
      <c r="D21" s="37"/>
      <c r="E21" s="77"/>
      <c r="F21" s="124" t="s">
        <v>124</v>
      </c>
      <c r="G21" s="21"/>
      <c r="H21" s="44"/>
      <c r="I21" s="44"/>
      <c r="J21" s="66"/>
    </row>
    <row r="22" spans="1:10" s="41" customFormat="1" ht="12" x14ac:dyDescent="0.25">
      <c r="A22" s="65"/>
      <c r="B22" s="65"/>
      <c r="C22" s="65"/>
      <c r="D22" s="37"/>
      <c r="E22" s="77"/>
      <c r="F22" s="124" t="s">
        <v>125</v>
      </c>
      <c r="G22" s="21"/>
      <c r="H22" s="44"/>
      <c r="I22" s="44"/>
      <c r="J22" s="66"/>
    </row>
    <row r="23" spans="1:10" s="41" customFormat="1" ht="12" x14ac:dyDescent="0.25">
      <c r="A23" s="65"/>
      <c r="B23" s="65"/>
      <c r="C23" s="65"/>
      <c r="D23" s="37"/>
      <c r="E23" s="77"/>
      <c r="F23" s="124" t="s">
        <v>126</v>
      </c>
      <c r="G23" s="21"/>
      <c r="H23" s="44"/>
      <c r="I23" s="44"/>
      <c r="J23" s="66"/>
    </row>
    <row r="24" spans="1:10" s="41" customFormat="1" ht="12" x14ac:dyDescent="0.25">
      <c r="A24" s="65"/>
      <c r="B24" s="65"/>
      <c r="C24" s="81"/>
      <c r="D24" s="37">
        <f t="shared" si="1"/>
        <v>0.27272727272727271</v>
      </c>
      <c r="E24" s="77"/>
      <c r="F24" s="41" t="s">
        <v>103</v>
      </c>
      <c r="G24" s="21" t="s">
        <v>70</v>
      </c>
      <c r="H24" s="44">
        <f t="shared" si="0"/>
        <v>4</v>
      </c>
      <c r="I24" s="44">
        <f>IF(项目总工作量!B$6="交易类",H24*1.5/22,IF(项目总工作量!B$6="数据分析类",H24*1.5*0.9/22,IF(项目总工作量!B$6="流程管理类",H24*1.5*0.8/22,IF(项目总工作量!B$6="渠道类",H24*1.5*0.7/22,FALSE))))</f>
        <v>0.27272727272727271</v>
      </c>
      <c r="J24" s="66"/>
    </row>
    <row r="25" spans="1:10" s="41" customFormat="1" ht="12" x14ac:dyDescent="0.25">
      <c r="A25" s="65"/>
      <c r="B25" s="65"/>
      <c r="C25" s="81"/>
      <c r="D25" s="37">
        <f t="shared" si="1"/>
        <v>0.27272727272727271</v>
      </c>
      <c r="E25" s="77"/>
      <c r="F25" s="65" t="s">
        <v>100</v>
      </c>
      <c r="G25" s="21" t="s">
        <v>70</v>
      </c>
      <c r="H25" s="44">
        <f t="shared" si="0"/>
        <v>4</v>
      </c>
      <c r="I25" s="44">
        <f>IF(项目总工作量!B$6="交易类",H25*1.5/22,IF(项目总工作量!B$6="数据分析类",H25*1.5*0.9/22,IF(项目总工作量!B$6="流程管理类",H25*1.5*0.8/22,IF(项目总工作量!B$6="渠道类",H25*1.5*0.7/22,FALSE))))</f>
        <v>0.27272727272727271</v>
      </c>
      <c r="J25" s="66"/>
    </row>
    <row r="26" spans="1:10" s="41" customFormat="1" ht="12" x14ac:dyDescent="0.25">
      <c r="A26" s="65"/>
      <c r="B26" s="65"/>
      <c r="C26" s="81"/>
      <c r="D26" s="37"/>
      <c r="E26" s="77"/>
      <c r="F26" s="65" t="s">
        <v>127</v>
      </c>
      <c r="G26" s="21" t="s">
        <v>70</v>
      </c>
      <c r="H26" s="44"/>
      <c r="I26" s="44"/>
      <c r="J26" s="66"/>
    </row>
    <row r="27" spans="1:10" s="41" customFormat="1" ht="12" x14ac:dyDescent="0.25">
      <c r="A27" s="65"/>
      <c r="B27" s="65"/>
      <c r="C27" s="81"/>
      <c r="D27" s="37"/>
      <c r="E27" s="77"/>
      <c r="F27" s="65" t="s">
        <v>128</v>
      </c>
      <c r="G27" s="21" t="s">
        <v>70</v>
      </c>
      <c r="H27" s="44"/>
      <c r="I27" s="44"/>
      <c r="J27" s="66"/>
    </row>
    <row r="28" spans="1:10" s="41" customFormat="1" ht="12" x14ac:dyDescent="0.25">
      <c r="A28" s="65"/>
      <c r="B28" s="65"/>
      <c r="C28" s="81"/>
      <c r="D28" s="37">
        <f t="shared" si="1"/>
        <v>0.27272727272727271</v>
      </c>
      <c r="E28" s="77"/>
      <c r="F28" s="65" t="s">
        <v>101</v>
      </c>
      <c r="G28" s="21" t="s">
        <v>70</v>
      </c>
      <c r="H28" s="44">
        <f t="shared" si="0"/>
        <v>4</v>
      </c>
      <c r="I28" s="44">
        <f>IF(项目总工作量!B$6="交易类",H28*1.5/22,IF(项目总工作量!B$6="数据分析类",H28*1.5*0.9/22,IF(项目总工作量!B$6="流程管理类",H28*1.5*0.8/22,IF(项目总工作量!B$6="渠道类",H28*1.5*0.7/22,FALSE))))</f>
        <v>0.27272727272727271</v>
      </c>
      <c r="J28" s="66"/>
    </row>
    <row r="29" spans="1:10" s="41" customFormat="1" ht="12" x14ac:dyDescent="0.25">
      <c r="A29" s="65"/>
      <c r="B29" s="65"/>
      <c r="C29" s="81"/>
      <c r="D29" s="37">
        <f t="shared" si="1"/>
        <v>0.27272727272727271</v>
      </c>
      <c r="E29" s="77"/>
      <c r="F29" s="65" t="s">
        <v>102</v>
      </c>
      <c r="G29" s="21" t="s">
        <v>70</v>
      </c>
      <c r="H29" s="44">
        <f t="shared" si="0"/>
        <v>4</v>
      </c>
      <c r="I29" s="44">
        <f>IF(项目总工作量!B$6="交易类",H29*1.5/22,IF(项目总工作量!B$6="数据分析类",H29*1.5*0.9/22,IF(项目总工作量!B$6="流程管理类",H29*1.5*0.8/22,IF(项目总工作量!B$6="渠道类",H29*1.5*0.7/22,FALSE))))</f>
        <v>0.27272727272727271</v>
      </c>
      <c r="J29" s="66"/>
    </row>
    <row r="30" spans="1:10" s="41" customFormat="1" ht="12" x14ac:dyDescent="0.25">
      <c r="A30" s="65"/>
      <c r="B30" s="65"/>
      <c r="C30" s="81"/>
      <c r="D30" s="37">
        <f t="shared" si="1"/>
        <v>0.27272727272727271</v>
      </c>
      <c r="E30" s="77">
        <v>1</v>
      </c>
      <c r="F30" s="65" t="s">
        <v>92</v>
      </c>
      <c r="G30" s="21" t="s">
        <v>70</v>
      </c>
      <c r="H30" s="44">
        <f t="shared" si="0"/>
        <v>4</v>
      </c>
      <c r="I30" s="44">
        <f>IF(项目总工作量!B$6="交易类",H30*1.5/22,IF(项目总工作量!B$6="数据分析类",H30*1.5*0.9/22,IF(项目总工作量!B$6="流程管理类",H30*1.5*0.8/22,IF(项目总工作量!B$6="渠道类",H30*1.5*0.7/22,FALSE))))</f>
        <v>0.27272727272727271</v>
      </c>
      <c r="J30" s="66"/>
    </row>
    <row r="31" spans="1:10" s="41" customFormat="1" ht="12" x14ac:dyDescent="0.25">
      <c r="A31" s="65"/>
      <c r="B31" s="65"/>
      <c r="C31" s="81" t="s">
        <v>107</v>
      </c>
      <c r="D31" s="37">
        <f t="shared" si="1"/>
        <v>0</v>
      </c>
      <c r="E31" s="77">
        <v>0.25</v>
      </c>
      <c r="F31" s="41" t="s">
        <v>104</v>
      </c>
      <c r="G31" s="21"/>
      <c r="H31" s="44">
        <f t="shared" si="0"/>
        <v>0</v>
      </c>
      <c r="I31" s="44">
        <f>IF(项目总工作量!B$6="交易类",H31*1.5/22,IF(项目总工作量!B$6="数据分析类",H31*1.5*0.9/22,IF(项目总工作量!B$6="流程管理类",H31*1.5*0.8/22,IF(项目总工作量!B$6="渠道类",H31*1.5*0.7/22,FALSE))))</f>
        <v>0</v>
      </c>
      <c r="J31" s="76"/>
    </row>
    <row r="32" spans="1:10" s="41" customFormat="1" ht="12" x14ac:dyDescent="0.25">
      <c r="A32" s="65"/>
      <c r="B32" s="65"/>
      <c r="C32" s="81"/>
      <c r="D32" s="37">
        <f t="shared" ref="D32:D49" si="5">I32</f>
        <v>0.27272727272727271</v>
      </c>
      <c r="E32" s="77"/>
      <c r="F32" s="41" t="s">
        <v>106</v>
      </c>
      <c r="G32" s="21" t="s">
        <v>70</v>
      </c>
      <c r="H32" s="44">
        <f t="shared" ref="H32:H57" si="6">IF(G32="EI",4,IF(G32="EO",5,IF(G32="EQ",4,0)))</f>
        <v>4</v>
      </c>
      <c r="I32" s="44">
        <f>IF(项目总工作量!B$6="交易类",H32*1.5/22,IF(项目总工作量!B$6="数据分析类",H32*1.5*0.9/22,IF(项目总工作量!B$6="流程管理类",H32*1.5*0.8/22,IF(项目总工作量!B$6="渠道类",H32*1.5*0.7/22,FALSE))))</f>
        <v>0.27272727272727271</v>
      </c>
      <c r="J32" s="66"/>
    </row>
    <row r="33" spans="1:10" s="41" customFormat="1" ht="12" x14ac:dyDescent="0.25">
      <c r="A33" s="65"/>
      <c r="B33" s="65"/>
      <c r="C33" s="81"/>
      <c r="D33" s="37">
        <f t="shared" si="5"/>
        <v>0.27272727272727271</v>
      </c>
      <c r="E33" s="77"/>
      <c r="F33" s="65" t="s">
        <v>108</v>
      </c>
      <c r="G33" s="21" t="s">
        <v>70</v>
      </c>
      <c r="H33" s="44">
        <f t="shared" si="6"/>
        <v>4</v>
      </c>
      <c r="I33" s="44">
        <f>IF(项目总工作量!B$6="交易类",H33*1.5/22,IF(项目总工作量!B$6="数据分析类",H33*1.5*0.9/22,IF(项目总工作量!B$6="流程管理类",H33*1.5*0.8/22,IF(项目总工作量!B$6="渠道类",H33*1.5*0.7/22,FALSE))))</f>
        <v>0.27272727272727271</v>
      </c>
      <c r="J33" s="66"/>
    </row>
    <row r="34" spans="1:10" s="41" customFormat="1" ht="12" x14ac:dyDescent="0.25">
      <c r="A34" s="65"/>
      <c r="B34" s="65"/>
      <c r="C34" s="81"/>
      <c r="D34" s="37">
        <f t="shared" si="5"/>
        <v>0.27272727272727271</v>
      </c>
      <c r="E34" s="77"/>
      <c r="F34" s="65" t="s">
        <v>109</v>
      </c>
      <c r="G34" s="21" t="s">
        <v>70</v>
      </c>
      <c r="H34" s="44">
        <f t="shared" si="6"/>
        <v>4</v>
      </c>
      <c r="I34" s="44">
        <f>IF(项目总工作量!B$6="交易类",H34*1.5/22,IF(项目总工作量!B$6="数据分析类",H34*1.5*0.9/22,IF(项目总工作量!B$6="流程管理类",H34*1.5*0.8/22,IF(项目总工作量!B$6="渠道类",H34*1.5*0.7/22,FALSE))))</f>
        <v>0.27272727272727271</v>
      </c>
      <c r="J34" s="66"/>
    </row>
    <row r="35" spans="1:10" s="41" customFormat="1" ht="12" x14ac:dyDescent="0.25">
      <c r="A35" s="65"/>
      <c r="B35" s="65"/>
      <c r="C35" s="81"/>
      <c r="D35" s="37">
        <f t="shared" si="5"/>
        <v>0.27272727272727271</v>
      </c>
      <c r="E35" s="77"/>
      <c r="F35" s="65" t="s">
        <v>110</v>
      </c>
      <c r="G35" s="21" t="s">
        <v>70</v>
      </c>
      <c r="H35" s="44">
        <f t="shared" si="6"/>
        <v>4</v>
      </c>
      <c r="I35" s="44">
        <f>IF(项目总工作量!B$6="交易类",H35*1.5/22,IF(项目总工作量!B$6="数据分析类",H35*1.5*0.9/22,IF(项目总工作量!B$6="流程管理类",H35*1.5*0.8/22,IF(项目总工作量!B$6="渠道类",H35*1.5*0.7/22,FALSE))))</f>
        <v>0.27272727272727271</v>
      </c>
      <c r="J35" s="66"/>
    </row>
    <row r="36" spans="1:10" s="41" customFormat="1" ht="12" x14ac:dyDescent="0.25">
      <c r="A36" s="65"/>
      <c r="B36" s="65"/>
      <c r="C36" s="81"/>
      <c r="D36" s="37">
        <f t="shared" si="5"/>
        <v>0.27272727272727271</v>
      </c>
      <c r="E36" s="77"/>
      <c r="F36" s="65" t="s">
        <v>111</v>
      </c>
      <c r="G36" s="21" t="s">
        <v>70</v>
      </c>
      <c r="H36" s="44">
        <f t="shared" si="6"/>
        <v>4</v>
      </c>
      <c r="I36" s="44">
        <f>IF(项目总工作量!B$6="交易类",H36*1.5/22,IF(项目总工作量!B$6="数据分析类",H36*1.5*0.9/22,IF(项目总工作量!B$6="流程管理类",H36*1.5*0.8/22,IF(项目总工作量!B$6="渠道类",H36*1.5*0.7/22,FALSE))))</f>
        <v>0.27272727272727271</v>
      </c>
      <c r="J36" s="66"/>
    </row>
    <row r="37" spans="1:10" s="41" customFormat="1" ht="12" x14ac:dyDescent="0.25">
      <c r="A37" s="65"/>
      <c r="B37" s="65"/>
      <c r="C37" s="81"/>
      <c r="D37" s="37">
        <f t="shared" si="5"/>
        <v>0.27272727272727271</v>
      </c>
      <c r="E37" s="77"/>
      <c r="F37" s="65" t="s">
        <v>105</v>
      </c>
      <c r="G37" s="21" t="s">
        <v>70</v>
      </c>
      <c r="H37" s="44">
        <f t="shared" si="6"/>
        <v>4</v>
      </c>
      <c r="I37" s="44">
        <f>IF(项目总工作量!B$6="交易类",H37*1.5/22,IF(项目总工作量!B$6="数据分析类",H37*1.5*0.9/22,IF(项目总工作量!B$6="流程管理类",H37*1.5*0.8/22,IF(项目总工作量!B$6="渠道类",H37*1.5*0.7/22,FALSE))))</f>
        <v>0.27272727272727271</v>
      </c>
      <c r="J37" s="66"/>
    </row>
    <row r="38" spans="1:10" s="41" customFormat="1" ht="12" x14ac:dyDescent="0.25">
      <c r="A38" s="65"/>
      <c r="B38" s="65"/>
      <c r="C38" s="81"/>
      <c r="D38" s="37">
        <f t="shared" si="5"/>
        <v>0.27272727272727271</v>
      </c>
      <c r="E38" s="77"/>
      <c r="F38" s="65" t="s">
        <v>112</v>
      </c>
      <c r="G38" s="21" t="s">
        <v>70</v>
      </c>
      <c r="H38" s="44">
        <f t="shared" si="6"/>
        <v>4</v>
      </c>
      <c r="I38" s="44">
        <f>IF(项目总工作量!B$6="交易类",H38*1.5/22,IF(项目总工作量!B$6="数据分析类",H38*1.5*0.9/22,IF(项目总工作量!B$6="流程管理类",H38*1.5*0.8/22,IF(项目总工作量!B$6="渠道类",H38*1.5*0.7/22,FALSE))))</f>
        <v>0.27272727272727271</v>
      </c>
      <c r="J38" s="66"/>
    </row>
    <row r="39" spans="1:10" s="41" customFormat="1" ht="12" x14ac:dyDescent="0.25">
      <c r="A39" s="65"/>
      <c r="B39" s="65"/>
      <c r="C39" s="81"/>
      <c r="D39" s="37"/>
      <c r="E39" s="77"/>
      <c r="F39" s="65" t="s">
        <v>120</v>
      </c>
      <c r="G39" s="21" t="s">
        <v>70</v>
      </c>
      <c r="H39" s="44">
        <f t="shared" si="6"/>
        <v>4</v>
      </c>
      <c r="I39" s="44"/>
      <c r="J39" s="66"/>
    </row>
    <row r="40" spans="1:10" s="41" customFormat="1" ht="12" x14ac:dyDescent="0.25">
      <c r="A40" s="65"/>
      <c r="B40" s="65"/>
      <c r="C40" s="81"/>
      <c r="D40" s="37">
        <f t="shared" si="5"/>
        <v>0.27272727272727271</v>
      </c>
      <c r="E40" s="77"/>
      <c r="F40" s="65" t="s">
        <v>98</v>
      </c>
      <c r="G40" s="21" t="s">
        <v>70</v>
      </c>
      <c r="H40" s="44">
        <f t="shared" si="6"/>
        <v>4</v>
      </c>
      <c r="I40" s="44">
        <f>IF(项目总工作量!B$6="交易类",H40*1.5/22,IF(项目总工作量!B$6="数据分析类",H40*1.5*0.9/22,IF(项目总工作量!B$6="流程管理类",H40*1.5*0.8/22,IF(项目总工作量!B$6="渠道类",H40*1.5*0.7/22,FALSE))))</f>
        <v>0.27272727272727271</v>
      </c>
      <c r="J40" s="66"/>
    </row>
    <row r="41" spans="1:10" s="41" customFormat="1" ht="12" x14ac:dyDescent="0.25">
      <c r="A41" s="65"/>
      <c r="B41" s="65"/>
      <c r="C41" s="81"/>
      <c r="D41" s="37">
        <f t="shared" ref="D41:D48" si="7">I41</f>
        <v>0.27272727272727271</v>
      </c>
      <c r="E41" s="77"/>
      <c r="F41" s="65" t="s">
        <v>97</v>
      </c>
      <c r="G41" s="21" t="s">
        <v>70</v>
      </c>
      <c r="H41" s="44">
        <f t="shared" ref="H41:H48" si="8">IF(G41="EI",4,IF(G41="EO",5,IF(G41="EQ",4,0)))</f>
        <v>4</v>
      </c>
      <c r="I41" s="44">
        <f>IF(项目总工作量!B$6="交易类",H41*1.5/22,IF(项目总工作量!B$6="数据分析类",H41*1.5*0.9/22,IF(项目总工作量!B$6="流程管理类",H41*1.5*0.8/22,IF(项目总工作量!B$6="渠道类",H41*1.5*0.7/22,FALSE))))</f>
        <v>0.27272727272727271</v>
      </c>
      <c r="J41" s="66"/>
    </row>
    <row r="42" spans="1:10" s="41" customFormat="1" ht="12" x14ac:dyDescent="0.25">
      <c r="A42" s="65"/>
      <c r="B42" s="65"/>
      <c r="C42" s="81"/>
      <c r="D42" s="37">
        <f t="shared" si="7"/>
        <v>0.27272727272727271</v>
      </c>
      <c r="E42" s="77"/>
      <c r="F42" s="41" t="s">
        <v>113</v>
      </c>
      <c r="G42" s="21" t="s">
        <v>70</v>
      </c>
      <c r="H42" s="44">
        <f t="shared" si="8"/>
        <v>4</v>
      </c>
      <c r="I42" s="44">
        <f>IF(项目总工作量!B$6="交易类",H42*1.5/22,IF(项目总工作量!B$6="数据分析类",H42*1.5*0.9/22,IF(项目总工作量!B$6="流程管理类",H42*1.5*0.8/22,IF(项目总工作量!B$6="渠道类",H42*1.5*0.7/22,FALSE))))</f>
        <v>0.27272727272727271</v>
      </c>
      <c r="J42" s="66"/>
    </row>
    <row r="43" spans="1:10" s="41" customFormat="1" ht="12" x14ac:dyDescent="0.25">
      <c r="A43" s="65"/>
      <c r="B43" s="65"/>
      <c r="C43" s="81"/>
      <c r="D43" s="37">
        <f t="shared" si="7"/>
        <v>0.27272727272727271</v>
      </c>
      <c r="E43" s="77"/>
      <c r="F43" s="65" t="s">
        <v>114</v>
      </c>
      <c r="G43" s="21" t="s">
        <v>70</v>
      </c>
      <c r="H43" s="44">
        <f t="shared" si="8"/>
        <v>4</v>
      </c>
      <c r="I43" s="44">
        <f>IF(项目总工作量!B$6="交易类",H43*1.5/22,IF(项目总工作量!B$6="数据分析类",H43*1.5*0.9/22,IF(项目总工作量!B$6="流程管理类",H43*1.5*0.8/22,IF(项目总工作量!B$6="渠道类",H43*1.5*0.7/22,FALSE))))</f>
        <v>0.27272727272727271</v>
      </c>
      <c r="J43" s="66"/>
    </row>
    <row r="44" spans="1:10" s="41" customFormat="1" ht="12" x14ac:dyDescent="0.25">
      <c r="A44" s="65"/>
      <c r="B44" s="65"/>
      <c r="C44" s="81"/>
      <c r="D44" s="37">
        <f t="shared" si="7"/>
        <v>0.27272727272727271</v>
      </c>
      <c r="E44" s="77"/>
      <c r="F44" s="65" t="s">
        <v>115</v>
      </c>
      <c r="G44" s="21" t="s">
        <v>70</v>
      </c>
      <c r="H44" s="44">
        <f t="shared" si="8"/>
        <v>4</v>
      </c>
      <c r="I44" s="44">
        <f>IF(项目总工作量!B$6="交易类",H44*1.5/22,IF(项目总工作量!B$6="数据分析类",H44*1.5*0.9/22,IF(项目总工作量!B$6="流程管理类",H44*1.5*0.8/22,IF(项目总工作量!B$6="渠道类",H44*1.5*0.7/22,FALSE))))</f>
        <v>0.27272727272727271</v>
      </c>
      <c r="J44" s="66"/>
    </row>
    <row r="45" spans="1:10" s="41" customFormat="1" ht="12" x14ac:dyDescent="0.25">
      <c r="A45" s="65"/>
      <c r="B45" s="65"/>
      <c r="C45" s="81"/>
      <c r="D45" s="37">
        <f t="shared" si="7"/>
        <v>0.27272727272727271</v>
      </c>
      <c r="E45" s="77">
        <v>1</v>
      </c>
      <c r="F45" s="65" t="s">
        <v>116</v>
      </c>
      <c r="G45" s="21" t="s">
        <v>70</v>
      </c>
      <c r="H45" s="44">
        <f t="shared" si="8"/>
        <v>4</v>
      </c>
      <c r="I45" s="44">
        <f>IF(项目总工作量!B$6="交易类",H45*1.5/22,IF(项目总工作量!B$6="数据分析类",H45*1.5*0.9/22,IF(项目总工作量!B$6="流程管理类",H45*1.5*0.8/22,IF(项目总工作量!B$6="渠道类",H45*1.5*0.7/22,FALSE))))</f>
        <v>0.27272727272727271</v>
      </c>
      <c r="J45" s="66"/>
    </row>
    <row r="46" spans="1:10" s="41" customFormat="1" ht="12" x14ac:dyDescent="0.25">
      <c r="A46" s="65"/>
      <c r="B46" s="65"/>
      <c r="C46" s="81"/>
      <c r="D46" s="37">
        <f t="shared" si="7"/>
        <v>0.27272727272727271</v>
      </c>
      <c r="E46" s="77"/>
      <c r="F46" s="65" t="s">
        <v>117</v>
      </c>
      <c r="G46" s="21" t="s">
        <v>70</v>
      </c>
      <c r="H46" s="44">
        <f t="shared" si="8"/>
        <v>4</v>
      </c>
      <c r="I46" s="44">
        <f>IF(项目总工作量!B$6="交易类",H46*1.5/22,IF(项目总工作量!B$6="数据分析类",H46*1.5*0.9/22,IF(项目总工作量!B$6="流程管理类",H46*1.5*0.8/22,IF(项目总工作量!B$6="渠道类",H46*1.5*0.7/22,FALSE))))</f>
        <v>0.27272727272727271</v>
      </c>
      <c r="J46" s="66"/>
    </row>
    <row r="47" spans="1:10" s="41" customFormat="1" ht="12" x14ac:dyDescent="0.25">
      <c r="A47" s="65"/>
      <c r="B47" s="65"/>
      <c r="C47" s="81"/>
      <c r="D47" s="37">
        <f t="shared" si="7"/>
        <v>0.27272727272727271</v>
      </c>
      <c r="E47" s="77"/>
      <c r="F47" s="65" t="s">
        <v>118</v>
      </c>
      <c r="G47" s="21" t="s">
        <v>70</v>
      </c>
      <c r="H47" s="44">
        <f t="shared" si="8"/>
        <v>4</v>
      </c>
      <c r="I47" s="44">
        <f>IF(项目总工作量!B$6="交易类",H47*1.5/22,IF(项目总工作量!B$6="数据分析类",H47*1.5*0.9/22,IF(项目总工作量!B$6="流程管理类",H47*1.5*0.8/22,IF(项目总工作量!B$6="渠道类",H47*1.5*0.7/22,FALSE))))</f>
        <v>0.27272727272727271</v>
      </c>
      <c r="J47" s="66"/>
    </row>
    <row r="48" spans="1:10" s="41" customFormat="1" ht="12" x14ac:dyDescent="0.25">
      <c r="A48" s="65"/>
      <c r="B48" s="65"/>
      <c r="C48" s="81"/>
      <c r="D48" s="37">
        <f t="shared" si="7"/>
        <v>0.27272727272727271</v>
      </c>
      <c r="E48" s="77"/>
      <c r="F48" s="65" t="s">
        <v>119</v>
      </c>
      <c r="G48" s="21" t="s">
        <v>70</v>
      </c>
      <c r="H48" s="44">
        <f t="shared" si="8"/>
        <v>4</v>
      </c>
      <c r="I48" s="44">
        <f>IF(项目总工作量!B$6="交易类",H48*1.5/22,IF(项目总工作量!B$6="数据分析类",H48*1.5*0.9/22,IF(项目总工作量!B$6="流程管理类",H48*1.5*0.8/22,IF(项目总工作量!B$6="渠道类",H48*1.5*0.7/22,FALSE))))</f>
        <v>0.27272727272727271</v>
      </c>
      <c r="J48" s="66"/>
    </row>
    <row r="49" spans="1:10" s="41" customFormat="1" ht="12" x14ac:dyDescent="0.25">
      <c r="A49" s="65"/>
      <c r="B49" s="65"/>
      <c r="C49" s="81"/>
      <c r="D49" s="37">
        <f t="shared" si="5"/>
        <v>0.27272727272727271</v>
      </c>
      <c r="E49" s="77"/>
      <c r="F49" s="82" t="s">
        <v>129</v>
      </c>
      <c r="G49" s="21" t="s">
        <v>70</v>
      </c>
      <c r="H49" s="44">
        <f t="shared" si="6"/>
        <v>4</v>
      </c>
      <c r="I49" s="44">
        <f>IF(项目总工作量!B$6="交易类",H49*1.5/22,IF(项目总工作量!B$6="数据分析类",H49*1.5*0.9/22,IF(项目总工作量!B$6="流程管理类",H49*1.5*0.8/22,IF(项目总工作量!B$6="渠道类",H49*1.5*0.7/22,FALSE))))</f>
        <v>0.27272727272727271</v>
      </c>
      <c r="J49" s="76"/>
    </row>
    <row r="50" spans="1:10" s="41" customFormat="1" ht="12" x14ac:dyDescent="0.25">
      <c r="A50" s="65"/>
      <c r="B50" s="65"/>
      <c r="C50" s="81"/>
      <c r="D50" s="37"/>
      <c r="E50" s="77"/>
      <c r="F50" s="82" t="s">
        <v>130</v>
      </c>
      <c r="G50" s="21" t="s">
        <v>70</v>
      </c>
      <c r="H50" s="44">
        <f t="shared" si="6"/>
        <v>4</v>
      </c>
      <c r="I50" s="44"/>
      <c r="J50" s="76"/>
    </row>
    <row r="51" spans="1:10" s="41" customFormat="1" ht="12" x14ac:dyDescent="0.25">
      <c r="A51" s="126"/>
      <c r="B51" s="127"/>
      <c r="C51" s="128"/>
      <c r="D51" s="37"/>
      <c r="E51" s="77"/>
      <c r="F51" s="82" t="s">
        <v>131</v>
      </c>
      <c r="G51" s="21" t="s">
        <v>70</v>
      </c>
      <c r="H51" s="44">
        <f t="shared" si="6"/>
        <v>4</v>
      </c>
      <c r="I51" s="44"/>
      <c r="J51" s="76"/>
    </row>
    <row r="52" spans="1:10" s="41" customFormat="1" ht="12" x14ac:dyDescent="0.25">
      <c r="A52" s="126"/>
      <c r="B52" s="127"/>
      <c r="C52" s="128"/>
      <c r="D52" s="37"/>
      <c r="E52" s="77"/>
      <c r="F52" s="82" t="s">
        <v>132</v>
      </c>
      <c r="G52" s="21" t="s">
        <v>70</v>
      </c>
      <c r="H52" s="44">
        <f t="shared" si="6"/>
        <v>4</v>
      </c>
      <c r="I52" s="44"/>
      <c r="J52" s="76"/>
    </row>
    <row r="53" spans="1:10" s="41" customFormat="1" ht="12" x14ac:dyDescent="0.25">
      <c r="A53" s="126"/>
      <c r="B53" s="127"/>
      <c r="C53" s="128"/>
      <c r="D53" s="37"/>
      <c r="E53" s="77"/>
      <c r="F53" s="82" t="s">
        <v>133</v>
      </c>
      <c r="G53" s="21" t="s">
        <v>70</v>
      </c>
      <c r="H53" s="44">
        <f t="shared" si="6"/>
        <v>4</v>
      </c>
      <c r="I53" s="44"/>
      <c r="J53" s="76"/>
    </row>
    <row r="54" spans="1:10" s="41" customFormat="1" ht="12" x14ac:dyDescent="0.25">
      <c r="A54" s="126"/>
      <c r="B54" s="127"/>
      <c r="C54" s="128"/>
      <c r="D54" s="37"/>
      <c r="E54" s="77"/>
      <c r="F54" s="82" t="s">
        <v>134</v>
      </c>
      <c r="G54" s="21" t="s">
        <v>70</v>
      </c>
      <c r="H54" s="44">
        <f t="shared" si="6"/>
        <v>4</v>
      </c>
      <c r="I54" s="44"/>
      <c r="J54" s="76"/>
    </row>
    <row r="55" spans="1:10" s="41" customFormat="1" ht="12" x14ac:dyDescent="0.25">
      <c r="A55" s="126"/>
      <c r="B55" s="127"/>
      <c r="C55" s="128"/>
      <c r="D55" s="37"/>
      <c r="E55" s="77"/>
      <c r="F55" s="82" t="s">
        <v>135</v>
      </c>
      <c r="G55" s="21" t="s">
        <v>70</v>
      </c>
      <c r="H55" s="44">
        <f t="shared" si="6"/>
        <v>4</v>
      </c>
      <c r="I55" s="44"/>
      <c r="J55" s="76"/>
    </row>
    <row r="56" spans="1:10" s="41" customFormat="1" ht="12" x14ac:dyDescent="0.25">
      <c r="A56" s="126"/>
      <c r="B56" s="127"/>
      <c r="C56" s="128"/>
      <c r="D56" s="37"/>
      <c r="E56" s="77"/>
      <c r="F56" s="82" t="s">
        <v>136</v>
      </c>
      <c r="G56" s="21" t="s">
        <v>70</v>
      </c>
      <c r="H56" s="44">
        <f t="shared" si="6"/>
        <v>4</v>
      </c>
      <c r="I56" s="44"/>
      <c r="J56" s="76"/>
    </row>
    <row r="57" spans="1:10" s="41" customFormat="1" ht="12" x14ac:dyDescent="0.25">
      <c r="A57" s="126"/>
      <c r="B57" s="127"/>
      <c r="C57" s="128"/>
      <c r="D57" s="37"/>
      <c r="E57" s="77"/>
      <c r="F57" s="82" t="s">
        <v>137</v>
      </c>
      <c r="G57" s="21" t="s">
        <v>70</v>
      </c>
      <c r="H57" s="44">
        <f t="shared" si="6"/>
        <v>4</v>
      </c>
      <c r="I57" s="44"/>
      <c r="J57" s="76"/>
    </row>
    <row r="58" spans="1:10" s="42" customFormat="1" ht="12" x14ac:dyDescent="0.25">
      <c r="A58" s="114" t="s">
        <v>41</v>
      </c>
      <c r="B58" s="115"/>
      <c r="C58" s="125"/>
      <c r="D58" s="37">
        <f>SUM(D4:D49)</f>
        <v>9.2727272727272698</v>
      </c>
      <c r="E58" s="78">
        <f>SUM(E4:E49)</f>
        <v>10.25</v>
      </c>
      <c r="F58" s="61"/>
      <c r="G58" s="61"/>
      <c r="H58" s="40">
        <f>SUM(H4:H57)</f>
        <v>180</v>
      </c>
      <c r="I58" s="40">
        <f>SUM(I4:I49)</f>
        <v>9.2727272727272698</v>
      </c>
      <c r="J58" s="61"/>
    </row>
  </sheetData>
  <mergeCells count="2">
    <mergeCell ref="A58:C58"/>
    <mergeCell ref="A1:J1"/>
  </mergeCells>
  <phoneticPr fontId="2" type="noConversion"/>
  <dataValidations count="2">
    <dataValidation type="list" allowBlank="1" showInputMessage="1" showErrorMessage="1" sqref="G4:G60">
      <formula1>"EI,EQ,EO"</formula1>
    </dataValidation>
    <dataValidation type="list" allowBlank="1" showInputMessage="1" showErrorMessage="1" sqref="J4:J60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9"/>
  <sheetViews>
    <sheetView workbookViewId="0">
      <selection activeCell="F6" sqref="F6"/>
    </sheetView>
  </sheetViews>
  <sheetFormatPr defaultColWidth="9" defaultRowHeight="15.6" x14ac:dyDescent="0.25"/>
  <cols>
    <col min="1" max="1" width="6.19921875" style="29" customWidth="1"/>
    <col min="2" max="2" width="32.09765625" style="29" customWidth="1"/>
    <col min="3" max="3" width="26.5" style="29" customWidth="1"/>
    <col min="4" max="4" width="8.69921875" style="64" customWidth="1"/>
    <col min="5" max="5" width="20.09765625" style="38" customWidth="1"/>
    <col min="6" max="6" width="20.19921875" style="38" customWidth="1"/>
    <col min="7" max="7" width="12.5" style="29" customWidth="1"/>
    <col min="8" max="8" width="9.69921875" style="29" customWidth="1"/>
    <col min="9" max="16384" width="9" style="29"/>
  </cols>
  <sheetData>
    <row r="1" spans="1:8" ht="31.5" customHeight="1" x14ac:dyDescent="0.25">
      <c r="A1" s="116" t="s">
        <v>6</v>
      </c>
      <c r="B1" s="116"/>
      <c r="C1" s="116"/>
      <c r="D1" s="116"/>
      <c r="E1" s="116"/>
      <c r="F1" s="116"/>
      <c r="G1" s="116"/>
      <c r="H1" s="116"/>
    </row>
    <row r="2" spans="1:8" s="31" customFormat="1" ht="34.5" customHeight="1" x14ac:dyDescent="0.25">
      <c r="A2" s="30" t="s">
        <v>0</v>
      </c>
      <c r="B2" s="30" t="s">
        <v>1</v>
      </c>
      <c r="C2" s="30" t="s">
        <v>2</v>
      </c>
      <c r="D2" s="62" t="s">
        <v>54</v>
      </c>
      <c r="E2" s="87" t="s">
        <v>12</v>
      </c>
      <c r="F2" s="87" t="s">
        <v>13</v>
      </c>
      <c r="G2" s="88" t="s">
        <v>5</v>
      </c>
      <c r="H2" s="88" t="s">
        <v>67</v>
      </c>
    </row>
    <row r="3" spans="1:8" s="31" customFormat="1" ht="74.25" customHeight="1" x14ac:dyDescent="0.25">
      <c r="A3" s="24"/>
      <c r="B3" s="32" t="s">
        <v>61</v>
      </c>
      <c r="C3" s="25" t="s">
        <v>51</v>
      </c>
      <c r="D3" s="67" t="s">
        <v>59</v>
      </c>
      <c r="E3" s="67" t="s">
        <v>59</v>
      </c>
      <c r="F3" s="36" t="s">
        <v>52</v>
      </c>
      <c r="G3" s="89" t="s">
        <v>50</v>
      </c>
      <c r="H3" s="89" t="s">
        <v>69</v>
      </c>
    </row>
    <row r="4" spans="1:8" s="41" customFormat="1" ht="15" customHeight="1" x14ac:dyDescent="0.25">
      <c r="A4" s="68">
        <v>1</v>
      </c>
      <c r="B4" s="41" t="s">
        <v>73</v>
      </c>
      <c r="C4" s="68" t="s">
        <v>72</v>
      </c>
      <c r="D4" s="69">
        <f t="shared" ref="D4:D108" si="0">IF(C4="ILF",10,IF(C4="EIF",7,0))</f>
        <v>10</v>
      </c>
      <c r="E4" s="70">
        <f>IF(项目总工作量!$B$6="交易类",D4*1.5/22,IF(项目总工作量!$B$6="数据分析类",D4*1.5*0.9/22,IF(项目总工作量!$B$6="流程管理类",D4*1.5*0.8/22,IF(项目总工作量!$B$6="渠道类",FALSE))))</f>
        <v>0.68181818181818177</v>
      </c>
      <c r="F4" s="71"/>
      <c r="G4" s="68"/>
      <c r="H4" s="65"/>
    </row>
    <row r="5" spans="1:8" s="41" customFormat="1" ht="12" x14ac:dyDescent="0.25">
      <c r="A5" s="43">
        <v>2</v>
      </c>
      <c r="B5" s="43" t="s">
        <v>74</v>
      </c>
      <c r="C5" s="43" t="s">
        <v>72</v>
      </c>
      <c r="D5" s="69">
        <f t="shared" si="0"/>
        <v>10</v>
      </c>
      <c r="E5" s="74">
        <f>IF(项目总工作量!$B$6="交易类",D5*1.5/22,IF(项目总工作量!$B$6="数据分析类",D5*1.5*0.9/22,IF(项目总工作量!$B$6="流程管理类",D5*1.5*0.8/22,IF(项目总工作量!$B$6="渠道类",FALSE))))</f>
        <v>0.68181818181818177</v>
      </c>
      <c r="F5" s="39"/>
      <c r="G5" s="43"/>
      <c r="H5" s="65"/>
    </row>
    <row r="6" spans="1:8" s="41" customFormat="1" ht="12" x14ac:dyDescent="0.25">
      <c r="A6" s="43"/>
      <c r="B6" s="43"/>
      <c r="C6" s="43"/>
      <c r="D6" s="69">
        <f t="shared" si="0"/>
        <v>0</v>
      </c>
      <c r="E6" s="74">
        <f>IF(项目总工作量!$B$6="交易类",D6*1.5/22,IF(项目总工作量!$B$6="数据分析类",D6*1.5*0.9/22,IF(项目总工作量!$B$6="流程管理类",D6*1.5*0.8/22,IF(项目总工作量!$B$6="渠道类",FALSE))))</f>
        <v>0</v>
      </c>
      <c r="F6" s="39"/>
      <c r="G6" s="43"/>
      <c r="H6" s="65"/>
    </row>
    <row r="7" spans="1:8" s="41" customFormat="1" ht="12" x14ac:dyDescent="0.25">
      <c r="A7" s="43"/>
      <c r="B7" s="43"/>
      <c r="C7" s="43"/>
      <c r="D7" s="69">
        <f t="shared" si="0"/>
        <v>0</v>
      </c>
      <c r="E7" s="74">
        <f>IF(项目总工作量!$B$6="交易类",D7*1.5/22,IF(项目总工作量!$B$6="数据分析类",D7*1.5*0.9/22,IF(项目总工作量!$B$6="流程管理类",D7*1.5*0.8/22,IF(项目总工作量!$B$6="渠道类",FALSE))))</f>
        <v>0</v>
      </c>
      <c r="F7" s="39"/>
      <c r="G7" s="43"/>
      <c r="H7" s="65"/>
    </row>
    <row r="8" spans="1:8" s="41" customFormat="1" ht="12" x14ac:dyDescent="0.25">
      <c r="A8" s="43"/>
      <c r="B8" s="43"/>
      <c r="C8" s="43"/>
      <c r="D8" s="69">
        <f t="shared" si="0"/>
        <v>0</v>
      </c>
      <c r="E8" s="74">
        <f>IF(项目总工作量!$B$6="交易类",D8*1.5/22,IF(项目总工作量!$B$6="数据分析类",D8*1.5*0.9/22,IF(项目总工作量!$B$6="流程管理类",D8*1.5*0.8/22,IF(项目总工作量!$B$6="渠道类",FALSE))))</f>
        <v>0</v>
      </c>
      <c r="F8" s="39"/>
      <c r="G8" s="43"/>
      <c r="H8" s="65"/>
    </row>
    <row r="9" spans="1:8" s="41" customFormat="1" ht="12" x14ac:dyDescent="0.25">
      <c r="A9" s="43"/>
      <c r="B9" s="43"/>
      <c r="C9" s="43"/>
      <c r="D9" s="69">
        <f t="shared" si="0"/>
        <v>0</v>
      </c>
      <c r="E9" s="74">
        <f>IF(项目总工作量!$B$6="交易类",D9*1.5/22,IF(项目总工作量!$B$6="数据分析类",D9*1.5*0.9/22,IF(项目总工作量!$B$6="流程管理类",D9*1.5*0.8/22,IF(项目总工作量!$B$6="渠道类",FALSE))))</f>
        <v>0</v>
      </c>
      <c r="F9" s="39"/>
      <c r="G9" s="43"/>
      <c r="H9" s="65"/>
    </row>
    <row r="10" spans="1:8" s="41" customFormat="1" ht="12" x14ac:dyDescent="0.25">
      <c r="A10" s="43"/>
      <c r="B10" s="43"/>
      <c r="C10" s="43"/>
      <c r="D10" s="69">
        <f t="shared" si="0"/>
        <v>0</v>
      </c>
      <c r="E10" s="74">
        <f>IF(项目总工作量!$B$6="交易类",D10*1.5/22,IF(项目总工作量!$B$6="数据分析类",D10*1.5*0.9/22,IF(项目总工作量!$B$6="流程管理类",D10*1.5*0.8/22,IF(项目总工作量!$B$6="渠道类",FALSE))))</f>
        <v>0</v>
      </c>
      <c r="F10" s="39"/>
      <c r="G10" s="43"/>
      <c r="H10" s="65"/>
    </row>
    <row r="11" spans="1:8" s="41" customFormat="1" ht="12" x14ac:dyDescent="0.25">
      <c r="A11" s="43"/>
      <c r="B11" s="43"/>
      <c r="C11" s="43"/>
      <c r="D11" s="69">
        <f t="shared" si="0"/>
        <v>0</v>
      </c>
      <c r="E11" s="74">
        <f>IF(项目总工作量!$B$6="交易类",D11*1.5/22,IF(项目总工作量!$B$6="数据分析类",D11*1.5*0.9/22,IF(项目总工作量!$B$6="流程管理类",D11*1.5*0.8/22,IF(项目总工作量!$B$6="渠道类",FALSE))))</f>
        <v>0</v>
      </c>
      <c r="F11" s="39"/>
      <c r="G11" s="43"/>
      <c r="H11" s="65"/>
    </row>
    <row r="12" spans="1:8" s="41" customFormat="1" ht="12" x14ac:dyDescent="0.25">
      <c r="A12" s="43"/>
      <c r="B12" s="43"/>
      <c r="C12" s="43"/>
      <c r="D12" s="69">
        <f t="shared" si="0"/>
        <v>0</v>
      </c>
      <c r="E12" s="74">
        <f>IF(项目总工作量!$B$6="交易类",D12*1.5/22,IF(项目总工作量!$B$6="数据分析类",D12*1.5*0.9/22,IF(项目总工作量!$B$6="流程管理类",D12*1.5*0.8/22,IF(项目总工作量!$B$6="渠道类",FALSE))))</f>
        <v>0</v>
      </c>
      <c r="F12" s="39"/>
      <c r="G12" s="43"/>
      <c r="H12" s="65"/>
    </row>
    <row r="13" spans="1:8" s="41" customFormat="1" ht="12" x14ac:dyDescent="0.25">
      <c r="A13" s="43"/>
      <c r="B13" s="43"/>
      <c r="C13" s="43"/>
      <c r="D13" s="69">
        <f t="shared" si="0"/>
        <v>0</v>
      </c>
      <c r="E13" s="74">
        <f>IF(项目总工作量!$B$6="交易类",D13*1.5/22,IF(项目总工作量!$B$6="数据分析类",D13*1.5*0.9/22,IF(项目总工作量!$B$6="流程管理类",D13*1.5*0.8/22,IF(项目总工作量!$B$6="渠道类",FALSE))))</f>
        <v>0</v>
      </c>
      <c r="F13" s="39"/>
      <c r="G13" s="43"/>
      <c r="H13" s="65"/>
    </row>
    <row r="14" spans="1:8" s="41" customFormat="1" ht="12" x14ac:dyDescent="0.25">
      <c r="A14" s="43"/>
      <c r="B14" s="43"/>
      <c r="C14" s="43"/>
      <c r="D14" s="69">
        <f t="shared" si="0"/>
        <v>0</v>
      </c>
      <c r="E14" s="74">
        <f>IF(项目总工作量!$B$6="交易类",D14*1.5/22,IF(项目总工作量!$B$6="数据分析类",D14*1.5*0.9/22,IF(项目总工作量!$B$6="流程管理类",D14*1.5*0.8/22,IF(项目总工作量!$B$6="渠道类",FALSE))))</f>
        <v>0</v>
      </c>
      <c r="F14" s="39"/>
      <c r="G14" s="43"/>
      <c r="H14" s="65"/>
    </row>
    <row r="15" spans="1:8" s="41" customFormat="1" ht="12" x14ac:dyDescent="0.25">
      <c r="A15" s="43"/>
      <c r="B15" s="43"/>
      <c r="C15" s="43"/>
      <c r="D15" s="69">
        <f t="shared" si="0"/>
        <v>0</v>
      </c>
      <c r="E15" s="74">
        <f>IF(项目总工作量!$B$6="交易类",D15*1.5/22,IF(项目总工作量!$B$6="数据分析类",D15*1.5*0.9/22,IF(项目总工作量!$B$6="流程管理类",D15*1.5*0.8/22,IF(项目总工作量!$B$6="渠道类",FALSE))))</f>
        <v>0</v>
      </c>
      <c r="F15" s="39"/>
      <c r="G15" s="43"/>
      <c r="H15" s="65"/>
    </row>
    <row r="16" spans="1:8" s="41" customFormat="1" ht="12" x14ac:dyDescent="0.25">
      <c r="A16" s="43"/>
      <c r="B16" s="43"/>
      <c r="C16" s="43"/>
      <c r="D16" s="69">
        <f t="shared" si="0"/>
        <v>0</v>
      </c>
      <c r="E16" s="74">
        <f>IF(项目总工作量!$B$6="交易类",D16*1.5/22,IF(项目总工作量!$B$6="数据分析类",D16*1.5*0.9/22,IF(项目总工作量!$B$6="流程管理类",D16*1.5*0.8/22,IF(项目总工作量!$B$6="渠道类",FALSE))))</f>
        <v>0</v>
      </c>
      <c r="F16" s="39"/>
      <c r="G16" s="43"/>
      <c r="H16" s="65"/>
    </row>
    <row r="17" spans="1:8" s="41" customFormat="1" ht="12" x14ac:dyDescent="0.25">
      <c r="A17" s="43"/>
      <c r="B17" s="43"/>
      <c r="C17" s="43"/>
      <c r="D17" s="69">
        <f t="shared" si="0"/>
        <v>0</v>
      </c>
      <c r="E17" s="74">
        <f>IF(项目总工作量!$B$6="交易类",D17*1.5/22,IF(项目总工作量!$B$6="数据分析类",D17*1.5*0.9/22,IF(项目总工作量!$B$6="流程管理类",D17*1.5*0.8/22,IF(项目总工作量!$B$6="渠道类",FALSE))))</f>
        <v>0</v>
      </c>
      <c r="F17" s="39"/>
      <c r="G17" s="43"/>
      <c r="H17" s="65"/>
    </row>
    <row r="18" spans="1:8" s="41" customFormat="1" ht="12" x14ac:dyDescent="0.25">
      <c r="A18" s="43"/>
      <c r="B18" s="43"/>
      <c r="C18" s="43"/>
      <c r="D18" s="69">
        <f t="shared" si="0"/>
        <v>0</v>
      </c>
      <c r="E18" s="74">
        <f>IF(项目总工作量!$B$6="交易类",D18*1.5/22,IF(项目总工作量!$B$6="数据分析类",D18*1.5*0.9/22,IF(项目总工作量!$B$6="流程管理类",D18*1.5*0.8/22,IF(项目总工作量!$B$6="渠道类",FALSE))))</f>
        <v>0</v>
      </c>
      <c r="F18" s="39"/>
      <c r="G18" s="43"/>
      <c r="H18" s="65"/>
    </row>
    <row r="19" spans="1:8" s="41" customFormat="1" ht="12" x14ac:dyDescent="0.25">
      <c r="A19" s="43"/>
      <c r="B19" s="43"/>
      <c r="C19" s="43"/>
      <c r="D19" s="69">
        <f t="shared" si="0"/>
        <v>0</v>
      </c>
      <c r="E19" s="74">
        <f>IF(项目总工作量!$B$6="交易类",D19*1.5/22,IF(项目总工作量!$B$6="数据分析类",D19*1.5*0.9/22,IF(项目总工作量!$B$6="流程管理类",D19*1.5*0.8/22,IF(项目总工作量!$B$6="渠道类",FALSE))))</f>
        <v>0</v>
      </c>
      <c r="F19" s="39"/>
      <c r="G19" s="43"/>
      <c r="H19" s="65"/>
    </row>
    <row r="20" spans="1:8" s="41" customFormat="1" ht="12" x14ac:dyDescent="0.25">
      <c r="A20" s="43"/>
      <c r="B20" s="43"/>
      <c r="C20" s="43"/>
      <c r="D20" s="69">
        <f t="shared" si="0"/>
        <v>0</v>
      </c>
      <c r="E20" s="74">
        <f>IF(项目总工作量!$B$6="交易类",D20*1.5/22,IF(项目总工作量!$B$6="数据分析类",D20*1.5*0.9/22,IF(项目总工作量!$B$6="流程管理类",D20*1.5*0.8/22,IF(项目总工作量!$B$6="渠道类",FALSE))))</f>
        <v>0</v>
      </c>
      <c r="F20" s="39"/>
      <c r="G20" s="43"/>
      <c r="H20" s="65"/>
    </row>
    <row r="21" spans="1:8" s="41" customFormat="1" ht="12" x14ac:dyDescent="0.25">
      <c r="A21" s="43"/>
      <c r="B21" s="43"/>
      <c r="C21" s="43"/>
      <c r="D21" s="69">
        <f t="shared" si="0"/>
        <v>0</v>
      </c>
      <c r="E21" s="74">
        <f>IF(项目总工作量!$B$6="交易类",D21*1.5/22,IF(项目总工作量!$B$6="数据分析类",D21*1.5*0.9/22,IF(项目总工作量!$B$6="流程管理类",D21*1.5*0.8/22,IF(项目总工作量!$B$6="渠道类",FALSE))))</f>
        <v>0</v>
      </c>
      <c r="F21" s="39"/>
      <c r="G21" s="43"/>
      <c r="H21" s="65"/>
    </row>
    <row r="22" spans="1:8" s="41" customFormat="1" ht="12" x14ac:dyDescent="0.25">
      <c r="A22" s="43"/>
      <c r="B22" s="43"/>
      <c r="C22" s="43"/>
      <c r="D22" s="69">
        <f t="shared" si="0"/>
        <v>0</v>
      </c>
      <c r="E22" s="74">
        <f>IF(项目总工作量!$B$6="交易类",D22*1.5/22,IF(项目总工作量!$B$6="数据分析类",D22*1.5*0.9/22,IF(项目总工作量!$B$6="流程管理类",D22*1.5*0.8/22,IF(项目总工作量!$B$6="渠道类",FALSE))))</f>
        <v>0</v>
      </c>
      <c r="F22" s="39"/>
      <c r="G22" s="43"/>
      <c r="H22" s="65"/>
    </row>
    <row r="23" spans="1:8" s="41" customFormat="1" ht="12" x14ac:dyDescent="0.25">
      <c r="A23" s="43"/>
      <c r="B23" s="43"/>
      <c r="C23" s="43"/>
      <c r="D23" s="69">
        <f t="shared" si="0"/>
        <v>0</v>
      </c>
      <c r="E23" s="74">
        <f>IF(项目总工作量!$B$6="交易类",D23*1.5/22,IF(项目总工作量!$B$6="数据分析类",D23*1.5*0.9/22,IF(项目总工作量!$B$6="流程管理类",D23*1.5*0.8/22,IF(项目总工作量!$B$6="渠道类",FALSE))))</f>
        <v>0</v>
      </c>
      <c r="F23" s="39"/>
      <c r="G23" s="43"/>
      <c r="H23" s="65"/>
    </row>
    <row r="24" spans="1:8" s="41" customFormat="1" ht="12" x14ac:dyDescent="0.25">
      <c r="A24" s="43"/>
      <c r="B24" s="43"/>
      <c r="C24" s="43"/>
      <c r="D24" s="69">
        <f t="shared" si="0"/>
        <v>0</v>
      </c>
      <c r="E24" s="74">
        <f>IF(项目总工作量!$B$6="交易类",D24*1.5/22,IF(项目总工作量!$B$6="数据分析类",D24*1.5*0.9/22,IF(项目总工作量!$B$6="流程管理类",D24*1.5*0.8/22,IF(项目总工作量!$B$6="渠道类",FALSE))))</f>
        <v>0</v>
      </c>
      <c r="F24" s="39"/>
      <c r="G24" s="43"/>
      <c r="H24" s="65"/>
    </row>
    <row r="25" spans="1:8" s="41" customFormat="1" ht="12" x14ac:dyDescent="0.25">
      <c r="A25" s="43"/>
      <c r="B25" s="43"/>
      <c r="C25" s="43"/>
      <c r="D25" s="69">
        <f t="shared" si="0"/>
        <v>0</v>
      </c>
      <c r="E25" s="74">
        <f>IF(项目总工作量!$B$6="交易类",D25*1.5/22,IF(项目总工作量!$B$6="数据分析类",D25*1.5*0.9/22,IF(项目总工作量!$B$6="流程管理类",D25*1.5*0.8/22,IF(项目总工作量!$B$6="渠道类",FALSE))))</f>
        <v>0</v>
      </c>
      <c r="F25" s="39"/>
      <c r="G25" s="43"/>
      <c r="H25" s="65"/>
    </row>
    <row r="26" spans="1:8" s="41" customFormat="1" ht="12" x14ac:dyDescent="0.25">
      <c r="A26" s="43"/>
      <c r="B26" s="43"/>
      <c r="C26" s="43"/>
      <c r="D26" s="69">
        <f t="shared" si="0"/>
        <v>0</v>
      </c>
      <c r="E26" s="74">
        <f>IF(项目总工作量!$B$6="交易类",D26*1.5/22,IF(项目总工作量!$B$6="数据分析类",D26*1.5*0.9/22,IF(项目总工作量!$B$6="流程管理类",D26*1.5*0.8/22,IF(项目总工作量!$B$6="渠道类",FALSE))))</f>
        <v>0</v>
      </c>
      <c r="F26" s="39"/>
      <c r="G26" s="43"/>
      <c r="H26" s="65"/>
    </row>
    <row r="27" spans="1:8" s="41" customFormat="1" ht="12" x14ac:dyDescent="0.25">
      <c r="A27" s="43"/>
      <c r="B27" s="43"/>
      <c r="C27" s="43"/>
      <c r="D27" s="69">
        <f t="shared" si="0"/>
        <v>0</v>
      </c>
      <c r="E27" s="74">
        <f>IF(项目总工作量!$B$6="交易类",D27*1.5/22,IF(项目总工作量!$B$6="数据分析类",D27*1.5*0.9/22,IF(项目总工作量!$B$6="流程管理类",D27*1.5*0.8/22,IF(项目总工作量!$B$6="渠道类",FALSE))))</f>
        <v>0</v>
      </c>
      <c r="F27" s="39"/>
      <c r="G27" s="43"/>
      <c r="H27" s="65"/>
    </row>
    <row r="28" spans="1:8" s="41" customFormat="1" ht="12" x14ac:dyDescent="0.25">
      <c r="A28" s="43"/>
      <c r="B28" s="43"/>
      <c r="C28" s="43"/>
      <c r="D28" s="69">
        <f t="shared" si="0"/>
        <v>0</v>
      </c>
      <c r="E28" s="74">
        <f>IF(项目总工作量!$B$6="交易类",D28*1.5/22,IF(项目总工作量!$B$6="数据分析类",D28*1.5*0.9/22,IF(项目总工作量!$B$6="流程管理类",D28*1.5*0.8/22,IF(项目总工作量!$B$6="渠道类",FALSE))))</f>
        <v>0</v>
      </c>
      <c r="F28" s="39"/>
      <c r="G28" s="43"/>
      <c r="H28" s="65"/>
    </row>
    <row r="29" spans="1:8" s="41" customFormat="1" ht="12" x14ac:dyDescent="0.25">
      <c r="A29" s="43"/>
      <c r="B29" s="43"/>
      <c r="C29" s="43"/>
      <c r="D29" s="69">
        <f t="shared" ref="D29:D86" si="1">IF(C29="ILF",10,IF(C29="EIF",7,0))</f>
        <v>0</v>
      </c>
      <c r="E29" s="83">
        <f>IF(项目总工作量!$B$6="交易类",D29*1.5/22,IF(项目总工作量!$B$6="数据分析类",D29*1.5*0.9/22,IF(项目总工作量!$B$6="流程管理类",D29*1.5*0.8/22,IF(项目总工作量!$B$6="渠道类",FALSE))))</f>
        <v>0</v>
      </c>
      <c r="F29" s="39"/>
      <c r="G29" s="43"/>
      <c r="H29" s="65"/>
    </row>
    <row r="30" spans="1:8" s="41" customFormat="1" ht="12" x14ac:dyDescent="0.25">
      <c r="A30" s="43"/>
      <c r="B30" s="43"/>
      <c r="C30" s="43"/>
      <c r="D30" s="69">
        <f t="shared" si="1"/>
        <v>0</v>
      </c>
      <c r="E30" s="83">
        <f>IF(项目总工作量!$B$6="交易类",D30*1.5/22,IF(项目总工作量!$B$6="数据分析类",D30*1.5*0.9/22,IF(项目总工作量!$B$6="流程管理类",D30*1.5*0.8/22,IF(项目总工作量!$B$6="渠道类",FALSE))))</f>
        <v>0</v>
      </c>
      <c r="F30" s="39"/>
      <c r="G30" s="43"/>
      <c r="H30" s="65"/>
    </row>
    <row r="31" spans="1:8" s="41" customFormat="1" ht="12" x14ac:dyDescent="0.25">
      <c r="A31" s="43"/>
      <c r="B31" s="43"/>
      <c r="C31" s="43"/>
      <c r="D31" s="69">
        <f t="shared" si="1"/>
        <v>0</v>
      </c>
      <c r="E31" s="83">
        <f>IF(项目总工作量!$B$6="交易类",D31*1.5/22,IF(项目总工作量!$B$6="数据分析类",D31*1.5*0.9/22,IF(项目总工作量!$B$6="流程管理类",D31*1.5*0.8/22,IF(项目总工作量!$B$6="渠道类",FALSE))))</f>
        <v>0</v>
      </c>
      <c r="F31" s="39"/>
      <c r="G31" s="43"/>
      <c r="H31" s="65"/>
    </row>
    <row r="32" spans="1:8" s="41" customFormat="1" ht="12" x14ac:dyDescent="0.25">
      <c r="A32" s="43"/>
      <c r="B32" s="43"/>
      <c r="C32" s="43"/>
      <c r="D32" s="69">
        <f t="shared" si="1"/>
        <v>0</v>
      </c>
      <c r="E32" s="83">
        <f>IF(项目总工作量!$B$6="交易类",D32*1.5/22,IF(项目总工作量!$B$6="数据分析类",D32*1.5*0.9/22,IF(项目总工作量!$B$6="流程管理类",D32*1.5*0.8/22,IF(项目总工作量!$B$6="渠道类",FALSE))))</f>
        <v>0</v>
      </c>
      <c r="F32" s="39"/>
      <c r="G32" s="43"/>
      <c r="H32" s="65"/>
    </row>
    <row r="33" spans="1:8" s="41" customFormat="1" ht="12" x14ac:dyDescent="0.25">
      <c r="A33" s="43"/>
      <c r="B33" s="43"/>
      <c r="C33" s="43"/>
      <c r="D33" s="69">
        <f t="shared" si="1"/>
        <v>0</v>
      </c>
      <c r="E33" s="83">
        <f>IF(项目总工作量!$B$6="交易类",D33*1.5/22,IF(项目总工作量!$B$6="数据分析类",D33*1.5*0.9/22,IF(项目总工作量!$B$6="流程管理类",D33*1.5*0.8/22,IF(项目总工作量!$B$6="渠道类",FALSE))))</f>
        <v>0</v>
      </c>
      <c r="F33" s="39"/>
      <c r="G33" s="43"/>
      <c r="H33" s="65"/>
    </row>
    <row r="34" spans="1:8" s="41" customFormat="1" ht="12" x14ac:dyDescent="0.25">
      <c r="A34" s="43"/>
      <c r="B34" s="43"/>
      <c r="C34" s="43"/>
      <c r="D34" s="69">
        <f t="shared" si="1"/>
        <v>0</v>
      </c>
      <c r="E34" s="83">
        <f>IF(项目总工作量!$B$6="交易类",D34*1.5/22,IF(项目总工作量!$B$6="数据分析类",D34*1.5*0.9/22,IF(项目总工作量!$B$6="流程管理类",D34*1.5*0.8/22,IF(项目总工作量!$B$6="渠道类",FALSE))))</f>
        <v>0</v>
      </c>
      <c r="F34" s="39"/>
      <c r="G34" s="43"/>
      <c r="H34" s="65"/>
    </row>
    <row r="35" spans="1:8" s="41" customFormat="1" ht="12" x14ac:dyDescent="0.25">
      <c r="A35" s="43"/>
      <c r="B35" s="43"/>
      <c r="C35" s="43"/>
      <c r="D35" s="69">
        <f t="shared" si="1"/>
        <v>0</v>
      </c>
      <c r="E35" s="83">
        <f>IF(项目总工作量!$B$6="交易类",D35*1.5/22,IF(项目总工作量!$B$6="数据分析类",D35*1.5*0.9/22,IF(项目总工作量!$B$6="流程管理类",D35*1.5*0.8/22,IF(项目总工作量!$B$6="渠道类",FALSE))))</f>
        <v>0</v>
      </c>
      <c r="F35" s="39"/>
      <c r="G35" s="43"/>
      <c r="H35" s="65"/>
    </row>
    <row r="36" spans="1:8" s="41" customFormat="1" ht="12" x14ac:dyDescent="0.25">
      <c r="A36" s="43"/>
      <c r="B36" s="43"/>
      <c r="C36" s="43"/>
      <c r="D36" s="69">
        <f t="shared" si="1"/>
        <v>0</v>
      </c>
      <c r="E36" s="83">
        <f>IF(项目总工作量!$B$6="交易类",D36*1.5/22,IF(项目总工作量!$B$6="数据分析类",D36*1.5*0.9/22,IF(项目总工作量!$B$6="流程管理类",D36*1.5*0.8/22,IF(项目总工作量!$B$6="渠道类",FALSE))))</f>
        <v>0</v>
      </c>
      <c r="F36" s="39"/>
      <c r="G36" s="43"/>
      <c r="H36" s="65"/>
    </row>
    <row r="37" spans="1:8" s="41" customFormat="1" ht="12" x14ac:dyDescent="0.25">
      <c r="A37" s="43"/>
      <c r="B37" s="43"/>
      <c r="C37" s="43"/>
      <c r="D37" s="69">
        <f t="shared" si="1"/>
        <v>0</v>
      </c>
      <c r="E37" s="83">
        <f>IF(项目总工作量!$B$6="交易类",D37*1.5/22,IF(项目总工作量!$B$6="数据分析类",D37*1.5*0.9/22,IF(项目总工作量!$B$6="流程管理类",D37*1.5*0.8/22,IF(项目总工作量!$B$6="渠道类",FALSE))))</f>
        <v>0</v>
      </c>
      <c r="F37" s="39"/>
      <c r="G37" s="43"/>
      <c r="H37" s="65"/>
    </row>
    <row r="38" spans="1:8" s="41" customFormat="1" ht="12" x14ac:dyDescent="0.25">
      <c r="A38" s="43"/>
      <c r="B38" s="43"/>
      <c r="C38" s="43"/>
      <c r="D38" s="69">
        <f t="shared" si="1"/>
        <v>0</v>
      </c>
      <c r="E38" s="83">
        <f>IF(项目总工作量!$B$6="交易类",D38*1.5/22,IF(项目总工作量!$B$6="数据分析类",D38*1.5*0.9/22,IF(项目总工作量!$B$6="流程管理类",D38*1.5*0.8/22,IF(项目总工作量!$B$6="渠道类",FALSE))))</f>
        <v>0</v>
      </c>
      <c r="F38" s="39"/>
      <c r="G38" s="43"/>
      <c r="H38" s="65"/>
    </row>
    <row r="39" spans="1:8" s="41" customFormat="1" ht="12" x14ac:dyDescent="0.25">
      <c r="A39" s="43"/>
      <c r="B39" s="43"/>
      <c r="C39" s="43"/>
      <c r="D39" s="69">
        <f t="shared" si="1"/>
        <v>0</v>
      </c>
      <c r="E39" s="83">
        <f>IF(项目总工作量!$B$6="交易类",D39*1.5/22,IF(项目总工作量!$B$6="数据分析类",D39*1.5*0.9/22,IF(项目总工作量!$B$6="流程管理类",D39*1.5*0.8/22,IF(项目总工作量!$B$6="渠道类",FALSE))))</f>
        <v>0</v>
      </c>
      <c r="F39" s="39"/>
      <c r="G39" s="43"/>
      <c r="H39" s="65"/>
    </row>
    <row r="40" spans="1:8" s="41" customFormat="1" ht="12" x14ac:dyDescent="0.25">
      <c r="A40" s="43"/>
      <c r="B40" s="43"/>
      <c r="C40" s="43"/>
      <c r="D40" s="69">
        <f t="shared" si="1"/>
        <v>0</v>
      </c>
      <c r="E40" s="83">
        <f>IF(项目总工作量!$B$6="交易类",D40*1.5/22,IF(项目总工作量!$B$6="数据分析类",D40*1.5*0.9/22,IF(项目总工作量!$B$6="流程管理类",D40*1.5*0.8/22,IF(项目总工作量!$B$6="渠道类",FALSE))))</f>
        <v>0</v>
      </c>
      <c r="F40" s="39"/>
      <c r="G40" s="43"/>
      <c r="H40" s="65"/>
    </row>
    <row r="41" spans="1:8" s="41" customFormat="1" ht="12" x14ac:dyDescent="0.25">
      <c r="A41" s="43"/>
      <c r="B41" s="43"/>
      <c r="C41" s="43"/>
      <c r="D41" s="69">
        <f t="shared" si="1"/>
        <v>0</v>
      </c>
      <c r="E41" s="83">
        <f>IF(项目总工作量!$B$6="交易类",D41*1.5/22,IF(项目总工作量!$B$6="数据分析类",D41*1.5*0.9/22,IF(项目总工作量!$B$6="流程管理类",D41*1.5*0.8/22,IF(项目总工作量!$B$6="渠道类",FALSE))))</f>
        <v>0</v>
      </c>
      <c r="F41" s="39"/>
      <c r="G41" s="43"/>
      <c r="H41" s="65"/>
    </row>
    <row r="42" spans="1:8" s="41" customFormat="1" ht="12" x14ac:dyDescent="0.25">
      <c r="A42" s="43"/>
      <c r="B42" s="43"/>
      <c r="C42" s="43"/>
      <c r="D42" s="69">
        <f t="shared" si="1"/>
        <v>0</v>
      </c>
      <c r="E42" s="83">
        <f>IF(项目总工作量!$B$6="交易类",D42*1.5/22,IF(项目总工作量!$B$6="数据分析类",D42*1.5*0.9/22,IF(项目总工作量!$B$6="流程管理类",D42*1.5*0.8/22,IF(项目总工作量!$B$6="渠道类",FALSE))))</f>
        <v>0</v>
      </c>
      <c r="F42" s="39"/>
      <c r="G42" s="43"/>
      <c r="H42" s="65"/>
    </row>
    <row r="43" spans="1:8" s="41" customFormat="1" ht="15" customHeight="1" x14ac:dyDescent="0.25">
      <c r="A43" s="68"/>
      <c r="C43" s="68"/>
      <c r="D43" s="69">
        <f t="shared" si="1"/>
        <v>0</v>
      </c>
      <c r="E43" s="83">
        <f>IF(项目总工作量!$B$6="交易类",D43*1.5/22,IF(项目总工作量!$B$6="数据分析类",D43*1.5*0.9/22,IF(项目总工作量!$B$6="流程管理类",D43*1.5*0.8/22,IF(项目总工作量!$B$6="渠道类",FALSE))))</f>
        <v>0</v>
      </c>
      <c r="F43" s="71"/>
      <c r="G43" s="68"/>
      <c r="H43" s="65"/>
    </row>
    <row r="44" spans="1:8" s="41" customFormat="1" ht="12" x14ac:dyDescent="0.25">
      <c r="A44" s="43"/>
      <c r="B44" s="43"/>
      <c r="C44" s="43"/>
      <c r="D44" s="69">
        <f t="shared" si="1"/>
        <v>0</v>
      </c>
      <c r="E44" s="83">
        <f>IF(项目总工作量!$B$6="交易类",D44*1.5/22,IF(项目总工作量!$B$6="数据分析类",D44*1.5*0.9/22,IF(项目总工作量!$B$6="流程管理类",D44*1.5*0.8/22,IF(项目总工作量!$B$6="渠道类",FALSE))))</f>
        <v>0</v>
      </c>
      <c r="F44" s="39"/>
      <c r="G44" s="43"/>
      <c r="H44" s="65"/>
    </row>
    <row r="45" spans="1:8" s="41" customFormat="1" ht="12" x14ac:dyDescent="0.25">
      <c r="A45" s="43"/>
      <c r="B45" s="43"/>
      <c r="C45" s="43"/>
      <c r="D45" s="69">
        <f t="shared" si="1"/>
        <v>0</v>
      </c>
      <c r="E45" s="83">
        <f>IF(项目总工作量!$B$6="交易类",D45*1.5/22,IF(项目总工作量!$B$6="数据分析类",D45*1.5*0.9/22,IF(项目总工作量!$B$6="流程管理类",D45*1.5*0.8/22,IF(项目总工作量!$B$6="渠道类",FALSE))))</f>
        <v>0</v>
      </c>
      <c r="F45" s="39"/>
      <c r="G45" s="43"/>
      <c r="H45" s="65"/>
    </row>
    <row r="46" spans="1:8" s="41" customFormat="1" ht="12" x14ac:dyDescent="0.25">
      <c r="A46" s="43"/>
      <c r="B46" s="43"/>
      <c r="C46" s="43"/>
      <c r="D46" s="69">
        <f t="shared" si="1"/>
        <v>0</v>
      </c>
      <c r="E46" s="83">
        <f>IF(项目总工作量!$B$6="交易类",D46*1.5/22,IF(项目总工作量!$B$6="数据分析类",D46*1.5*0.9/22,IF(项目总工作量!$B$6="流程管理类",D46*1.5*0.8/22,IF(项目总工作量!$B$6="渠道类",FALSE))))</f>
        <v>0</v>
      </c>
      <c r="F46" s="39"/>
      <c r="G46" s="43"/>
      <c r="H46" s="65"/>
    </row>
    <row r="47" spans="1:8" s="41" customFormat="1" ht="12" x14ac:dyDescent="0.25">
      <c r="A47" s="43"/>
      <c r="B47" s="43"/>
      <c r="C47" s="43"/>
      <c r="D47" s="69">
        <f t="shared" si="1"/>
        <v>0</v>
      </c>
      <c r="E47" s="83">
        <f>IF(项目总工作量!$B$6="交易类",D47*1.5/22,IF(项目总工作量!$B$6="数据分析类",D47*1.5*0.9/22,IF(项目总工作量!$B$6="流程管理类",D47*1.5*0.8/22,IF(项目总工作量!$B$6="渠道类",FALSE))))</f>
        <v>0</v>
      </c>
      <c r="F47" s="39"/>
      <c r="G47" s="43"/>
      <c r="H47" s="65"/>
    </row>
    <row r="48" spans="1:8" s="41" customFormat="1" ht="12" x14ac:dyDescent="0.25">
      <c r="A48" s="43"/>
      <c r="B48" s="43"/>
      <c r="C48" s="43"/>
      <c r="D48" s="69">
        <f t="shared" si="1"/>
        <v>0</v>
      </c>
      <c r="E48" s="83">
        <f>IF(项目总工作量!$B$6="交易类",D48*1.5/22,IF(项目总工作量!$B$6="数据分析类",D48*1.5*0.9/22,IF(项目总工作量!$B$6="流程管理类",D48*1.5*0.8/22,IF(项目总工作量!$B$6="渠道类",FALSE))))</f>
        <v>0</v>
      </c>
      <c r="F48" s="39"/>
      <c r="G48" s="43"/>
      <c r="H48" s="65"/>
    </row>
    <row r="49" spans="1:8" s="41" customFormat="1" ht="12" x14ac:dyDescent="0.25">
      <c r="A49" s="43"/>
      <c r="B49" s="43"/>
      <c r="C49" s="43"/>
      <c r="D49" s="69">
        <f t="shared" si="1"/>
        <v>0</v>
      </c>
      <c r="E49" s="83">
        <f>IF(项目总工作量!$B$6="交易类",D49*1.5/22,IF(项目总工作量!$B$6="数据分析类",D49*1.5*0.9/22,IF(项目总工作量!$B$6="流程管理类",D49*1.5*0.8/22,IF(项目总工作量!$B$6="渠道类",FALSE))))</f>
        <v>0</v>
      </c>
      <c r="F49" s="39"/>
      <c r="G49" s="43"/>
      <c r="H49" s="65"/>
    </row>
    <row r="50" spans="1:8" s="41" customFormat="1" ht="12" x14ac:dyDescent="0.25">
      <c r="A50" s="43"/>
      <c r="B50" s="43"/>
      <c r="C50" s="43"/>
      <c r="D50" s="69">
        <f t="shared" si="1"/>
        <v>0</v>
      </c>
      <c r="E50" s="83">
        <f>IF(项目总工作量!$B$6="交易类",D50*1.5/22,IF(项目总工作量!$B$6="数据分析类",D50*1.5*0.9/22,IF(项目总工作量!$B$6="流程管理类",D50*1.5*0.8/22,IF(项目总工作量!$B$6="渠道类",FALSE))))</f>
        <v>0</v>
      </c>
      <c r="F50" s="39"/>
      <c r="G50" s="43"/>
      <c r="H50" s="65"/>
    </row>
    <row r="51" spans="1:8" s="41" customFormat="1" ht="12" x14ac:dyDescent="0.25">
      <c r="A51" s="43"/>
      <c r="B51" s="43"/>
      <c r="C51" s="43"/>
      <c r="D51" s="69">
        <f t="shared" si="1"/>
        <v>0</v>
      </c>
      <c r="E51" s="83">
        <f>IF(项目总工作量!$B$6="交易类",D51*1.5/22,IF(项目总工作量!$B$6="数据分析类",D51*1.5*0.9/22,IF(项目总工作量!$B$6="流程管理类",D51*1.5*0.8/22,IF(项目总工作量!$B$6="渠道类",FALSE))))</f>
        <v>0</v>
      </c>
      <c r="F51" s="39"/>
      <c r="G51" s="43"/>
      <c r="H51" s="65"/>
    </row>
    <row r="52" spans="1:8" s="41" customFormat="1" ht="12" x14ac:dyDescent="0.25">
      <c r="A52" s="43"/>
      <c r="B52" s="43"/>
      <c r="C52" s="43"/>
      <c r="D52" s="69">
        <f t="shared" si="1"/>
        <v>0</v>
      </c>
      <c r="E52" s="83">
        <f>IF(项目总工作量!$B$6="交易类",D52*1.5/22,IF(项目总工作量!$B$6="数据分析类",D52*1.5*0.9/22,IF(项目总工作量!$B$6="流程管理类",D52*1.5*0.8/22,IF(项目总工作量!$B$6="渠道类",FALSE))))</f>
        <v>0</v>
      </c>
      <c r="F52" s="39"/>
      <c r="G52" s="43"/>
      <c r="H52" s="65"/>
    </row>
    <row r="53" spans="1:8" s="41" customFormat="1" ht="12" x14ac:dyDescent="0.25">
      <c r="A53" s="43"/>
      <c r="B53" s="43"/>
      <c r="C53" s="43"/>
      <c r="D53" s="69">
        <f t="shared" si="1"/>
        <v>0</v>
      </c>
      <c r="E53" s="83">
        <f>IF(项目总工作量!$B$6="交易类",D53*1.5/22,IF(项目总工作量!$B$6="数据分析类",D53*1.5*0.9/22,IF(项目总工作量!$B$6="流程管理类",D53*1.5*0.8/22,IF(项目总工作量!$B$6="渠道类",FALSE))))</f>
        <v>0</v>
      </c>
      <c r="F53" s="39"/>
      <c r="G53" s="43"/>
      <c r="H53" s="65"/>
    </row>
    <row r="54" spans="1:8" s="41" customFormat="1" ht="12" x14ac:dyDescent="0.25">
      <c r="A54" s="43"/>
      <c r="B54" s="43"/>
      <c r="C54" s="43"/>
      <c r="D54" s="69">
        <f t="shared" si="1"/>
        <v>0</v>
      </c>
      <c r="E54" s="83">
        <f>IF(项目总工作量!$B$6="交易类",D54*1.5/22,IF(项目总工作量!$B$6="数据分析类",D54*1.5*0.9/22,IF(项目总工作量!$B$6="流程管理类",D54*1.5*0.8/22,IF(项目总工作量!$B$6="渠道类",FALSE))))</f>
        <v>0</v>
      </c>
      <c r="F54" s="39"/>
      <c r="G54" s="43"/>
      <c r="H54" s="65"/>
    </row>
    <row r="55" spans="1:8" s="41" customFormat="1" ht="12" x14ac:dyDescent="0.25">
      <c r="A55" s="43"/>
      <c r="B55" s="43"/>
      <c r="C55" s="43"/>
      <c r="D55" s="69">
        <f t="shared" si="1"/>
        <v>0</v>
      </c>
      <c r="E55" s="83">
        <f>IF(项目总工作量!$B$6="交易类",D55*1.5/22,IF(项目总工作量!$B$6="数据分析类",D55*1.5*0.9/22,IF(项目总工作量!$B$6="流程管理类",D55*1.5*0.8/22,IF(项目总工作量!$B$6="渠道类",FALSE))))</f>
        <v>0</v>
      </c>
      <c r="F55" s="39"/>
      <c r="G55" s="43"/>
      <c r="H55" s="65"/>
    </row>
    <row r="56" spans="1:8" s="41" customFormat="1" ht="12" x14ac:dyDescent="0.25">
      <c r="A56" s="43"/>
      <c r="B56" s="43"/>
      <c r="C56" s="43"/>
      <c r="D56" s="69">
        <f t="shared" si="1"/>
        <v>0</v>
      </c>
      <c r="E56" s="83">
        <f>IF(项目总工作量!$B$6="交易类",D56*1.5/22,IF(项目总工作量!$B$6="数据分析类",D56*1.5*0.9/22,IF(项目总工作量!$B$6="流程管理类",D56*1.5*0.8/22,IF(项目总工作量!$B$6="渠道类",FALSE))))</f>
        <v>0</v>
      </c>
      <c r="F56" s="39"/>
      <c r="G56" s="43"/>
      <c r="H56" s="65"/>
    </row>
    <row r="57" spans="1:8" s="41" customFormat="1" ht="12" x14ac:dyDescent="0.25">
      <c r="A57" s="43"/>
      <c r="B57" s="43"/>
      <c r="C57" s="43"/>
      <c r="D57" s="69">
        <f t="shared" si="1"/>
        <v>0</v>
      </c>
      <c r="E57" s="83">
        <f>IF(项目总工作量!$B$6="交易类",D57*1.5/22,IF(项目总工作量!$B$6="数据分析类",D57*1.5*0.9/22,IF(项目总工作量!$B$6="流程管理类",D57*1.5*0.8/22,IF(项目总工作量!$B$6="渠道类",FALSE))))</f>
        <v>0</v>
      </c>
      <c r="F57" s="39"/>
      <c r="G57" s="43"/>
      <c r="H57" s="65"/>
    </row>
    <row r="58" spans="1:8" s="41" customFormat="1" ht="12" x14ac:dyDescent="0.25">
      <c r="A58" s="43"/>
      <c r="B58" s="43"/>
      <c r="C58" s="43"/>
      <c r="D58" s="69">
        <f t="shared" si="1"/>
        <v>0</v>
      </c>
      <c r="E58" s="83">
        <f>IF(项目总工作量!$B$6="交易类",D58*1.5/22,IF(项目总工作量!$B$6="数据分析类",D58*1.5*0.9/22,IF(项目总工作量!$B$6="流程管理类",D58*1.5*0.8/22,IF(项目总工作量!$B$6="渠道类",FALSE))))</f>
        <v>0</v>
      </c>
      <c r="F58" s="39"/>
      <c r="G58" s="43"/>
      <c r="H58" s="65"/>
    </row>
    <row r="59" spans="1:8" s="41" customFormat="1" ht="12" x14ac:dyDescent="0.25">
      <c r="A59" s="43"/>
      <c r="B59" s="43"/>
      <c r="C59" s="43"/>
      <c r="D59" s="69">
        <f t="shared" si="1"/>
        <v>0</v>
      </c>
      <c r="E59" s="83">
        <f>IF(项目总工作量!$B$6="交易类",D59*1.5/22,IF(项目总工作量!$B$6="数据分析类",D59*1.5*0.9/22,IF(项目总工作量!$B$6="流程管理类",D59*1.5*0.8/22,IF(项目总工作量!$B$6="渠道类",FALSE))))</f>
        <v>0</v>
      </c>
      <c r="F59" s="39"/>
      <c r="G59" s="43"/>
      <c r="H59" s="65"/>
    </row>
    <row r="60" spans="1:8" s="41" customFormat="1" ht="12" x14ac:dyDescent="0.25">
      <c r="A60" s="43"/>
      <c r="B60" s="43"/>
      <c r="C60" s="43"/>
      <c r="D60" s="69">
        <f t="shared" si="1"/>
        <v>0</v>
      </c>
      <c r="E60" s="83">
        <f>IF(项目总工作量!$B$6="交易类",D60*1.5/22,IF(项目总工作量!$B$6="数据分析类",D60*1.5*0.9/22,IF(项目总工作量!$B$6="流程管理类",D60*1.5*0.8/22,IF(项目总工作量!$B$6="渠道类",FALSE))))</f>
        <v>0</v>
      </c>
      <c r="F60" s="39"/>
      <c r="G60" s="43"/>
      <c r="H60" s="65"/>
    </row>
    <row r="61" spans="1:8" s="41" customFormat="1" ht="12" x14ac:dyDescent="0.25">
      <c r="A61" s="43"/>
      <c r="B61" s="43"/>
      <c r="C61" s="43"/>
      <c r="D61" s="69">
        <f t="shared" si="1"/>
        <v>0</v>
      </c>
      <c r="E61" s="83">
        <f>IF(项目总工作量!$B$6="交易类",D61*1.5/22,IF(项目总工作量!$B$6="数据分析类",D61*1.5*0.9/22,IF(项目总工作量!$B$6="流程管理类",D61*1.5*0.8/22,IF(项目总工作量!$B$6="渠道类",FALSE))))</f>
        <v>0</v>
      </c>
      <c r="F61" s="39"/>
      <c r="G61" s="43"/>
      <c r="H61" s="65"/>
    </row>
    <row r="62" spans="1:8" s="41" customFormat="1" ht="12" x14ac:dyDescent="0.25">
      <c r="A62" s="43"/>
      <c r="B62" s="43"/>
      <c r="C62" s="43"/>
      <c r="D62" s="69">
        <f t="shared" si="1"/>
        <v>0</v>
      </c>
      <c r="E62" s="83">
        <f>IF(项目总工作量!$B$6="交易类",D62*1.5/22,IF(项目总工作量!$B$6="数据分析类",D62*1.5*0.9/22,IF(项目总工作量!$B$6="流程管理类",D62*1.5*0.8/22,IF(项目总工作量!$B$6="渠道类",FALSE))))</f>
        <v>0</v>
      </c>
      <c r="F62" s="39"/>
      <c r="G62" s="43"/>
      <c r="H62" s="65"/>
    </row>
    <row r="63" spans="1:8" s="41" customFormat="1" ht="12" x14ac:dyDescent="0.25">
      <c r="A63" s="43"/>
      <c r="B63" s="43"/>
      <c r="C63" s="43"/>
      <c r="D63" s="69">
        <f t="shared" si="1"/>
        <v>0</v>
      </c>
      <c r="E63" s="83">
        <f>IF(项目总工作量!$B$6="交易类",D63*1.5/22,IF(项目总工作量!$B$6="数据分析类",D63*1.5*0.9/22,IF(项目总工作量!$B$6="流程管理类",D63*1.5*0.8/22,IF(项目总工作量!$B$6="渠道类",FALSE))))</f>
        <v>0</v>
      </c>
      <c r="F63" s="39"/>
      <c r="G63" s="43"/>
      <c r="H63" s="65"/>
    </row>
    <row r="64" spans="1:8" s="41" customFormat="1" ht="12" x14ac:dyDescent="0.25">
      <c r="A64" s="43"/>
      <c r="B64" s="43"/>
      <c r="C64" s="43"/>
      <c r="D64" s="69">
        <f t="shared" si="1"/>
        <v>0</v>
      </c>
      <c r="E64" s="83">
        <f>IF(项目总工作量!$B$6="交易类",D64*1.5/22,IF(项目总工作量!$B$6="数据分析类",D64*1.5*0.9/22,IF(项目总工作量!$B$6="流程管理类",D64*1.5*0.8/22,IF(项目总工作量!$B$6="渠道类",FALSE))))</f>
        <v>0</v>
      </c>
      <c r="F64" s="39"/>
      <c r="G64" s="43"/>
      <c r="H64" s="65"/>
    </row>
    <row r="65" spans="1:8" s="41" customFormat="1" ht="12" x14ac:dyDescent="0.25">
      <c r="A65" s="43"/>
      <c r="B65" s="43"/>
      <c r="C65" s="43"/>
      <c r="D65" s="69">
        <f t="shared" si="1"/>
        <v>0</v>
      </c>
      <c r="E65" s="83">
        <f>IF(项目总工作量!$B$6="交易类",D65*1.5/22,IF(项目总工作量!$B$6="数据分析类",D65*1.5*0.9/22,IF(项目总工作量!$B$6="流程管理类",D65*1.5*0.8/22,IF(项目总工作量!$B$6="渠道类",FALSE))))</f>
        <v>0</v>
      </c>
      <c r="F65" s="39"/>
      <c r="G65" s="43"/>
      <c r="H65" s="65"/>
    </row>
    <row r="66" spans="1:8" s="41" customFormat="1" ht="12" x14ac:dyDescent="0.25">
      <c r="A66" s="43"/>
      <c r="B66" s="43"/>
      <c r="C66" s="43"/>
      <c r="D66" s="69">
        <f t="shared" si="1"/>
        <v>0</v>
      </c>
      <c r="E66" s="83">
        <f>IF(项目总工作量!$B$6="交易类",D66*1.5/22,IF(项目总工作量!$B$6="数据分析类",D66*1.5*0.9/22,IF(项目总工作量!$B$6="流程管理类",D66*1.5*0.8/22,IF(项目总工作量!$B$6="渠道类",FALSE))))</f>
        <v>0</v>
      </c>
      <c r="F66" s="39"/>
      <c r="G66" s="43"/>
      <c r="H66" s="65"/>
    </row>
    <row r="67" spans="1:8" s="41" customFormat="1" ht="12" x14ac:dyDescent="0.25">
      <c r="A67" s="43"/>
      <c r="B67" s="43"/>
      <c r="C67" s="43"/>
      <c r="D67" s="69">
        <f t="shared" si="1"/>
        <v>0</v>
      </c>
      <c r="E67" s="83">
        <f>IF(项目总工作量!$B$6="交易类",D67*1.5/22,IF(项目总工作量!$B$6="数据分析类",D67*1.5*0.9/22,IF(项目总工作量!$B$6="流程管理类",D67*1.5*0.8/22,IF(项目总工作量!$B$6="渠道类",FALSE))))</f>
        <v>0</v>
      </c>
      <c r="F67" s="39"/>
      <c r="G67" s="43"/>
      <c r="H67" s="65"/>
    </row>
    <row r="68" spans="1:8" s="41" customFormat="1" ht="12" x14ac:dyDescent="0.25">
      <c r="A68" s="43"/>
      <c r="B68" s="43"/>
      <c r="C68" s="43"/>
      <c r="D68" s="69">
        <f t="shared" ref="D68:D81" si="2">IF(C68="ILF",10,IF(C68="EIF",7,0))</f>
        <v>0</v>
      </c>
      <c r="E68" s="83">
        <f>IF(项目总工作量!$B$6="交易类",D68*1.5/22,IF(项目总工作量!$B$6="数据分析类",D68*1.5*0.9/22,IF(项目总工作量!$B$6="流程管理类",D68*1.5*0.8/22,IF(项目总工作量!$B$6="渠道类",FALSE))))</f>
        <v>0</v>
      </c>
      <c r="F68" s="39"/>
      <c r="G68" s="43"/>
      <c r="H68" s="65"/>
    </row>
    <row r="69" spans="1:8" s="41" customFormat="1" ht="12" x14ac:dyDescent="0.25">
      <c r="A69" s="43"/>
      <c r="B69" s="43"/>
      <c r="C69" s="43"/>
      <c r="D69" s="69">
        <f t="shared" si="2"/>
        <v>0</v>
      </c>
      <c r="E69" s="83">
        <f>IF(项目总工作量!$B$6="交易类",D69*1.5/22,IF(项目总工作量!$B$6="数据分析类",D69*1.5*0.9/22,IF(项目总工作量!$B$6="流程管理类",D69*1.5*0.8/22,IF(项目总工作量!$B$6="渠道类",FALSE))))</f>
        <v>0</v>
      </c>
      <c r="F69" s="39"/>
      <c r="G69" s="43"/>
      <c r="H69" s="65"/>
    </row>
    <row r="70" spans="1:8" s="41" customFormat="1" ht="12" x14ac:dyDescent="0.25">
      <c r="A70" s="43"/>
      <c r="B70" s="43"/>
      <c r="C70" s="43"/>
      <c r="D70" s="69">
        <f t="shared" si="2"/>
        <v>0</v>
      </c>
      <c r="E70" s="83">
        <f>IF(项目总工作量!$B$6="交易类",D70*1.5/22,IF(项目总工作量!$B$6="数据分析类",D70*1.5*0.9/22,IF(项目总工作量!$B$6="流程管理类",D70*1.5*0.8/22,IF(项目总工作量!$B$6="渠道类",FALSE))))</f>
        <v>0</v>
      </c>
      <c r="F70" s="39"/>
      <c r="G70" s="43"/>
      <c r="H70" s="65"/>
    </row>
    <row r="71" spans="1:8" s="41" customFormat="1" ht="12" x14ac:dyDescent="0.25">
      <c r="A71" s="43"/>
      <c r="B71" s="43"/>
      <c r="C71" s="43"/>
      <c r="D71" s="69">
        <f t="shared" si="2"/>
        <v>0</v>
      </c>
      <c r="E71" s="83">
        <f>IF(项目总工作量!$B$6="交易类",D71*1.5/22,IF(项目总工作量!$B$6="数据分析类",D71*1.5*0.9/22,IF(项目总工作量!$B$6="流程管理类",D71*1.5*0.8/22,IF(项目总工作量!$B$6="渠道类",FALSE))))</f>
        <v>0</v>
      </c>
      <c r="F71" s="39"/>
      <c r="G71" s="43"/>
      <c r="H71" s="65"/>
    </row>
    <row r="72" spans="1:8" s="41" customFormat="1" ht="12" x14ac:dyDescent="0.25">
      <c r="A72" s="43"/>
      <c r="B72" s="43"/>
      <c r="C72" s="43"/>
      <c r="D72" s="69">
        <f t="shared" si="2"/>
        <v>0</v>
      </c>
      <c r="E72" s="83">
        <f>IF(项目总工作量!$B$6="交易类",D72*1.5/22,IF(项目总工作量!$B$6="数据分析类",D72*1.5*0.9/22,IF(项目总工作量!$B$6="流程管理类",D72*1.5*0.8/22,IF(项目总工作量!$B$6="渠道类",FALSE))))</f>
        <v>0</v>
      </c>
      <c r="F72" s="39"/>
      <c r="G72" s="43"/>
      <c r="H72" s="65"/>
    </row>
    <row r="73" spans="1:8" s="41" customFormat="1" ht="12" x14ac:dyDescent="0.25">
      <c r="A73" s="43"/>
      <c r="B73" s="43"/>
      <c r="C73" s="43"/>
      <c r="D73" s="69">
        <f t="shared" si="2"/>
        <v>0</v>
      </c>
      <c r="E73" s="83">
        <f>IF(项目总工作量!$B$6="交易类",D73*1.5/22,IF(项目总工作量!$B$6="数据分析类",D73*1.5*0.9/22,IF(项目总工作量!$B$6="流程管理类",D73*1.5*0.8/22,IF(项目总工作量!$B$6="渠道类",FALSE))))</f>
        <v>0</v>
      </c>
      <c r="F73" s="39"/>
      <c r="G73" s="43"/>
      <c r="H73" s="65"/>
    </row>
    <row r="74" spans="1:8" s="41" customFormat="1" ht="12" x14ac:dyDescent="0.25">
      <c r="A74" s="43"/>
      <c r="B74" s="43"/>
      <c r="C74" s="43"/>
      <c r="D74" s="69">
        <f t="shared" si="2"/>
        <v>0</v>
      </c>
      <c r="E74" s="83">
        <f>IF(项目总工作量!$B$6="交易类",D74*1.5/22,IF(项目总工作量!$B$6="数据分析类",D74*1.5*0.9/22,IF(项目总工作量!$B$6="流程管理类",D74*1.5*0.8/22,IF(项目总工作量!$B$6="渠道类",FALSE))))</f>
        <v>0</v>
      </c>
      <c r="F74" s="39"/>
      <c r="G74" s="43"/>
      <c r="H74" s="65"/>
    </row>
    <row r="75" spans="1:8" s="41" customFormat="1" ht="12" x14ac:dyDescent="0.25">
      <c r="A75" s="43"/>
      <c r="B75" s="43"/>
      <c r="C75" s="43"/>
      <c r="D75" s="69">
        <f t="shared" si="2"/>
        <v>0</v>
      </c>
      <c r="E75" s="83">
        <f>IF(项目总工作量!$B$6="交易类",D75*1.5/22,IF(项目总工作量!$B$6="数据分析类",D75*1.5*0.9/22,IF(项目总工作量!$B$6="流程管理类",D75*1.5*0.8/22,IF(项目总工作量!$B$6="渠道类",FALSE))))</f>
        <v>0</v>
      </c>
      <c r="F75" s="39"/>
      <c r="G75" s="43"/>
      <c r="H75" s="65"/>
    </row>
    <row r="76" spans="1:8" s="41" customFormat="1" ht="12" x14ac:dyDescent="0.25">
      <c r="A76" s="43"/>
      <c r="B76" s="43"/>
      <c r="C76" s="43"/>
      <c r="D76" s="69">
        <f t="shared" si="2"/>
        <v>0</v>
      </c>
      <c r="E76" s="83">
        <f>IF(项目总工作量!$B$6="交易类",D76*1.5/22,IF(项目总工作量!$B$6="数据分析类",D76*1.5*0.9/22,IF(项目总工作量!$B$6="流程管理类",D76*1.5*0.8/22,IF(项目总工作量!$B$6="渠道类",FALSE))))</f>
        <v>0</v>
      </c>
      <c r="F76" s="39"/>
      <c r="G76" s="43"/>
      <c r="H76" s="65"/>
    </row>
    <row r="77" spans="1:8" s="41" customFormat="1" ht="12" x14ac:dyDescent="0.25">
      <c r="A77" s="43"/>
      <c r="B77" s="43"/>
      <c r="C77" s="43"/>
      <c r="D77" s="69">
        <f t="shared" si="2"/>
        <v>0</v>
      </c>
      <c r="E77" s="83">
        <f>IF(项目总工作量!$B$6="交易类",D77*1.5/22,IF(项目总工作量!$B$6="数据分析类",D77*1.5*0.9/22,IF(项目总工作量!$B$6="流程管理类",D77*1.5*0.8/22,IF(项目总工作量!$B$6="渠道类",FALSE))))</f>
        <v>0</v>
      </c>
      <c r="F77" s="39"/>
      <c r="G77" s="43"/>
      <c r="H77" s="65"/>
    </row>
    <row r="78" spans="1:8" s="41" customFormat="1" ht="12" x14ac:dyDescent="0.25">
      <c r="A78" s="43"/>
      <c r="B78" s="43"/>
      <c r="C78" s="43"/>
      <c r="D78" s="69">
        <f t="shared" si="2"/>
        <v>0</v>
      </c>
      <c r="E78" s="83">
        <f>IF(项目总工作量!$B$6="交易类",D78*1.5/22,IF(项目总工作量!$B$6="数据分析类",D78*1.5*0.9/22,IF(项目总工作量!$B$6="流程管理类",D78*1.5*0.8/22,IF(项目总工作量!$B$6="渠道类",FALSE))))</f>
        <v>0</v>
      </c>
      <c r="F78" s="39"/>
      <c r="G78" s="43"/>
      <c r="H78" s="65"/>
    </row>
    <row r="79" spans="1:8" s="41" customFormat="1" ht="12" x14ac:dyDescent="0.25">
      <c r="A79" s="43"/>
      <c r="B79" s="43"/>
      <c r="C79" s="43"/>
      <c r="D79" s="69">
        <f t="shared" si="2"/>
        <v>0</v>
      </c>
      <c r="E79" s="83">
        <f>IF(项目总工作量!$B$6="交易类",D79*1.5/22,IF(项目总工作量!$B$6="数据分析类",D79*1.5*0.9/22,IF(项目总工作量!$B$6="流程管理类",D79*1.5*0.8/22,IF(项目总工作量!$B$6="渠道类",FALSE))))</f>
        <v>0</v>
      </c>
      <c r="F79" s="39"/>
      <c r="G79" s="43"/>
      <c r="H79" s="65"/>
    </row>
    <row r="80" spans="1:8" s="41" customFormat="1" ht="12" x14ac:dyDescent="0.25">
      <c r="A80" s="43"/>
      <c r="B80" s="43"/>
      <c r="C80" s="43"/>
      <c r="D80" s="69">
        <f t="shared" si="2"/>
        <v>0</v>
      </c>
      <c r="E80" s="83">
        <f>IF(项目总工作量!$B$6="交易类",D80*1.5/22,IF(项目总工作量!$B$6="数据分析类",D80*1.5*0.9/22,IF(项目总工作量!$B$6="流程管理类",D80*1.5*0.8/22,IF(项目总工作量!$B$6="渠道类",FALSE))))</f>
        <v>0</v>
      </c>
      <c r="F80" s="39"/>
      <c r="G80" s="43"/>
      <c r="H80" s="65"/>
    </row>
    <row r="81" spans="1:8" s="41" customFormat="1" ht="12" x14ac:dyDescent="0.25">
      <c r="A81" s="43"/>
      <c r="B81" s="43"/>
      <c r="C81" s="43"/>
      <c r="D81" s="69">
        <f t="shared" si="2"/>
        <v>0</v>
      </c>
      <c r="E81" s="83">
        <f>IF(项目总工作量!$B$6="交易类",D81*1.5/22,IF(项目总工作量!$B$6="数据分析类",D81*1.5*0.9/22,IF(项目总工作量!$B$6="流程管理类",D81*1.5*0.8/22,IF(项目总工作量!$B$6="渠道类",FALSE))))</f>
        <v>0</v>
      </c>
      <c r="F81" s="39"/>
      <c r="G81" s="43"/>
      <c r="H81" s="65"/>
    </row>
    <row r="82" spans="1:8" s="41" customFormat="1" ht="12" x14ac:dyDescent="0.25">
      <c r="A82" s="43"/>
      <c r="B82" s="43"/>
      <c r="C82" s="43"/>
      <c r="D82" s="69">
        <f t="shared" si="1"/>
        <v>0</v>
      </c>
      <c r="E82" s="83">
        <f>IF(项目总工作量!$B$6="交易类",D82*1.5/22,IF(项目总工作量!$B$6="数据分析类",D82*1.5*0.9/22,IF(项目总工作量!$B$6="流程管理类",D82*1.5*0.8/22,IF(项目总工作量!$B$6="渠道类",FALSE))))</f>
        <v>0</v>
      </c>
      <c r="F82" s="39"/>
      <c r="G82" s="43"/>
      <c r="H82" s="65"/>
    </row>
    <row r="83" spans="1:8" s="41" customFormat="1" ht="12" x14ac:dyDescent="0.25">
      <c r="A83" s="43"/>
      <c r="B83" s="43"/>
      <c r="C83" s="43"/>
      <c r="D83" s="69">
        <f t="shared" si="1"/>
        <v>0</v>
      </c>
      <c r="E83" s="83">
        <f>IF(项目总工作量!$B$6="交易类",D83*1.5/22,IF(项目总工作量!$B$6="数据分析类",D83*1.5*0.9/22,IF(项目总工作量!$B$6="流程管理类",D83*1.5*0.8/22,IF(项目总工作量!$B$6="渠道类",FALSE))))</f>
        <v>0</v>
      </c>
      <c r="F83" s="39"/>
      <c r="G83" s="43"/>
      <c r="H83" s="65"/>
    </row>
    <row r="84" spans="1:8" s="41" customFormat="1" ht="12" x14ac:dyDescent="0.25">
      <c r="A84" s="43"/>
      <c r="B84" s="43"/>
      <c r="C84" s="43"/>
      <c r="D84" s="69">
        <f t="shared" si="1"/>
        <v>0</v>
      </c>
      <c r="E84" s="83">
        <f>IF(项目总工作量!$B$6="交易类",D84*1.5/22,IF(项目总工作量!$B$6="数据分析类",D84*1.5*0.9/22,IF(项目总工作量!$B$6="流程管理类",D84*1.5*0.8/22,IF(项目总工作量!$B$6="渠道类",FALSE))))</f>
        <v>0</v>
      </c>
      <c r="F84" s="39"/>
      <c r="G84" s="43"/>
      <c r="H84" s="65"/>
    </row>
    <row r="85" spans="1:8" s="41" customFormat="1" ht="12" x14ac:dyDescent="0.25">
      <c r="A85" s="43"/>
      <c r="B85" s="43"/>
      <c r="C85" s="43"/>
      <c r="D85" s="69">
        <f t="shared" si="1"/>
        <v>0</v>
      </c>
      <c r="E85" s="83">
        <f>IF(项目总工作量!$B$6="交易类",D85*1.5/22,IF(项目总工作量!$B$6="数据分析类",D85*1.5*0.9/22,IF(项目总工作量!$B$6="流程管理类",D85*1.5*0.8/22,IF(项目总工作量!$B$6="渠道类",FALSE))))</f>
        <v>0</v>
      </c>
      <c r="F85" s="39"/>
      <c r="G85" s="43"/>
      <c r="H85" s="65"/>
    </row>
    <row r="86" spans="1:8" s="41" customFormat="1" ht="12" x14ac:dyDescent="0.25">
      <c r="A86" s="43"/>
      <c r="B86" s="43"/>
      <c r="C86" s="43"/>
      <c r="D86" s="69">
        <f t="shared" si="1"/>
        <v>0</v>
      </c>
      <c r="E86" s="83">
        <f>IF(项目总工作量!$B$6="交易类",D86*1.5/22,IF(项目总工作量!$B$6="数据分析类",D86*1.5*0.9/22,IF(项目总工作量!$B$6="流程管理类",D86*1.5*0.8/22,IF(项目总工作量!$B$6="渠道类",FALSE))))</f>
        <v>0</v>
      </c>
      <c r="F86" s="39"/>
      <c r="G86" s="43"/>
      <c r="H86" s="65"/>
    </row>
    <row r="87" spans="1:8" s="41" customFormat="1" ht="12" x14ac:dyDescent="0.25">
      <c r="A87" s="43"/>
      <c r="B87" s="43"/>
      <c r="C87" s="43"/>
      <c r="D87" s="69">
        <f t="shared" si="0"/>
        <v>0</v>
      </c>
      <c r="E87" s="74">
        <f>IF(项目总工作量!$B$6="交易类",D87*1.5/22,IF(项目总工作量!$B$6="数据分析类",D87*1.5*0.9/22,IF(项目总工作量!$B$6="流程管理类",D87*1.5*0.8/22,IF(项目总工作量!$B$6="渠道类",FALSE))))</f>
        <v>0</v>
      </c>
      <c r="F87" s="39"/>
      <c r="G87" s="43"/>
      <c r="H87" s="65"/>
    </row>
    <row r="88" spans="1:8" s="41" customFormat="1" ht="12" x14ac:dyDescent="0.25">
      <c r="A88" s="43"/>
      <c r="B88" s="43"/>
      <c r="C88" s="43"/>
      <c r="D88" s="69">
        <f t="shared" si="0"/>
        <v>0</v>
      </c>
      <c r="E88" s="74">
        <f>IF(项目总工作量!$B$6="交易类",D88*1.5/22,IF(项目总工作量!$B$6="数据分析类",D88*1.5*0.9/22,IF(项目总工作量!$B$6="流程管理类",D88*1.5*0.8/22,IF(项目总工作量!$B$6="渠道类",FALSE))))</f>
        <v>0</v>
      </c>
      <c r="F88" s="39"/>
      <c r="G88" s="43"/>
      <c r="H88" s="65"/>
    </row>
    <row r="89" spans="1:8" s="41" customFormat="1" ht="12" x14ac:dyDescent="0.25">
      <c r="A89" s="43"/>
      <c r="B89" s="43"/>
      <c r="C89" s="43"/>
      <c r="D89" s="69">
        <f t="shared" si="0"/>
        <v>0</v>
      </c>
      <c r="E89" s="74">
        <f>IF(项目总工作量!$B$6="交易类",D89*1.5/22,IF(项目总工作量!$B$6="数据分析类",D89*1.5*0.9/22,IF(项目总工作量!$B$6="流程管理类",D89*1.5*0.8/22,IF(项目总工作量!$B$6="渠道类",FALSE))))</f>
        <v>0</v>
      </c>
      <c r="F89" s="39"/>
      <c r="G89" s="43"/>
      <c r="H89" s="65"/>
    </row>
    <row r="90" spans="1:8" s="41" customFormat="1" ht="12" x14ac:dyDescent="0.25">
      <c r="A90" s="43"/>
      <c r="B90" s="43"/>
      <c r="C90" s="43"/>
      <c r="D90" s="69">
        <f t="shared" si="0"/>
        <v>0</v>
      </c>
      <c r="E90" s="74">
        <f>IF(项目总工作量!$B$6="交易类",D90*1.5/22,IF(项目总工作量!$B$6="数据分析类",D90*1.5*0.9/22,IF(项目总工作量!$B$6="流程管理类",D90*1.5*0.8/22,IF(项目总工作量!$B$6="渠道类",FALSE))))</f>
        <v>0</v>
      </c>
      <c r="F90" s="39"/>
      <c r="G90" s="43"/>
      <c r="H90" s="65"/>
    </row>
    <row r="91" spans="1:8" s="41" customFormat="1" ht="12" x14ac:dyDescent="0.25">
      <c r="A91" s="43"/>
      <c r="B91" s="43"/>
      <c r="C91" s="43"/>
      <c r="D91" s="69">
        <f t="shared" si="0"/>
        <v>0</v>
      </c>
      <c r="E91" s="74">
        <f>IF(项目总工作量!$B$6="交易类",D91*1.5/22,IF(项目总工作量!$B$6="数据分析类",D91*1.5*0.9/22,IF(项目总工作量!$B$6="流程管理类",D91*1.5*0.8/22,IF(项目总工作量!$B$6="渠道类",FALSE))))</f>
        <v>0</v>
      </c>
      <c r="F91" s="39"/>
      <c r="G91" s="43"/>
      <c r="H91" s="65"/>
    </row>
    <row r="92" spans="1:8" s="41" customFormat="1" ht="12" x14ac:dyDescent="0.25">
      <c r="A92" s="43"/>
      <c r="B92" s="43"/>
      <c r="C92" s="43"/>
      <c r="D92" s="69">
        <f t="shared" si="0"/>
        <v>0</v>
      </c>
      <c r="E92" s="74">
        <f>IF(项目总工作量!$B$6="交易类",D92*1.5/22,IF(项目总工作量!$B$6="数据分析类",D92*1.5*0.9/22,IF(项目总工作量!$B$6="流程管理类",D92*1.5*0.8/22,IF(项目总工作量!$B$6="渠道类",FALSE))))</f>
        <v>0</v>
      </c>
      <c r="F92" s="39"/>
      <c r="G92" s="43"/>
      <c r="H92" s="65"/>
    </row>
    <row r="93" spans="1:8" s="41" customFormat="1" ht="12" x14ac:dyDescent="0.25">
      <c r="A93" s="43"/>
      <c r="B93" s="43"/>
      <c r="C93" s="43"/>
      <c r="D93" s="69">
        <f t="shared" si="0"/>
        <v>0</v>
      </c>
      <c r="E93" s="74">
        <f>IF(项目总工作量!$B$6="交易类",D93*1.5/22,IF(项目总工作量!$B$6="数据分析类",D93*1.5*0.9/22,IF(项目总工作量!$B$6="流程管理类",D93*1.5*0.8/22,IF(项目总工作量!$B$6="渠道类",FALSE))))</f>
        <v>0</v>
      </c>
      <c r="F93" s="39"/>
      <c r="G93" s="43"/>
      <c r="H93" s="65"/>
    </row>
    <row r="94" spans="1:8" s="41" customFormat="1" ht="12" x14ac:dyDescent="0.25">
      <c r="A94" s="43"/>
      <c r="B94" s="43"/>
      <c r="C94" s="43"/>
      <c r="D94" s="69">
        <f t="shared" si="0"/>
        <v>0</v>
      </c>
      <c r="E94" s="74">
        <f>IF(项目总工作量!$B$6="交易类",D94*1.5/22,IF(项目总工作量!$B$6="数据分析类",D94*1.5*0.9/22,IF(项目总工作量!$B$6="流程管理类",D94*1.5*0.8/22,IF(项目总工作量!$B$6="渠道类",FALSE))))</f>
        <v>0</v>
      </c>
      <c r="F94" s="39"/>
      <c r="G94" s="43"/>
      <c r="H94" s="65"/>
    </row>
    <row r="95" spans="1:8" s="41" customFormat="1" ht="12" x14ac:dyDescent="0.25">
      <c r="A95" s="43"/>
      <c r="B95" s="43"/>
      <c r="C95" s="43"/>
      <c r="D95" s="69">
        <f t="shared" si="0"/>
        <v>0</v>
      </c>
      <c r="E95" s="74">
        <f>IF(项目总工作量!$B$6="交易类",D95*1.5/22,IF(项目总工作量!$B$6="数据分析类",D95*1.5*0.9/22,IF(项目总工作量!$B$6="流程管理类",D95*1.5*0.8/22,IF(项目总工作量!$B$6="渠道类",FALSE))))</f>
        <v>0</v>
      </c>
      <c r="F95" s="39"/>
      <c r="G95" s="43"/>
      <c r="H95" s="65"/>
    </row>
    <row r="96" spans="1:8" s="41" customFormat="1" ht="12" x14ac:dyDescent="0.25">
      <c r="A96" s="43"/>
      <c r="B96" s="43"/>
      <c r="C96" s="43"/>
      <c r="D96" s="69">
        <f t="shared" si="0"/>
        <v>0</v>
      </c>
      <c r="E96" s="74">
        <f>IF(项目总工作量!$B$6="交易类",D96*1.5/22,IF(项目总工作量!$B$6="数据分析类",D96*1.5*0.9/22,IF(项目总工作量!$B$6="流程管理类",D96*1.5*0.8/22,IF(项目总工作量!$B$6="渠道类",FALSE))))</f>
        <v>0</v>
      </c>
      <c r="F96" s="39"/>
      <c r="G96" s="43"/>
      <c r="H96" s="65"/>
    </row>
    <row r="97" spans="1:8" s="41" customFormat="1" ht="12" x14ac:dyDescent="0.25">
      <c r="A97" s="43"/>
      <c r="B97" s="43"/>
      <c r="C97" s="43"/>
      <c r="D97" s="69">
        <f t="shared" si="0"/>
        <v>0</v>
      </c>
      <c r="E97" s="74">
        <f>IF(项目总工作量!$B$6="交易类",D97*1.5/22,IF(项目总工作量!$B$6="数据分析类",D97*1.5*0.9/22,IF(项目总工作量!$B$6="流程管理类",D97*1.5*0.8/22,IF(项目总工作量!$B$6="渠道类",FALSE))))</f>
        <v>0</v>
      </c>
      <c r="F97" s="39"/>
      <c r="G97" s="43"/>
      <c r="H97" s="65"/>
    </row>
    <row r="98" spans="1:8" s="41" customFormat="1" ht="12" x14ac:dyDescent="0.25">
      <c r="A98" s="43"/>
      <c r="B98" s="43"/>
      <c r="C98" s="43"/>
      <c r="D98" s="69">
        <f t="shared" si="0"/>
        <v>0</v>
      </c>
      <c r="E98" s="74">
        <f>IF(项目总工作量!$B$6="交易类",D98*1.5/22,IF(项目总工作量!$B$6="数据分析类",D98*1.5*0.9/22,IF(项目总工作量!$B$6="流程管理类",D98*1.5*0.8/22,IF(项目总工作量!$B$6="渠道类",FALSE))))</f>
        <v>0</v>
      </c>
      <c r="F98" s="39"/>
      <c r="G98" s="43"/>
      <c r="H98" s="65"/>
    </row>
    <row r="99" spans="1:8" s="41" customFormat="1" ht="12" x14ac:dyDescent="0.25">
      <c r="A99" s="43"/>
      <c r="B99" s="43"/>
      <c r="C99" s="43"/>
      <c r="D99" s="69">
        <f t="shared" si="0"/>
        <v>0</v>
      </c>
      <c r="E99" s="74">
        <f>IF(项目总工作量!$B$6="交易类",D99*1.5/22,IF(项目总工作量!$B$6="数据分析类",D99*1.5*0.9/22,IF(项目总工作量!$B$6="流程管理类",D99*1.5*0.8/22,IF(项目总工作量!$B$6="渠道类",FALSE))))</f>
        <v>0</v>
      </c>
      <c r="F99" s="39"/>
      <c r="G99" s="43"/>
      <c r="H99" s="65"/>
    </row>
    <row r="100" spans="1:8" s="41" customFormat="1" ht="12" x14ac:dyDescent="0.25">
      <c r="A100" s="43"/>
      <c r="B100" s="43"/>
      <c r="C100" s="43"/>
      <c r="D100" s="69">
        <f t="shared" si="0"/>
        <v>0</v>
      </c>
      <c r="E100" s="74">
        <f>IF(项目总工作量!$B$6="交易类",D100*1.5/22,IF(项目总工作量!$B$6="数据分析类",D100*1.5*0.9/22,IF(项目总工作量!$B$6="流程管理类",D100*1.5*0.8/22,IF(项目总工作量!$B$6="渠道类",FALSE))))</f>
        <v>0</v>
      </c>
      <c r="F100" s="39"/>
      <c r="G100" s="43"/>
      <c r="H100" s="65"/>
    </row>
    <row r="101" spans="1:8" s="41" customFormat="1" ht="12" x14ac:dyDescent="0.25">
      <c r="A101" s="43"/>
      <c r="B101" s="43"/>
      <c r="C101" s="43"/>
      <c r="D101" s="69">
        <f t="shared" si="0"/>
        <v>0</v>
      </c>
      <c r="E101" s="74">
        <f>IF(项目总工作量!$B$6="交易类",D101*1.5/22,IF(项目总工作量!$B$6="数据分析类",D101*1.5*0.9/22,IF(项目总工作量!$B$6="流程管理类",D101*1.5*0.8/22,IF(项目总工作量!$B$6="渠道类",FALSE))))</f>
        <v>0</v>
      </c>
      <c r="F101" s="39"/>
      <c r="G101" s="43"/>
      <c r="H101" s="65"/>
    </row>
    <row r="102" spans="1:8" s="41" customFormat="1" ht="12" x14ac:dyDescent="0.25">
      <c r="A102" s="43"/>
      <c r="B102" s="43"/>
      <c r="C102" s="43"/>
      <c r="D102" s="69">
        <f t="shared" si="0"/>
        <v>0</v>
      </c>
      <c r="E102" s="74">
        <f>IF(项目总工作量!$B$6="交易类",D102*1.5/22,IF(项目总工作量!$B$6="数据分析类",D102*1.5*0.9/22,IF(项目总工作量!$B$6="流程管理类",D102*1.5*0.8/22,IF(项目总工作量!$B$6="渠道类",FALSE))))</f>
        <v>0</v>
      </c>
      <c r="F102" s="39"/>
      <c r="G102" s="43"/>
      <c r="H102" s="65"/>
    </row>
    <row r="103" spans="1:8" s="41" customFormat="1" ht="12" x14ac:dyDescent="0.25">
      <c r="A103" s="43"/>
      <c r="B103" s="43"/>
      <c r="C103" s="43"/>
      <c r="D103" s="69">
        <f t="shared" si="0"/>
        <v>0</v>
      </c>
      <c r="E103" s="74">
        <f>IF(项目总工作量!$B$6="交易类",D103*1.5/22,IF(项目总工作量!$B$6="数据分析类",D103*1.5*0.9/22,IF(项目总工作量!$B$6="流程管理类",D103*1.5*0.8/22,IF(项目总工作量!$B$6="渠道类",FALSE))))</f>
        <v>0</v>
      </c>
      <c r="F103" s="39"/>
      <c r="G103" s="43"/>
      <c r="H103" s="65"/>
    </row>
    <row r="104" spans="1:8" s="41" customFormat="1" ht="12" x14ac:dyDescent="0.25">
      <c r="A104" s="43"/>
      <c r="B104" s="43"/>
      <c r="C104" s="43"/>
      <c r="D104" s="69">
        <f t="shared" si="0"/>
        <v>0</v>
      </c>
      <c r="E104" s="74">
        <f>IF(项目总工作量!$B$6="交易类",D104*1.5/22,IF(项目总工作量!$B$6="数据分析类",D104*1.5*0.9/22,IF(项目总工作量!$B$6="流程管理类",D104*1.5*0.8/22,IF(项目总工作量!$B$6="渠道类",FALSE))))</f>
        <v>0</v>
      </c>
      <c r="F104" s="39"/>
      <c r="G104" s="43"/>
      <c r="H104" s="65"/>
    </row>
    <row r="105" spans="1:8" s="41" customFormat="1" ht="12" x14ac:dyDescent="0.25">
      <c r="A105" s="43"/>
      <c r="B105" s="43"/>
      <c r="C105" s="43"/>
      <c r="D105" s="69">
        <f t="shared" si="0"/>
        <v>0</v>
      </c>
      <c r="E105" s="74">
        <f>IF(项目总工作量!$B$6="交易类",D105*1.5/22,IF(项目总工作量!$B$6="数据分析类",D105*1.5*0.9/22,IF(项目总工作量!$B$6="流程管理类",D105*1.5*0.8/22,IF(项目总工作量!$B$6="渠道类",FALSE))))</f>
        <v>0</v>
      </c>
      <c r="F105" s="39"/>
      <c r="G105" s="43"/>
      <c r="H105" s="65"/>
    </row>
    <row r="106" spans="1:8" s="41" customFormat="1" ht="12" x14ac:dyDescent="0.25">
      <c r="A106" s="43"/>
      <c r="B106" s="43"/>
      <c r="C106" s="43"/>
      <c r="D106" s="69">
        <f t="shared" si="0"/>
        <v>0</v>
      </c>
      <c r="E106" s="74">
        <f>IF(项目总工作量!$B$6="交易类",D106*1.5/22,IF(项目总工作量!$B$6="数据分析类",D106*1.5*0.9/22,IF(项目总工作量!$B$6="流程管理类",D106*1.5*0.8/22,IF(项目总工作量!$B$6="渠道类",FALSE))))</f>
        <v>0</v>
      </c>
      <c r="F106" s="39"/>
      <c r="G106" s="43"/>
      <c r="H106" s="65"/>
    </row>
    <row r="107" spans="1:8" s="41" customFormat="1" ht="12" x14ac:dyDescent="0.25">
      <c r="A107" s="43"/>
      <c r="B107" s="43"/>
      <c r="C107" s="43"/>
      <c r="D107" s="69">
        <f t="shared" si="0"/>
        <v>0</v>
      </c>
      <c r="E107" s="74">
        <f>IF(项目总工作量!$B$6="交易类",D107*1.5/22,IF(项目总工作量!$B$6="数据分析类",D107*1.5*0.9/22,IF(项目总工作量!$B$6="流程管理类",D107*1.5*0.8/22,IF(项目总工作量!$B$6="渠道类",FALSE))))</f>
        <v>0</v>
      </c>
      <c r="F107" s="39"/>
      <c r="G107" s="43"/>
      <c r="H107" s="65"/>
    </row>
    <row r="108" spans="1:8" s="41" customFormat="1" ht="12" x14ac:dyDescent="0.25">
      <c r="A108" s="43"/>
      <c r="B108" s="43"/>
      <c r="C108" s="43"/>
      <c r="D108" s="69">
        <f t="shared" si="0"/>
        <v>0</v>
      </c>
      <c r="E108" s="74">
        <f>IF(项目总工作量!$B$6="交易类",D108*1.5/22,IF(项目总工作量!$B$6="数据分析类",D108*1.5*0.9/22,IF(项目总工作量!$B$6="流程管理类",D108*1.5*0.8/22,IF(项目总工作量!$B$6="渠道类",FALSE))))</f>
        <v>0</v>
      </c>
      <c r="F108" s="39"/>
      <c r="G108" s="43"/>
      <c r="H108" s="65"/>
    </row>
    <row r="109" spans="1:8" s="41" customFormat="1" ht="12" x14ac:dyDescent="0.25">
      <c r="A109" s="114" t="s">
        <v>42</v>
      </c>
      <c r="B109" s="115"/>
      <c r="C109" s="115"/>
      <c r="D109" s="63">
        <f>SUM(D4:D108)</f>
        <v>20</v>
      </c>
      <c r="E109" s="37">
        <f>SUM(E4:E108)</f>
        <v>1.3636363636363635</v>
      </c>
      <c r="F109" s="37">
        <f>SUM(F4:F108)</f>
        <v>0</v>
      </c>
      <c r="G109" s="40"/>
      <c r="H109" s="40"/>
    </row>
  </sheetData>
  <mergeCells count="2">
    <mergeCell ref="A109:C109"/>
    <mergeCell ref="A1:H1"/>
  </mergeCells>
  <phoneticPr fontId="2" type="noConversion"/>
  <dataValidations count="2">
    <dataValidation type="list" allowBlank="1" showInputMessage="1" showErrorMessage="1" sqref="C4:C108">
      <formula1>"ILF,EIF"</formula1>
    </dataValidation>
    <dataValidation type="list" allowBlank="1" showInputMessage="1" showErrorMessage="1" sqref="G4:G108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6"/>
  <sheetViews>
    <sheetView workbookViewId="0">
      <selection activeCell="E17" sqref="E17"/>
    </sheetView>
  </sheetViews>
  <sheetFormatPr defaultColWidth="9" defaultRowHeight="12" x14ac:dyDescent="0.15"/>
  <cols>
    <col min="1" max="1" width="7.8984375" style="45" customWidth="1"/>
    <col min="2" max="2" width="16.69921875" style="59" customWidth="1"/>
    <col min="3" max="3" width="19.19921875" style="59" customWidth="1"/>
    <col min="4" max="4" width="19.69921875" style="59" customWidth="1"/>
    <col min="5" max="5" width="21.09765625" style="45" customWidth="1"/>
    <col min="6" max="6" width="20.69921875" style="45" customWidth="1"/>
    <col min="7" max="7" width="13.69921875" style="45" customWidth="1"/>
    <col min="8" max="16384" width="9" style="45"/>
  </cols>
  <sheetData>
    <row r="1" spans="1:9" ht="38.25" customHeight="1" x14ac:dyDescent="0.15">
      <c r="A1" s="117" t="s">
        <v>10</v>
      </c>
      <c r="B1" s="117"/>
      <c r="C1" s="117"/>
      <c r="D1" s="117"/>
      <c r="E1" s="117"/>
      <c r="F1" s="117"/>
      <c r="G1" s="117"/>
    </row>
    <row r="2" spans="1:9" ht="24" x14ac:dyDescent="0.15">
      <c r="A2" s="20" t="s">
        <v>43</v>
      </c>
      <c r="B2" s="20" t="s">
        <v>11</v>
      </c>
      <c r="C2" s="20" t="s">
        <v>25</v>
      </c>
      <c r="D2" s="20" t="s">
        <v>26</v>
      </c>
      <c r="E2" s="20" t="s">
        <v>12</v>
      </c>
      <c r="F2" s="20" t="s">
        <v>13</v>
      </c>
      <c r="G2" s="20" t="s">
        <v>23</v>
      </c>
    </row>
    <row r="3" spans="1:9" x14ac:dyDescent="0.15">
      <c r="A3" s="108">
        <v>1</v>
      </c>
      <c r="B3" s="121" t="s">
        <v>44</v>
      </c>
      <c r="C3" s="47" t="s">
        <v>45</v>
      </c>
      <c r="D3" s="47"/>
      <c r="E3" s="48"/>
      <c r="F3" s="48"/>
      <c r="G3" s="49">
        <f>SUM(E3:F3)</f>
        <v>0</v>
      </c>
      <c r="H3" s="50"/>
      <c r="I3" s="51"/>
    </row>
    <row r="4" spans="1:9" x14ac:dyDescent="0.15">
      <c r="A4" s="109"/>
      <c r="B4" s="122"/>
      <c r="C4" s="47" t="s">
        <v>46</v>
      </c>
      <c r="D4" s="47"/>
      <c r="E4" s="48"/>
      <c r="F4" s="48"/>
      <c r="G4" s="49">
        <f t="shared" ref="G4:G24" si="0">SUM(E4:F4)</f>
        <v>0</v>
      </c>
      <c r="H4" s="50"/>
    </row>
    <row r="5" spans="1:9" x14ac:dyDescent="0.15">
      <c r="A5" s="110"/>
      <c r="B5" s="123"/>
      <c r="C5" s="47" t="s">
        <v>47</v>
      </c>
      <c r="D5" s="47"/>
      <c r="E5" s="48"/>
      <c r="F5" s="48"/>
      <c r="G5" s="49">
        <f t="shared" si="0"/>
        <v>0</v>
      </c>
      <c r="H5" s="50"/>
    </row>
    <row r="6" spans="1:9" x14ac:dyDescent="0.15">
      <c r="A6" s="46"/>
      <c r="B6" s="47"/>
      <c r="C6" s="47"/>
      <c r="D6" s="47"/>
      <c r="E6" s="48"/>
      <c r="F6" s="52"/>
      <c r="G6" s="49">
        <f t="shared" si="0"/>
        <v>0</v>
      </c>
      <c r="H6" s="53"/>
      <c r="I6" s="54"/>
    </row>
    <row r="7" spans="1:9" x14ac:dyDescent="0.15">
      <c r="A7" s="46"/>
      <c r="B7" s="47"/>
      <c r="C7" s="47"/>
      <c r="D7" s="47"/>
      <c r="E7" s="48"/>
      <c r="F7" s="52"/>
      <c r="G7" s="49">
        <f t="shared" si="0"/>
        <v>0</v>
      </c>
      <c r="H7" s="53"/>
    </row>
    <row r="8" spans="1:9" x14ac:dyDescent="0.15">
      <c r="A8" s="46"/>
      <c r="B8" s="47"/>
      <c r="C8" s="47"/>
      <c r="D8" s="47"/>
      <c r="E8" s="48"/>
      <c r="F8" s="52"/>
      <c r="G8" s="49">
        <f t="shared" si="0"/>
        <v>0</v>
      </c>
      <c r="H8" s="53"/>
    </row>
    <row r="9" spans="1:9" x14ac:dyDescent="0.15">
      <c r="A9" s="46"/>
      <c r="B9" s="47"/>
      <c r="C9" s="47"/>
      <c r="D9" s="47"/>
      <c r="E9" s="48"/>
      <c r="F9" s="52"/>
      <c r="G9" s="49">
        <f t="shared" si="0"/>
        <v>0</v>
      </c>
      <c r="H9" s="53"/>
    </row>
    <row r="10" spans="1:9" x14ac:dyDescent="0.15">
      <c r="A10" s="46"/>
      <c r="B10" s="47"/>
      <c r="C10" s="47"/>
      <c r="D10" s="47"/>
      <c r="E10" s="48"/>
      <c r="F10" s="52"/>
      <c r="G10" s="49">
        <f t="shared" si="0"/>
        <v>0</v>
      </c>
      <c r="H10" s="53"/>
    </row>
    <row r="11" spans="1:9" x14ac:dyDescent="0.15">
      <c r="A11" s="46"/>
      <c r="B11" s="47"/>
      <c r="C11" s="47"/>
      <c r="D11" s="47"/>
      <c r="E11" s="48"/>
      <c r="F11" s="52"/>
      <c r="G11" s="49">
        <f t="shared" si="0"/>
        <v>0</v>
      </c>
      <c r="H11" s="53"/>
      <c r="I11" s="54"/>
    </row>
    <row r="12" spans="1:9" x14ac:dyDescent="0.15">
      <c r="A12" s="46"/>
      <c r="B12" s="47"/>
      <c r="C12" s="47"/>
      <c r="D12" s="47"/>
      <c r="E12" s="48"/>
      <c r="F12" s="52"/>
      <c r="G12" s="49">
        <f t="shared" si="0"/>
        <v>0</v>
      </c>
      <c r="H12" s="53"/>
    </row>
    <row r="13" spans="1:9" x14ac:dyDescent="0.15">
      <c r="A13" s="46"/>
      <c r="B13" s="47"/>
      <c r="C13" s="47"/>
      <c r="D13" s="47"/>
      <c r="E13" s="48"/>
      <c r="F13" s="52"/>
      <c r="G13" s="49">
        <f t="shared" si="0"/>
        <v>0</v>
      </c>
      <c r="H13" s="53"/>
    </row>
    <row r="14" spans="1:9" x14ac:dyDescent="0.15">
      <c r="A14" s="46"/>
      <c r="B14" s="47"/>
      <c r="C14" s="47"/>
      <c r="D14" s="47"/>
      <c r="E14" s="48"/>
      <c r="F14" s="52"/>
      <c r="G14" s="49">
        <f t="shared" si="0"/>
        <v>0</v>
      </c>
      <c r="H14" s="53"/>
    </row>
    <row r="15" spans="1:9" x14ac:dyDescent="0.15">
      <c r="A15" s="46"/>
      <c r="B15" s="47"/>
      <c r="C15" s="47"/>
      <c r="D15" s="47"/>
      <c r="E15" s="48"/>
      <c r="F15" s="52"/>
      <c r="G15" s="49">
        <f t="shared" si="0"/>
        <v>0</v>
      </c>
      <c r="H15" s="53"/>
    </row>
    <row r="16" spans="1:9" x14ac:dyDescent="0.15">
      <c r="A16" s="46"/>
      <c r="B16" s="47"/>
      <c r="C16" s="47"/>
      <c r="D16" s="47"/>
      <c r="E16" s="48"/>
      <c r="F16" s="52"/>
      <c r="G16" s="49">
        <f t="shared" ref="G16:G20" si="1">SUM(E16:F16)</f>
        <v>0</v>
      </c>
      <c r="H16" s="53"/>
      <c r="I16" s="54"/>
    </row>
    <row r="17" spans="1:10" x14ac:dyDescent="0.15">
      <c r="A17" s="46"/>
      <c r="B17" s="47"/>
      <c r="C17" s="47"/>
      <c r="D17" s="47"/>
      <c r="E17" s="48"/>
      <c r="F17" s="52"/>
      <c r="G17" s="49">
        <f t="shared" si="1"/>
        <v>0</v>
      </c>
      <c r="H17" s="53"/>
    </row>
    <row r="18" spans="1:10" x14ac:dyDescent="0.15">
      <c r="A18" s="46"/>
      <c r="B18" s="47"/>
      <c r="C18" s="47"/>
      <c r="D18" s="47"/>
      <c r="E18" s="48"/>
      <c r="F18" s="52"/>
      <c r="G18" s="49">
        <f t="shared" si="1"/>
        <v>0</v>
      </c>
      <c r="H18" s="53"/>
    </row>
    <row r="19" spans="1:10" x14ac:dyDescent="0.15">
      <c r="A19" s="46"/>
      <c r="B19" s="47"/>
      <c r="C19" s="47"/>
      <c r="D19" s="47"/>
      <c r="E19" s="48"/>
      <c r="F19" s="52"/>
      <c r="G19" s="49">
        <f t="shared" si="1"/>
        <v>0</v>
      </c>
      <c r="H19" s="53"/>
    </row>
    <row r="20" spans="1:10" x14ac:dyDescent="0.15">
      <c r="A20" s="46"/>
      <c r="B20" s="47"/>
      <c r="C20" s="47"/>
      <c r="D20" s="47"/>
      <c r="E20" s="48"/>
      <c r="F20" s="52"/>
      <c r="G20" s="49">
        <f t="shared" si="1"/>
        <v>0</v>
      </c>
      <c r="H20" s="53"/>
    </row>
    <row r="21" spans="1:10" x14ac:dyDescent="0.15">
      <c r="A21" s="46"/>
      <c r="B21" s="47"/>
      <c r="C21" s="47"/>
      <c r="D21" s="47"/>
      <c r="E21" s="48"/>
      <c r="F21" s="52"/>
      <c r="G21" s="49"/>
      <c r="H21" s="53"/>
    </row>
    <row r="22" spans="1:10" x14ac:dyDescent="0.15">
      <c r="A22" s="46"/>
      <c r="B22" s="55"/>
      <c r="C22" s="55"/>
      <c r="D22" s="55"/>
      <c r="E22" s="56"/>
      <c r="F22" s="56"/>
      <c r="G22" s="49">
        <f t="shared" si="0"/>
        <v>0</v>
      </c>
      <c r="H22" s="53"/>
      <c r="I22" s="50"/>
      <c r="J22" s="54"/>
    </row>
    <row r="23" spans="1:10" x14ac:dyDescent="0.15">
      <c r="A23" s="46"/>
      <c r="B23" s="55"/>
      <c r="C23" s="55"/>
      <c r="D23" s="55"/>
      <c r="E23" s="56"/>
      <c r="F23" s="56"/>
      <c r="G23" s="49"/>
      <c r="H23" s="53"/>
      <c r="I23" s="50"/>
      <c r="J23" s="54"/>
    </row>
    <row r="24" spans="1:10" x14ac:dyDescent="0.15">
      <c r="A24" s="46"/>
      <c r="B24" s="55"/>
      <c r="C24" s="55"/>
      <c r="D24" s="55"/>
      <c r="E24" s="56"/>
      <c r="F24" s="56"/>
      <c r="G24" s="49">
        <f t="shared" si="0"/>
        <v>0</v>
      </c>
      <c r="H24" s="53"/>
      <c r="I24" s="54"/>
    </row>
    <row r="25" spans="1:10" ht="14.25" customHeight="1" x14ac:dyDescent="0.15">
      <c r="A25" s="118" t="s">
        <v>14</v>
      </c>
      <c r="B25" s="119"/>
      <c r="C25" s="119"/>
      <c r="D25" s="120"/>
      <c r="E25" s="57">
        <f>SUM(E3:E24)</f>
        <v>0</v>
      </c>
      <c r="F25" s="57">
        <f>SUM(F3:F24)</f>
        <v>0</v>
      </c>
      <c r="G25" s="58">
        <f>SUM(E25:F25)</f>
        <v>0</v>
      </c>
      <c r="H25" s="53"/>
    </row>
    <row r="26" spans="1:10" x14ac:dyDescent="0.15">
      <c r="H26" s="60"/>
    </row>
  </sheetData>
  <mergeCells count="4">
    <mergeCell ref="A1:G1"/>
    <mergeCell ref="A25:D25"/>
    <mergeCell ref="B3:B5"/>
    <mergeCell ref="A3:A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项目总工作量</vt:lpstr>
      <vt:lpstr>事务功能</vt:lpstr>
      <vt:lpstr>数据功能</vt:lpstr>
      <vt:lpstr>非功能点估算表</vt:lpstr>
      <vt:lpstr>DType</vt:lpstr>
      <vt:lpstr>FPRating</vt:lpstr>
      <vt:lpstr>TType</vt:lpstr>
    </vt:vector>
  </TitlesOfParts>
  <Company>suiji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Gavin Zheng</cp:lastModifiedBy>
  <dcterms:created xsi:type="dcterms:W3CDTF">2008-05-29T08:25:26Z</dcterms:created>
  <dcterms:modified xsi:type="dcterms:W3CDTF">2018-05-18T07:43:21Z</dcterms:modified>
</cp:coreProperties>
</file>
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ext/Desktop/建行大学项目/20180518 慕书&amp;小木详细报价/"/>
    </mc:Choice>
  </mc:AlternateContent>
  <bookViews>
    <workbookView xWindow="1960" yWindow="480" windowWidth="25600" windowHeight="19340" tabRatio="449" activeTab="1"/>
  </bookViews>
  <sheets>
    <sheet name="项目总工作量" sheetId="7" r:id="rId1"/>
    <sheet name="事务功能" sheetId="4" r:id="rId2"/>
    <sheet name="数据功能" sheetId="2" r:id="rId3"/>
    <sheet name="非功能点估算表" sheetId="6" r:id="rId4"/>
  </sheets>
  <externalReferences>
    <externalReference r:id="rId5"/>
    <externalReference r:id="rId6"/>
  </externalReferences>
  <definedNames>
    <definedName name="DET">数据功能!#REF!</definedName>
    <definedName name="DType">事务功能!$G$1</definedName>
    <definedName name="FPRating">数据功能!$D:$D</definedName>
    <definedName name="FTR">数据功能!#REF!</definedName>
    <definedName name="TType">数据功能!$C:$C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3" i="2" l="1"/>
  <c r="E23" i="2"/>
  <c r="D22" i="2"/>
  <c r="E22" i="2"/>
  <c r="D21" i="2"/>
  <c r="E21" i="2"/>
  <c r="I527" i="4"/>
  <c r="H527" i="4"/>
  <c r="E527" i="4"/>
  <c r="D527" i="4"/>
  <c r="H296" i="4"/>
  <c r="H297" i="4"/>
  <c r="H298" i="4"/>
  <c r="H285" i="4"/>
  <c r="H286" i="4"/>
  <c r="H287" i="4"/>
  <c r="H288" i="4"/>
  <c r="H289" i="4"/>
  <c r="H290" i="4"/>
  <c r="H291" i="4"/>
  <c r="H292" i="4"/>
  <c r="H293" i="4"/>
  <c r="H294" i="4"/>
  <c r="H295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I183" i="4"/>
  <c r="I184" i="4"/>
  <c r="I185" i="4"/>
  <c r="I186" i="4"/>
  <c r="I187" i="4"/>
  <c r="I188" i="4"/>
  <c r="I189" i="4"/>
  <c r="H190" i="4"/>
  <c r="I190" i="4"/>
  <c r="H191" i="4"/>
  <c r="I191" i="4"/>
  <c r="H192" i="4"/>
  <c r="I192" i="4"/>
  <c r="I193" i="4"/>
  <c r="H194" i="4"/>
  <c r="I194" i="4"/>
  <c r="H195" i="4"/>
  <c r="I195" i="4"/>
  <c r="H196" i="4"/>
  <c r="I196" i="4"/>
  <c r="H186" i="4"/>
  <c r="H187" i="4"/>
  <c r="H188" i="4"/>
  <c r="H189" i="4"/>
  <c r="H193" i="4"/>
  <c r="H175" i="4"/>
  <c r="H176" i="4"/>
  <c r="H177" i="4"/>
  <c r="H178" i="4"/>
  <c r="H179" i="4"/>
  <c r="H180" i="4"/>
  <c r="H181" i="4"/>
  <c r="H182" i="4"/>
  <c r="H183" i="4"/>
  <c r="H184" i="4"/>
  <c r="H185" i="4"/>
  <c r="H134" i="4"/>
  <c r="H135" i="4"/>
  <c r="H136" i="4"/>
  <c r="H137" i="4"/>
  <c r="H138" i="4"/>
  <c r="H139" i="4"/>
  <c r="H140" i="4"/>
  <c r="H141" i="4"/>
  <c r="H142" i="4"/>
  <c r="H143" i="4"/>
  <c r="H144" i="4"/>
  <c r="I137" i="4"/>
  <c r="I138" i="4"/>
  <c r="I139" i="4"/>
  <c r="I140" i="4"/>
  <c r="I141" i="4"/>
  <c r="I142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4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H498" i="4"/>
  <c r="D498" i="4"/>
  <c r="H497" i="4"/>
  <c r="D497" i="4"/>
  <c r="H496" i="4"/>
  <c r="D496" i="4"/>
  <c r="H495" i="4"/>
  <c r="D495" i="4"/>
  <c r="H494" i="4"/>
  <c r="D494" i="4"/>
  <c r="H493" i="4"/>
  <c r="D493" i="4"/>
  <c r="H492" i="4"/>
  <c r="D492" i="4"/>
  <c r="H491" i="4"/>
  <c r="D491" i="4"/>
  <c r="H490" i="4"/>
  <c r="D490" i="4"/>
  <c r="H489" i="4"/>
  <c r="D489" i="4"/>
  <c r="H488" i="4"/>
  <c r="D488" i="4"/>
  <c r="H487" i="4"/>
  <c r="D487" i="4"/>
  <c r="H486" i="4"/>
  <c r="D486" i="4"/>
  <c r="H485" i="4"/>
  <c r="D485" i="4"/>
  <c r="H484" i="4"/>
  <c r="D484" i="4"/>
  <c r="H483" i="4"/>
  <c r="D483" i="4"/>
  <c r="H482" i="4"/>
  <c r="D482" i="4"/>
  <c r="H481" i="4"/>
  <c r="D481" i="4"/>
  <c r="H480" i="4"/>
  <c r="D480" i="4"/>
  <c r="H479" i="4"/>
  <c r="D479" i="4"/>
  <c r="H478" i="4"/>
  <c r="D478" i="4"/>
  <c r="H477" i="4"/>
  <c r="D477" i="4"/>
  <c r="H476" i="4"/>
  <c r="D476" i="4"/>
  <c r="H475" i="4"/>
  <c r="D475" i="4"/>
  <c r="H474" i="4"/>
  <c r="D474" i="4"/>
  <c r="H473" i="4"/>
  <c r="D473" i="4"/>
  <c r="H472" i="4"/>
  <c r="D472" i="4"/>
  <c r="H471" i="4"/>
  <c r="D471" i="4"/>
  <c r="H470" i="4"/>
  <c r="D470" i="4"/>
  <c r="H469" i="4"/>
  <c r="D469" i="4"/>
  <c r="H468" i="4"/>
  <c r="D468" i="4"/>
  <c r="H467" i="4"/>
  <c r="D467" i="4"/>
  <c r="H466" i="4"/>
  <c r="D466" i="4"/>
  <c r="H465" i="4"/>
  <c r="D465" i="4"/>
  <c r="H464" i="4"/>
  <c r="D464" i="4"/>
  <c r="H463" i="4"/>
  <c r="D463" i="4"/>
  <c r="H462" i="4"/>
  <c r="D462" i="4"/>
  <c r="H461" i="4"/>
  <c r="D461" i="4"/>
  <c r="H460" i="4"/>
  <c r="D460" i="4"/>
  <c r="H459" i="4"/>
  <c r="D459" i="4"/>
  <c r="H458" i="4"/>
  <c r="D458" i="4"/>
  <c r="H457" i="4"/>
  <c r="D457" i="4"/>
  <c r="H456" i="4"/>
  <c r="D456" i="4"/>
  <c r="H455" i="4"/>
  <c r="D455" i="4"/>
  <c r="H454" i="4"/>
  <c r="D454" i="4"/>
  <c r="H453" i="4"/>
  <c r="D453" i="4"/>
  <c r="H452" i="4"/>
  <c r="D452" i="4"/>
  <c r="H451" i="4"/>
  <c r="D451" i="4"/>
  <c r="H450" i="4"/>
  <c r="D450" i="4"/>
  <c r="H449" i="4"/>
  <c r="D449" i="4"/>
  <c r="H448" i="4"/>
  <c r="D448" i="4"/>
  <c r="H447" i="4"/>
  <c r="D447" i="4"/>
  <c r="H446" i="4"/>
  <c r="D446" i="4"/>
  <c r="H445" i="4"/>
  <c r="D445" i="4"/>
  <c r="H444" i="4"/>
  <c r="D444" i="4"/>
  <c r="H443" i="4"/>
  <c r="D443" i="4"/>
  <c r="H442" i="4"/>
  <c r="D442" i="4"/>
  <c r="H441" i="4"/>
  <c r="D441" i="4"/>
  <c r="H440" i="4"/>
  <c r="D440" i="4"/>
  <c r="H439" i="4"/>
  <c r="D439" i="4"/>
  <c r="H438" i="4"/>
  <c r="D438" i="4"/>
  <c r="H437" i="4"/>
  <c r="D437" i="4"/>
  <c r="H311" i="4"/>
  <c r="D311" i="4"/>
  <c r="H310" i="4"/>
  <c r="D310" i="4"/>
  <c r="H309" i="4"/>
  <c r="D309" i="4"/>
  <c r="H308" i="4"/>
  <c r="D308" i="4"/>
  <c r="H307" i="4"/>
  <c r="D307" i="4"/>
  <c r="H306" i="4"/>
  <c r="D306" i="4"/>
  <c r="H305" i="4"/>
  <c r="D305" i="4"/>
  <c r="H304" i="4"/>
  <c r="D304" i="4"/>
  <c r="H303" i="4"/>
  <c r="D303" i="4"/>
  <c r="H302" i="4"/>
  <c r="D302" i="4"/>
  <c r="H301" i="4"/>
  <c r="D301" i="4"/>
  <c r="H300" i="4"/>
  <c r="D300" i="4"/>
  <c r="H299" i="4"/>
  <c r="D299" i="4"/>
  <c r="D298" i="4"/>
  <c r="D297" i="4"/>
  <c r="H174" i="4"/>
  <c r="D174" i="4"/>
  <c r="H173" i="4"/>
  <c r="D173" i="4"/>
  <c r="H172" i="4"/>
  <c r="D172" i="4"/>
  <c r="H171" i="4"/>
  <c r="D171" i="4"/>
  <c r="H170" i="4"/>
  <c r="D170" i="4"/>
  <c r="H169" i="4"/>
  <c r="D169" i="4"/>
  <c r="H168" i="4"/>
  <c r="D168" i="4"/>
  <c r="H167" i="4"/>
  <c r="D167" i="4"/>
  <c r="H166" i="4"/>
  <c r="D166" i="4"/>
  <c r="H165" i="4"/>
  <c r="D165" i="4"/>
  <c r="H164" i="4"/>
  <c r="D164" i="4"/>
  <c r="H163" i="4"/>
  <c r="D163" i="4"/>
  <c r="H162" i="4"/>
  <c r="D162" i="4"/>
  <c r="H161" i="4"/>
  <c r="D161" i="4"/>
  <c r="H159" i="4"/>
  <c r="H160" i="4"/>
  <c r="D160" i="4"/>
  <c r="H158" i="4"/>
  <c r="D159" i="4"/>
  <c r="D158" i="4"/>
  <c r="H157" i="4"/>
  <c r="D157" i="4"/>
  <c r="H156" i="4"/>
  <c r="D156" i="4"/>
  <c r="H155" i="4"/>
  <c r="D155" i="4"/>
  <c r="H154" i="4"/>
  <c r="D154" i="4"/>
  <c r="H153" i="4"/>
  <c r="D153" i="4"/>
  <c r="H152" i="4"/>
  <c r="D152" i="4"/>
  <c r="H151" i="4"/>
  <c r="D151" i="4"/>
  <c r="H148" i="4"/>
  <c r="H150" i="4"/>
  <c r="D150" i="4"/>
  <c r="H149" i="4"/>
  <c r="D149" i="4"/>
  <c r="D148" i="4"/>
  <c r="H147" i="4"/>
  <c r="D147" i="4"/>
  <c r="H146" i="4"/>
  <c r="D146" i="4"/>
  <c r="H145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H133" i="4"/>
  <c r="D133" i="4"/>
  <c r="H132" i="4"/>
  <c r="D132" i="4"/>
  <c r="H131" i="4"/>
  <c r="D131" i="4"/>
  <c r="H130" i="4"/>
  <c r="D130" i="4"/>
  <c r="H129" i="4"/>
  <c r="D129" i="4"/>
  <c r="H128" i="4"/>
  <c r="D128" i="4"/>
  <c r="H127" i="4"/>
  <c r="D127" i="4"/>
  <c r="H126" i="4"/>
  <c r="D126" i="4"/>
  <c r="H125" i="4"/>
  <c r="D125" i="4"/>
  <c r="H124" i="4"/>
  <c r="D124" i="4"/>
  <c r="H123" i="4"/>
  <c r="D123" i="4"/>
  <c r="H122" i="4"/>
  <c r="D122" i="4"/>
  <c r="H121" i="4"/>
  <c r="D121" i="4"/>
  <c r="H120" i="4"/>
  <c r="D120" i="4"/>
  <c r="H119" i="4"/>
  <c r="D119" i="4"/>
  <c r="H118" i="4"/>
  <c r="D118" i="4"/>
  <c r="H117" i="4"/>
  <c r="D117" i="4"/>
  <c r="H116" i="4"/>
  <c r="D116" i="4"/>
  <c r="H115" i="4"/>
  <c r="D115" i="4"/>
  <c r="H114" i="4"/>
  <c r="D114" i="4"/>
  <c r="H113" i="4"/>
  <c r="D113" i="4"/>
  <c r="H112" i="4"/>
  <c r="D112" i="4"/>
  <c r="H111" i="4"/>
  <c r="H110" i="4"/>
  <c r="D110" i="4"/>
  <c r="H109" i="4"/>
  <c r="D109" i="4"/>
  <c r="H108" i="4"/>
  <c r="D108" i="4"/>
  <c r="H107" i="4"/>
  <c r="D107" i="4"/>
  <c r="H106" i="4"/>
  <c r="D106" i="4"/>
  <c r="H105" i="4"/>
  <c r="D105" i="4"/>
  <c r="H104" i="4"/>
  <c r="D104" i="4"/>
  <c r="H103" i="4"/>
  <c r="D103" i="4"/>
  <c r="H102" i="4"/>
  <c r="D102" i="4"/>
  <c r="H101" i="4"/>
  <c r="D101" i="4"/>
  <c r="H100" i="4"/>
  <c r="D100" i="4"/>
  <c r="H99" i="4"/>
  <c r="D99" i="4"/>
  <c r="H98" i="4"/>
  <c r="D98" i="4"/>
  <c r="H97" i="4"/>
  <c r="D97" i="4"/>
  <c r="H96" i="4"/>
  <c r="D96" i="4"/>
  <c r="H95" i="4"/>
  <c r="D95" i="4"/>
  <c r="H94" i="4"/>
  <c r="D94" i="4"/>
  <c r="H93" i="4"/>
  <c r="D93" i="4"/>
  <c r="H92" i="4"/>
  <c r="D92" i="4"/>
  <c r="H91" i="4"/>
  <c r="D91" i="4"/>
  <c r="H90" i="4"/>
  <c r="D90" i="4"/>
  <c r="H89" i="4"/>
  <c r="D89" i="4"/>
  <c r="H88" i="4"/>
  <c r="D88" i="4"/>
  <c r="H87" i="4"/>
  <c r="D87" i="4"/>
  <c r="H86" i="4"/>
  <c r="D86" i="4"/>
  <c r="H85" i="4"/>
  <c r="D85" i="4"/>
  <c r="H84" i="4"/>
  <c r="D84" i="4"/>
  <c r="H83" i="4"/>
  <c r="D83" i="4"/>
  <c r="H82" i="4"/>
  <c r="D82" i="4"/>
  <c r="H81" i="4"/>
  <c r="D81" i="4"/>
  <c r="H80" i="4"/>
  <c r="D80" i="4"/>
  <c r="H79" i="4"/>
  <c r="D79" i="4"/>
  <c r="H78" i="4"/>
  <c r="D78" i="4"/>
  <c r="H77" i="4"/>
  <c r="D77" i="4"/>
  <c r="H76" i="4"/>
  <c r="D76" i="4"/>
  <c r="H75" i="4"/>
  <c r="D75" i="4"/>
  <c r="H74" i="4"/>
  <c r="D74" i="4"/>
  <c r="H73" i="4"/>
  <c r="D73" i="4"/>
  <c r="H72" i="4"/>
  <c r="D72" i="4"/>
  <c r="H71" i="4"/>
  <c r="D71" i="4"/>
  <c r="H70" i="4"/>
  <c r="D70" i="4"/>
  <c r="H69" i="4"/>
  <c r="D69" i="4"/>
  <c r="H68" i="4"/>
  <c r="D68" i="4"/>
  <c r="H67" i="4"/>
  <c r="D67" i="4"/>
  <c r="H66" i="4"/>
  <c r="D66" i="4"/>
  <c r="H65" i="4"/>
  <c r="D65" i="4"/>
  <c r="H64" i="4"/>
  <c r="D64" i="4"/>
  <c r="H63" i="4"/>
  <c r="D63" i="4"/>
  <c r="H62" i="4"/>
  <c r="D62" i="4"/>
  <c r="H61" i="4"/>
  <c r="D61" i="4"/>
  <c r="H60" i="4"/>
  <c r="D60" i="4"/>
  <c r="H59" i="4"/>
  <c r="D59" i="4"/>
  <c r="H58" i="4"/>
  <c r="D58" i="4"/>
  <c r="H57" i="4"/>
  <c r="D57" i="4"/>
  <c r="H56" i="4"/>
  <c r="D56" i="4"/>
  <c r="H55" i="4"/>
  <c r="D55" i="4"/>
  <c r="H54" i="4"/>
  <c r="D54" i="4"/>
  <c r="H53" i="4"/>
  <c r="D53" i="4"/>
  <c r="H52" i="4"/>
  <c r="D52" i="4"/>
  <c r="H51" i="4"/>
  <c r="D51" i="4"/>
  <c r="H50" i="4"/>
  <c r="D50" i="4"/>
  <c r="H49" i="4"/>
  <c r="D49" i="4"/>
  <c r="H48" i="4"/>
  <c r="D48" i="4"/>
  <c r="H47" i="4"/>
  <c r="D47" i="4"/>
  <c r="H46" i="4"/>
  <c r="D46" i="4"/>
  <c r="H45" i="4"/>
  <c r="D45" i="4"/>
  <c r="H44" i="4"/>
  <c r="D44" i="4"/>
  <c r="H43" i="4"/>
  <c r="D43" i="4"/>
  <c r="H42" i="4"/>
  <c r="D42" i="4"/>
  <c r="H41" i="4"/>
  <c r="D41" i="4"/>
  <c r="H40" i="4"/>
  <c r="D40" i="4"/>
  <c r="H39" i="4"/>
  <c r="D39" i="4"/>
  <c r="H38" i="4"/>
  <c r="D38" i="4"/>
  <c r="H37" i="4"/>
  <c r="D37" i="4"/>
  <c r="H36" i="4"/>
  <c r="D36" i="4"/>
  <c r="H35" i="4"/>
  <c r="D35" i="4"/>
  <c r="H34" i="4"/>
  <c r="D34" i="4"/>
  <c r="H33" i="4"/>
  <c r="D33" i="4"/>
  <c r="H32" i="4"/>
  <c r="D32" i="4"/>
  <c r="H31" i="4"/>
  <c r="D31" i="4"/>
  <c r="H30" i="4"/>
  <c r="D30" i="4"/>
  <c r="H29" i="4"/>
  <c r="D29" i="4"/>
  <c r="H28" i="4"/>
  <c r="D28" i="4"/>
  <c r="H27" i="4"/>
  <c r="D27" i="4"/>
  <c r="H26" i="4"/>
  <c r="D26" i="4"/>
  <c r="H25" i="4"/>
  <c r="D25" i="4"/>
  <c r="H24" i="4"/>
  <c r="D24" i="4"/>
  <c r="H23" i="4"/>
  <c r="D23" i="4"/>
  <c r="H22" i="4"/>
  <c r="D22" i="4"/>
  <c r="H21" i="4"/>
  <c r="D21" i="4"/>
  <c r="H20" i="4"/>
  <c r="D20" i="4"/>
  <c r="H19" i="4"/>
  <c r="D19" i="4"/>
  <c r="H18" i="4"/>
  <c r="D18" i="4"/>
  <c r="H17" i="4"/>
  <c r="D17" i="4"/>
  <c r="H16" i="4"/>
  <c r="D16" i="4"/>
  <c r="H15" i="4"/>
  <c r="D15" i="4"/>
  <c r="H14" i="4"/>
  <c r="D14" i="4"/>
  <c r="H13" i="4"/>
  <c r="D13" i="4"/>
  <c r="H12" i="4"/>
  <c r="D12" i="4"/>
  <c r="H11" i="4"/>
  <c r="D11" i="4"/>
  <c r="H10" i="4"/>
  <c r="D10" i="4"/>
  <c r="H9" i="4"/>
  <c r="D9" i="4"/>
  <c r="H8" i="4"/>
  <c r="D8" i="4"/>
  <c r="H7" i="4"/>
  <c r="D7" i="4"/>
  <c r="H6" i="4"/>
  <c r="D6" i="4"/>
  <c r="H5" i="4"/>
  <c r="D5" i="4"/>
  <c r="H4" i="4"/>
  <c r="D4" i="4"/>
  <c r="H525" i="4"/>
  <c r="D525" i="4"/>
  <c r="H524" i="4"/>
  <c r="D524" i="4"/>
  <c r="H523" i="4"/>
  <c r="D523" i="4"/>
  <c r="H522" i="4"/>
  <c r="D522" i="4"/>
  <c r="H521" i="4"/>
  <c r="D521" i="4"/>
  <c r="H520" i="4"/>
  <c r="D520" i="4"/>
  <c r="H519" i="4"/>
  <c r="D519" i="4"/>
  <c r="H518" i="4"/>
  <c r="D518" i="4"/>
  <c r="H517" i="4"/>
  <c r="D517" i="4"/>
  <c r="H436" i="4"/>
  <c r="D436" i="4"/>
  <c r="H431" i="4"/>
  <c r="D431" i="4"/>
  <c r="H428" i="4"/>
  <c r="D428" i="4"/>
  <c r="H349" i="4"/>
  <c r="D349" i="4"/>
  <c r="H348" i="4"/>
  <c r="D348" i="4"/>
  <c r="H347" i="4"/>
  <c r="D347" i="4"/>
  <c r="H346" i="4"/>
  <c r="D346" i="4"/>
  <c r="H345" i="4"/>
  <c r="D345" i="4"/>
  <c r="H344" i="4"/>
  <c r="D344" i="4"/>
  <c r="H343" i="4"/>
  <c r="D343" i="4"/>
  <c r="H342" i="4"/>
  <c r="D342" i="4"/>
  <c r="D276" i="4"/>
  <c r="D275" i="4"/>
  <c r="D274" i="4"/>
  <c r="D273" i="4"/>
  <c r="D272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F54" i="6"/>
  <c r="J14" i="7"/>
  <c r="E54" i="6"/>
  <c r="G14" i="7"/>
  <c r="H312" i="4"/>
  <c r="D312" i="4"/>
  <c r="H313" i="4"/>
  <c r="D313" i="4"/>
  <c r="H314" i="4"/>
  <c r="D314" i="4"/>
  <c r="H315" i="4"/>
  <c r="D315" i="4"/>
  <c r="H316" i="4"/>
  <c r="D316" i="4"/>
  <c r="H317" i="4"/>
  <c r="D317" i="4"/>
  <c r="H318" i="4"/>
  <c r="D318" i="4"/>
  <c r="H319" i="4"/>
  <c r="D319" i="4"/>
  <c r="H320" i="4"/>
  <c r="D320" i="4"/>
  <c r="H321" i="4"/>
  <c r="D321" i="4"/>
  <c r="H322" i="4"/>
  <c r="D322" i="4"/>
  <c r="H323" i="4"/>
  <c r="D323" i="4"/>
  <c r="H324" i="4"/>
  <c r="D324" i="4"/>
  <c r="H325" i="4"/>
  <c r="D325" i="4"/>
  <c r="H326" i="4"/>
  <c r="D326" i="4"/>
  <c r="H327" i="4"/>
  <c r="D327" i="4"/>
  <c r="H328" i="4"/>
  <c r="D328" i="4"/>
  <c r="H329" i="4"/>
  <c r="D329" i="4"/>
  <c r="H330" i="4"/>
  <c r="D330" i="4"/>
  <c r="H331" i="4"/>
  <c r="D331" i="4"/>
  <c r="H332" i="4"/>
  <c r="D332" i="4"/>
  <c r="H333" i="4"/>
  <c r="D333" i="4"/>
  <c r="H334" i="4"/>
  <c r="D334" i="4"/>
  <c r="H335" i="4"/>
  <c r="D335" i="4"/>
  <c r="H336" i="4"/>
  <c r="D336" i="4"/>
  <c r="H337" i="4"/>
  <c r="D337" i="4"/>
  <c r="H338" i="4"/>
  <c r="D338" i="4"/>
  <c r="H339" i="4"/>
  <c r="D339" i="4"/>
  <c r="H340" i="4"/>
  <c r="D340" i="4"/>
  <c r="H341" i="4"/>
  <c r="D341" i="4"/>
  <c r="H350" i="4"/>
  <c r="D350" i="4"/>
  <c r="H351" i="4"/>
  <c r="D351" i="4"/>
  <c r="H352" i="4"/>
  <c r="D352" i="4"/>
  <c r="H353" i="4"/>
  <c r="D353" i="4"/>
  <c r="H354" i="4"/>
  <c r="D354" i="4"/>
  <c r="H355" i="4"/>
  <c r="D355" i="4"/>
  <c r="H356" i="4"/>
  <c r="D356" i="4"/>
  <c r="H357" i="4"/>
  <c r="D357" i="4"/>
  <c r="H358" i="4"/>
  <c r="D358" i="4"/>
  <c r="H359" i="4"/>
  <c r="D359" i="4"/>
  <c r="H360" i="4"/>
  <c r="D360" i="4"/>
  <c r="H361" i="4"/>
  <c r="D361" i="4"/>
  <c r="H362" i="4"/>
  <c r="D362" i="4"/>
  <c r="H363" i="4"/>
  <c r="D363" i="4"/>
  <c r="H364" i="4"/>
  <c r="D364" i="4"/>
  <c r="H365" i="4"/>
  <c r="D365" i="4"/>
  <c r="H366" i="4"/>
  <c r="D366" i="4"/>
  <c r="H367" i="4"/>
  <c r="D367" i="4"/>
  <c r="H368" i="4"/>
  <c r="D368" i="4"/>
  <c r="H369" i="4"/>
  <c r="D369" i="4"/>
  <c r="H370" i="4"/>
  <c r="D370" i="4"/>
  <c r="H371" i="4"/>
  <c r="D371" i="4"/>
  <c r="H372" i="4"/>
  <c r="D372" i="4"/>
  <c r="H373" i="4"/>
  <c r="D373" i="4"/>
  <c r="H374" i="4"/>
  <c r="D374" i="4"/>
  <c r="H375" i="4"/>
  <c r="D375" i="4"/>
  <c r="H376" i="4"/>
  <c r="D376" i="4"/>
  <c r="H377" i="4"/>
  <c r="D377" i="4"/>
  <c r="H378" i="4"/>
  <c r="D378" i="4"/>
  <c r="H379" i="4"/>
  <c r="D379" i="4"/>
  <c r="H380" i="4"/>
  <c r="D380" i="4"/>
  <c r="H381" i="4"/>
  <c r="D381" i="4"/>
  <c r="H382" i="4"/>
  <c r="D382" i="4"/>
  <c r="H383" i="4"/>
  <c r="D383" i="4"/>
  <c r="H384" i="4"/>
  <c r="D384" i="4"/>
  <c r="H385" i="4"/>
  <c r="D385" i="4"/>
  <c r="H386" i="4"/>
  <c r="D386" i="4"/>
  <c r="H387" i="4"/>
  <c r="D387" i="4"/>
  <c r="H388" i="4"/>
  <c r="D388" i="4"/>
  <c r="H389" i="4"/>
  <c r="D389" i="4"/>
  <c r="H390" i="4"/>
  <c r="D390" i="4"/>
  <c r="H391" i="4"/>
  <c r="D391" i="4"/>
  <c r="H392" i="4"/>
  <c r="D392" i="4"/>
  <c r="H393" i="4"/>
  <c r="D393" i="4"/>
  <c r="H394" i="4"/>
  <c r="D394" i="4"/>
  <c r="H395" i="4"/>
  <c r="D395" i="4"/>
  <c r="H396" i="4"/>
  <c r="D396" i="4"/>
  <c r="H397" i="4"/>
  <c r="D397" i="4"/>
  <c r="H398" i="4"/>
  <c r="D398" i="4"/>
  <c r="H399" i="4"/>
  <c r="D399" i="4"/>
  <c r="H400" i="4"/>
  <c r="D400" i="4"/>
  <c r="H401" i="4"/>
  <c r="D401" i="4"/>
  <c r="H402" i="4"/>
  <c r="D402" i="4"/>
  <c r="H403" i="4"/>
  <c r="D403" i="4"/>
  <c r="H404" i="4"/>
  <c r="D404" i="4"/>
  <c r="H405" i="4"/>
  <c r="D405" i="4"/>
  <c r="H406" i="4"/>
  <c r="D406" i="4"/>
  <c r="H407" i="4"/>
  <c r="D407" i="4"/>
  <c r="H408" i="4"/>
  <c r="D408" i="4"/>
  <c r="H409" i="4"/>
  <c r="D409" i="4"/>
  <c r="H410" i="4"/>
  <c r="D410" i="4"/>
  <c r="H411" i="4"/>
  <c r="D411" i="4"/>
  <c r="H412" i="4"/>
  <c r="D412" i="4"/>
  <c r="H413" i="4"/>
  <c r="D413" i="4"/>
  <c r="H414" i="4"/>
  <c r="D414" i="4"/>
  <c r="H415" i="4"/>
  <c r="D415" i="4"/>
  <c r="H416" i="4"/>
  <c r="D416" i="4"/>
  <c r="H417" i="4"/>
  <c r="D417" i="4"/>
  <c r="H418" i="4"/>
  <c r="D418" i="4"/>
  <c r="H419" i="4"/>
  <c r="D419" i="4"/>
  <c r="H420" i="4"/>
  <c r="D420" i="4"/>
  <c r="H421" i="4"/>
  <c r="D421" i="4"/>
  <c r="H422" i="4"/>
  <c r="D422" i="4"/>
  <c r="H423" i="4"/>
  <c r="D423" i="4"/>
  <c r="H424" i="4"/>
  <c r="D424" i="4"/>
  <c r="H425" i="4"/>
  <c r="D425" i="4"/>
  <c r="H426" i="4"/>
  <c r="D426" i="4"/>
  <c r="H427" i="4"/>
  <c r="D427" i="4"/>
  <c r="H429" i="4"/>
  <c r="D429" i="4"/>
  <c r="H430" i="4"/>
  <c r="D430" i="4"/>
  <c r="H432" i="4"/>
  <c r="D432" i="4"/>
  <c r="H433" i="4"/>
  <c r="D433" i="4"/>
  <c r="H434" i="4"/>
  <c r="D434" i="4"/>
  <c r="H435" i="4"/>
  <c r="D435" i="4"/>
  <c r="H499" i="4"/>
  <c r="D499" i="4"/>
  <c r="H500" i="4"/>
  <c r="D500" i="4"/>
  <c r="H501" i="4"/>
  <c r="D501" i="4"/>
  <c r="H502" i="4"/>
  <c r="D502" i="4"/>
  <c r="H503" i="4"/>
  <c r="D503" i="4"/>
  <c r="H504" i="4"/>
  <c r="D504" i="4"/>
  <c r="H505" i="4"/>
  <c r="D505" i="4"/>
  <c r="H506" i="4"/>
  <c r="D506" i="4"/>
  <c r="H507" i="4"/>
  <c r="D507" i="4"/>
  <c r="H508" i="4"/>
  <c r="D508" i="4"/>
  <c r="H509" i="4"/>
  <c r="D509" i="4"/>
  <c r="H510" i="4"/>
  <c r="D510" i="4"/>
  <c r="H511" i="4"/>
  <c r="D511" i="4"/>
  <c r="H512" i="4"/>
  <c r="D512" i="4"/>
  <c r="H513" i="4"/>
  <c r="D513" i="4"/>
  <c r="H514" i="4"/>
  <c r="D514" i="4"/>
  <c r="H515" i="4"/>
  <c r="D515" i="4"/>
  <c r="H516" i="4"/>
  <c r="D516" i="4"/>
  <c r="H526" i="4"/>
  <c r="I526" i="4"/>
  <c r="D526" i="4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4" i="2"/>
  <c r="E24" i="2"/>
  <c r="D25" i="2"/>
  <c r="E25" i="2"/>
  <c r="D26" i="2"/>
  <c r="E26" i="2"/>
  <c r="E27" i="2"/>
  <c r="G13" i="7"/>
  <c r="F27" i="2"/>
  <c r="J13" i="7"/>
  <c r="K13" i="7"/>
  <c r="K14" i="7"/>
  <c r="B15" i="7"/>
  <c r="C15" i="7"/>
  <c r="D15" i="7"/>
  <c r="E15" i="7"/>
  <c r="F15" i="7"/>
  <c r="G15" i="7"/>
  <c r="H15" i="7"/>
  <c r="I15" i="7"/>
  <c r="J15" i="7"/>
  <c r="K15" i="7"/>
  <c r="G54" i="6"/>
  <c r="D27" i="2"/>
  <c r="H16" i="7"/>
  <c r="B7" i="7"/>
  <c r="B16" i="7"/>
</calcChain>
</file>

<file path=xl/sharedStrings.xml><?xml version="1.0" encoding="utf-8"?>
<sst xmlns="http://schemas.openxmlformats.org/spreadsheetml/2006/main" count="1785" uniqueCount="686">
  <si>
    <t>序号</t>
    <phoneticPr fontId="2" type="noConversion"/>
  </si>
  <si>
    <t>数据文件名称</t>
    <phoneticPr fontId="2" type="noConversion"/>
  </si>
  <si>
    <t>类型</t>
    <phoneticPr fontId="2" type="noConversion"/>
  </si>
  <si>
    <t>事务名称</t>
    <phoneticPr fontId="2" type="noConversion"/>
  </si>
  <si>
    <t xml:space="preserve">事务类型 </t>
    <phoneticPr fontId="2" type="noConversion"/>
  </si>
  <si>
    <t>升级类型</t>
    <phoneticPr fontId="2" type="noConversion"/>
  </si>
  <si>
    <t>数据功能</t>
    <phoneticPr fontId="2" type="noConversion"/>
  </si>
  <si>
    <t>事务功能</t>
    <phoneticPr fontId="2" type="noConversion"/>
  </si>
  <si>
    <t>业务需求项</t>
    <phoneticPr fontId="2" type="noConversion"/>
  </si>
  <si>
    <t>业务需求</t>
    <phoneticPr fontId="2" type="noConversion"/>
  </si>
  <si>
    <t>非功能点法工作量测算情况</t>
    <phoneticPr fontId="2" type="noConversion"/>
  </si>
  <si>
    <t>工作任务名称</t>
    <phoneticPr fontId="2" type="noConversion"/>
  </si>
  <si>
    <t>技术人员工作量（人月）</t>
    <phoneticPr fontId="2" type="noConversion"/>
  </si>
  <si>
    <t>业务人员工作量（人月）</t>
    <phoneticPr fontId="2" type="noConversion"/>
  </si>
  <si>
    <t>合计</t>
    <phoneticPr fontId="5" type="noConversion"/>
  </si>
  <si>
    <t>技术人员工作量（人月）</t>
    <phoneticPr fontId="2" type="noConversion"/>
  </si>
  <si>
    <t>业务人员工作量（人月）</t>
    <phoneticPr fontId="2" type="noConversion"/>
  </si>
  <si>
    <t>总行</t>
    <phoneticPr fontId="2" type="noConversion"/>
  </si>
  <si>
    <t>分行借调</t>
    <phoneticPr fontId="2" type="noConversion"/>
  </si>
  <si>
    <t>中心</t>
    <phoneticPr fontId="2" type="noConversion"/>
  </si>
  <si>
    <t>高级人员</t>
    <phoneticPr fontId="2" type="noConversion"/>
  </si>
  <si>
    <t>行内</t>
    <phoneticPr fontId="2" type="noConversion"/>
  </si>
  <si>
    <t>外包</t>
    <phoneticPr fontId="2" type="noConversion"/>
  </si>
  <si>
    <t>合计</t>
    <phoneticPr fontId="2" type="noConversion"/>
  </si>
  <si>
    <t>合计</t>
    <phoneticPr fontId="2" type="noConversion"/>
  </si>
  <si>
    <t>主要工作内容
（即工作任务分解）</t>
    <phoneticPr fontId="2" type="noConversion"/>
  </si>
  <si>
    <t>工作量测算过程简述</t>
    <phoneticPr fontId="2" type="noConversion"/>
  </si>
  <si>
    <t>序号</t>
    <phoneticPr fontId="2" type="noConversion"/>
  </si>
  <si>
    <t>升级类型</t>
    <phoneticPr fontId="2" type="noConversion"/>
  </si>
  <si>
    <t>中级人员</t>
    <phoneticPr fontId="2" type="noConversion"/>
  </si>
  <si>
    <t>开发类型</t>
    <phoneticPr fontId="2" type="noConversion"/>
  </si>
  <si>
    <t>项目名称</t>
    <phoneticPr fontId="2" type="noConversion"/>
  </si>
  <si>
    <t>实施部门</t>
    <phoneticPr fontId="2" type="noConversion"/>
  </si>
  <si>
    <t>项目基本信息</t>
    <phoneticPr fontId="2" type="noConversion"/>
  </si>
  <si>
    <t>一般人员</t>
    <phoneticPr fontId="2" type="noConversion"/>
  </si>
  <si>
    <t>小计</t>
    <phoneticPr fontId="2" type="noConversion"/>
  </si>
  <si>
    <t>[本表白色框需填写]</t>
    <phoneticPr fontId="2" type="noConversion"/>
  </si>
  <si>
    <t>功能点估算法</t>
    <phoneticPr fontId="2" type="noConversion"/>
  </si>
  <si>
    <t>非功能点估算法</t>
    <phoneticPr fontId="2" type="noConversion"/>
  </si>
  <si>
    <t>工作量估算方法分类</t>
    <phoneticPr fontId="2" type="noConversion"/>
  </si>
  <si>
    <t>功能点数</t>
    <phoneticPr fontId="2" type="noConversion"/>
  </si>
  <si>
    <t>小计</t>
    <phoneticPr fontId="2" type="noConversion"/>
  </si>
  <si>
    <t>合计</t>
    <phoneticPr fontId="2" type="noConversion"/>
  </si>
  <si>
    <t>序号</t>
    <phoneticPr fontId="2" type="noConversion"/>
  </si>
  <si>
    <t>新增</t>
  </si>
  <si>
    <t>实现该业务需求项需要的业务人员的工作量。</t>
    <phoneticPr fontId="2" type="noConversion"/>
  </si>
  <si>
    <t>标识该功能的修改类型：
新增
修改
删除</t>
    <phoneticPr fontId="2" type="noConversion"/>
  </si>
  <si>
    <t>ILF：是在被度量应用边界内部维护的，用户可识别的、逻辑相关的数据组或控制信息组。
EIF：是用户可识别的、逻辑相关的数据组或者控制信息组，其由被度量应用所引用，但是另一应用边界内维护。</t>
    <phoneticPr fontId="2" type="noConversion"/>
  </si>
  <si>
    <t>根据实际需要，参照技术人员工作量，合理配比每个功能点所需的业务人员。</t>
    <phoneticPr fontId="2" type="noConversion"/>
  </si>
  <si>
    <t>识别事务功能的类型：
EI（外部输入）
EQ（外部查询）
EO（外部输出）</t>
    <phoneticPr fontId="2" type="noConversion"/>
  </si>
  <si>
    <t>功能点数</t>
    <phoneticPr fontId="2" type="noConversion"/>
  </si>
  <si>
    <t>技术人员工作量（人月</t>
    <phoneticPr fontId="2" type="noConversion"/>
  </si>
  <si>
    <t>自动得出，不需要填写。</t>
    <phoneticPr fontId="2" type="noConversion"/>
  </si>
  <si>
    <t>实现该业务需求项需要的技术人员工作量，由该业务需求项包含的事务功能汇总得出。不需要手工填写。</t>
    <phoneticPr fontId="2" type="noConversion"/>
  </si>
  <si>
    <t>自动得出，不需要手工填写。</t>
    <phoneticPr fontId="2" type="noConversion"/>
  </si>
  <si>
    <t>自动得出，不需要填写。</t>
    <phoneticPr fontId="2" type="noConversion"/>
  </si>
  <si>
    <t>基于业务需求的分解和细化，与业务需求是一对多的关系。如一个业务功能,可以来源于全生命周期IT管理平台中的业务需求项</t>
    <phoneticPr fontId="2" type="noConversion"/>
  </si>
  <si>
    <t>数据功能是系统提供给用户的满足产品内部和外部数据需求的功能。是指一组客户可识别的、逻辑上相互关联的数据或者控制信息。</t>
    <phoneticPr fontId="2" type="noConversion"/>
  </si>
  <si>
    <t>说明:</t>
    <phoneticPr fontId="2" type="noConversion"/>
  </si>
  <si>
    <t>1、本表主要以功能点估算法为主，使用“事务功能”和“数据功能”进行估算。对于无法识别功能点的实施任务，例如“基础设施类”、“推广类”等，使用非功能点估算表进行估算。</t>
    <phoneticPr fontId="2" type="noConversion"/>
  </si>
  <si>
    <t>2、表中包含公式，填写时请根据需要自动插入行，不要修改工作表格式。</t>
    <phoneticPr fontId="2" type="noConversion"/>
  </si>
  <si>
    <t>事务功能是用户可识别的，业务上的一组原子操作，可能由多个处理逻辑构成。例如，“添加柜员信息”这个基本过程可能包含“信息校验”、“修改确认”、“修改结果反馈”等一系列处理逻辑。</t>
    <phoneticPr fontId="2" type="noConversion"/>
  </si>
  <si>
    <t>交易类</t>
    <phoneticPr fontId="2" type="noConversion"/>
  </si>
  <si>
    <t>业务需求</t>
    <phoneticPr fontId="2" type="noConversion"/>
  </si>
  <si>
    <t xml:space="preserve">逻辑上相关的一组软件业务功能的集合。如业务功能模块,可以来源于全生命周期IT管理平台中的业务需求
</t>
    <phoneticPr fontId="2" type="noConversion"/>
  </si>
  <si>
    <t>与事务功能的业务需求保持一致。</t>
    <phoneticPr fontId="2" type="noConversion"/>
  </si>
  <si>
    <t>EI</t>
  </si>
  <si>
    <t>EO</t>
  </si>
  <si>
    <t>ILF</t>
  </si>
  <si>
    <t>EQ</t>
  </si>
  <si>
    <t>知识点人工设定</t>
    <phoneticPr fontId="2" type="noConversion"/>
  </si>
  <si>
    <t>知识点相关性计算</t>
    <phoneticPr fontId="2" type="noConversion"/>
  </si>
  <si>
    <t>标点符号及单词的词干化</t>
    <phoneticPr fontId="2" type="noConversion"/>
  </si>
  <si>
    <t>去掉停用词</t>
    <phoneticPr fontId="2" type="noConversion"/>
  </si>
  <si>
    <t>去掉标点符号</t>
    <phoneticPr fontId="2" type="noConversion"/>
  </si>
  <si>
    <t>单词的同质化</t>
    <phoneticPr fontId="2" type="noConversion"/>
  </si>
  <si>
    <t>去掉低频词</t>
    <phoneticPr fontId="2" type="noConversion"/>
  </si>
  <si>
    <t>建立BOW词袋模型</t>
    <phoneticPr fontId="2" type="noConversion"/>
  </si>
  <si>
    <t>文档处理模块后台设计</t>
    <phoneticPr fontId="2" type="noConversion"/>
  </si>
  <si>
    <t>文档处理模块存储设计</t>
    <phoneticPr fontId="2" type="noConversion"/>
  </si>
  <si>
    <t>文档处理模块的权限系统</t>
    <phoneticPr fontId="2" type="noConversion"/>
  </si>
  <si>
    <t>检索服务</t>
    <rPh sb="0" eb="1">
      <t>jm'so'fu'wu</t>
    </rPh>
    <phoneticPr fontId="2" type="noConversion"/>
  </si>
  <si>
    <t>web端语音输入</t>
    <rPh sb="3" eb="4">
      <t>dr</t>
    </rPh>
    <rPh sb="4" eb="5">
      <t>yu'yb</t>
    </rPh>
    <rPh sb="6" eb="7">
      <t>uu'ru</t>
    </rPh>
    <phoneticPr fontId="2" type="noConversion"/>
  </si>
  <si>
    <t>pad端语音输入</t>
    <rPh sb="3" eb="4">
      <t>dr</t>
    </rPh>
    <rPh sb="4" eb="5">
      <t>yu'yb'uu'ru</t>
    </rPh>
    <phoneticPr fontId="2" type="noConversion"/>
  </si>
  <si>
    <t>手机端语音输入</t>
    <rPh sb="0" eb="1">
      <t>uz'ji'dr</t>
    </rPh>
    <rPh sb="3" eb="4">
      <t>yu'yb'uu'ru</t>
    </rPh>
    <phoneticPr fontId="2" type="noConversion"/>
  </si>
  <si>
    <t>删除语音输入</t>
    <rPh sb="0" eb="1">
      <t>uj'iu</t>
    </rPh>
    <rPh sb="2" eb="3">
      <t>yu'yb'uu'ru</t>
    </rPh>
    <phoneticPr fontId="2" type="noConversion"/>
  </si>
  <si>
    <t>放弃本次录音</t>
    <rPh sb="0" eb="1">
      <t>fh'qi</t>
    </rPh>
    <rPh sb="2" eb="3">
      <t>bf'ci'lu'yb</t>
    </rPh>
    <phoneticPr fontId="2" type="noConversion"/>
  </si>
  <si>
    <t>提交语音输入</t>
    <rPh sb="0" eb="1">
      <t>ti'j</t>
    </rPh>
    <rPh sb="2" eb="3">
      <t>yu'y</t>
    </rPh>
    <rPh sb="4" eb="5">
      <t>uu'ru</t>
    </rPh>
    <phoneticPr fontId="2" type="noConversion"/>
  </si>
  <si>
    <t>付费提问</t>
    <rPh sb="0" eb="1">
      <t>fu'fw</t>
    </rPh>
    <rPh sb="2" eb="3">
      <t>ti'wf</t>
    </rPh>
    <phoneticPr fontId="2" type="noConversion"/>
  </si>
  <si>
    <t>付费收听</t>
    <rPh sb="0" eb="1">
      <t>fu'fw</t>
    </rPh>
    <rPh sb="2" eb="3">
      <t>uz'tk</t>
    </rPh>
    <phoneticPr fontId="2" type="noConversion"/>
  </si>
  <si>
    <t>下载语音到本地</t>
    <rPh sb="0" eb="1">
      <t>xx'zd</t>
    </rPh>
    <rPh sb="2" eb="3">
      <t>yu'y</t>
    </rPh>
    <rPh sb="4" eb="5">
      <t>dc</t>
    </rPh>
    <rPh sb="5" eb="6">
      <t>bf'di</t>
    </rPh>
    <phoneticPr fontId="2" type="noConversion"/>
  </si>
  <si>
    <t>已购买的答案重复收听</t>
    <rPh sb="0" eb="1">
      <t>yi'gz'md</t>
    </rPh>
    <rPh sb="3" eb="4">
      <t>de</t>
    </rPh>
    <rPh sb="4" eb="5">
      <t>da'an</t>
    </rPh>
    <rPh sb="6" eb="7">
      <t>is'fu'uz'tk</t>
    </rPh>
    <phoneticPr fontId="2" type="noConversion"/>
  </si>
  <si>
    <t>语音回答问题</t>
    <rPh sb="0" eb="1">
      <t>yu'yb</t>
    </rPh>
    <rPh sb="2" eb="3">
      <t>hv'da</t>
    </rPh>
    <rPh sb="4" eb="5">
      <t>wf'ti</t>
    </rPh>
    <phoneticPr fontId="2" type="noConversion"/>
  </si>
  <si>
    <t>语音答案点赞</t>
    <rPh sb="2" eb="3">
      <t>da'an</t>
    </rPh>
    <rPh sb="4" eb="5">
      <t>dm'zj</t>
    </rPh>
    <phoneticPr fontId="2" type="noConversion"/>
  </si>
  <si>
    <t>语音答案举报</t>
    <rPh sb="0" eb="1">
      <t>yu'y</t>
    </rPh>
    <rPh sb="2" eb="3">
      <t>da'an</t>
    </rPh>
    <rPh sb="4" eb="5">
      <t>ju'bc</t>
    </rPh>
    <phoneticPr fontId="2" type="noConversion"/>
  </si>
  <si>
    <t>语音转文字</t>
    <rPh sb="0" eb="1">
      <t>yu'y</t>
    </rPh>
    <rPh sb="2" eb="3">
      <t>vr'wf'zi</t>
    </rPh>
    <phoneticPr fontId="2" type="noConversion"/>
  </si>
  <si>
    <t>语音答案显示开发</t>
    <rPh sb="0" eb="1">
      <t>yu'yb</t>
    </rPh>
    <rPh sb="2" eb="3">
      <t>da'an</t>
    </rPh>
    <rPh sb="4" eb="5">
      <t>xm'ui</t>
    </rPh>
    <rPh sb="6" eb="7">
      <t>kd'fa</t>
    </rPh>
    <phoneticPr fontId="2" type="noConversion"/>
  </si>
  <si>
    <t>语音答案存储开发</t>
    <rPh sb="0" eb="1">
      <t>yu'yb'da'an</t>
    </rPh>
    <rPh sb="4" eb="5">
      <t>cy'iu</t>
    </rPh>
    <rPh sb="6" eb="7">
      <t>kd'fa</t>
    </rPh>
    <phoneticPr fontId="2" type="noConversion"/>
  </si>
  <si>
    <t>语音答案缓存开发</t>
    <rPh sb="0" eb="1">
      <t>yu'yb'dc'an</t>
    </rPh>
    <rPh sb="2" eb="3">
      <t>da'an</t>
    </rPh>
    <rPh sb="4" eb="5">
      <t>hr'cy</t>
    </rPh>
    <rPh sb="6" eb="7">
      <t>kd'fa</t>
    </rPh>
    <phoneticPr fontId="2" type="noConversion"/>
  </si>
  <si>
    <t>语音答案传输开发</t>
    <rPh sb="0" eb="1">
      <t>yu'yb'da'an</t>
    </rPh>
    <rPh sb="4" eb="5">
      <t>ir'uu</t>
    </rPh>
    <rPh sb="6" eb="7">
      <t>kd'fa</t>
    </rPh>
    <phoneticPr fontId="2" type="noConversion"/>
  </si>
  <si>
    <t>文本提问</t>
    <rPh sb="0" eb="1">
      <t>wf'bf</t>
    </rPh>
    <phoneticPr fontId="2" type="noConversion"/>
  </si>
  <si>
    <t>文本答案点赞</t>
    <rPh sb="0" eb="1">
      <t>wf'bf</t>
    </rPh>
    <rPh sb="2" eb="3">
      <t>da'an</t>
    </rPh>
    <rPh sb="4" eb="5">
      <t>dm'zj</t>
    </rPh>
    <phoneticPr fontId="2" type="noConversion"/>
  </si>
  <si>
    <t>文本答案举报</t>
    <rPh sb="0" eb="1">
      <t>wf'bf</t>
    </rPh>
    <rPh sb="2" eb="3">
      <t>da'an</t>
    </rPh>
    <rPh sb="4" eb="5">
      <t>ju'bc</t>
    </rPh>
    <phoneticPr fontId="2" type="noConversion"/>
  </si>
  <si>
    <t>文本答案缓存开发</t>
    <rPh sb="0" eb="1">
      <t>wf'bf</t>
    </rPh>
    <rPh sb="2" eb="3">
      <t>da'an</t>
    </rPh>
    <rPh sb="4" eb="5">
      <t>hr'cy</t>
    </rPh>
    <rPh sb="6" eb="7">
      <t>kd'fa</t>
    </rPh>
    <phoneticPr fontId="2" type="noConversion"/>
  </si>
  <si>
    <t>文本答案存储开发</t>
    <rPh sb="0" eb="1">
      <t>wf'bf'da'an</t>
    </rPh>
    <rPh sb="4" eb="5">
      <t>cy'iu</t>
    </rPh>
    <rPh sb="6" eb="7">
      <t>kd'fa</t>
    </rPh>
    <phoneticPr fontId="2" type="noConversion"/>
  </si>
  <si>
    <t>文本答案显示开发</t>
    <rPh sb="0" eb="1">
      <t>wf'bf'da'an</t>
    </rPh>
    <rPh sb="4" eb="5">
      <t>xm'ui</t>
    </rPh>
    <rPh sb="6" eb="7">
      <t>kd'fa</t>
    </rPh>
    <phoneticPr fontId="2" type="noConversion"/>
  </si>
  <si>
    <t>图片答案</t>
    <rPh sb="0" eb="1">
      <t>tu'pm'da'an</t>
    </rPh>
    <phoneticPr fontId="2" type="noConversion"/>
  </si>
  <si>
    <t>视频答案</t>
    <rPh sb="0" eb="1">
      <t>ui'pb'da'an</t>
    </rPh>
    <phoneticPr fontId="2" type="noConversion"/>
  </si>
  <si>
    <t>超链接答案</t>
    <rPh sb="0" eb="1">
      <t>ic'lm'jp</t>
    </rPh>
    <rPh sb="3" eb="4">
      <t>da'an</t>
    </rPh>
    <phoneticPr fontId="2" type="noConversion"/>
  </si>
  <si>
    <t>表情答案</t>
    <rPh sb="0" eb="1">
      <t>bn'q</t>
    </rPh>
    <rPh sb="2" eb="3">
      <t>da'an</t>
    </rPh>
    <phoneticPr fontId="2" type="noConversion"/>
  </si>
  <si>
    <t>动图答案</t>
    <rPh sb="0" eb="1">
      <t>ds'tu</t>
    </rPh>
    <rPh sb="2" eb="3">
      <t>da'an</t>
    </rPh>
    <phoneticPr fontId="2" type="noConversion"/>
  </si>
  <si>
    <t>文本输入提示</t>
    <rPh sb="0" eb="1">
      <t>wf'bf</t>
    </rPh>
    <rPh sb="2" eb="3">
      <t>uu'ru'ti'ui</t>
    </rPh>
    <phoneticPr fontId="2" type="noConversion"/>
  </si>
  <si>
    <t>候选答案推荐</t>
    <rPh sb="0" eb="1">
      <t>hz'xr'da'an</t>
    </rPh>
    <rPh sb="4" eb="5">
      <t>tv'jm</t>
    </rPh>
    <phoneticPr fontId="2" type="noConversion"/>
  </si>
  <si>
    <t>语音数据观察</t>
    <rPh sb="0" eb="1">
      <t>yu'yb'uu'ju'gr'ia</t>
    </rPh>
    <phoneticPr fontId="2" type="noConversion"/>
  </si>
  <si>
    <t>语音增强</t>
    <rPh sb="0" eb="1">
      <t>yu'yb'zg'ql</t>
    </rPh>
    <phoneticPr fontId="2" type="noConversion"/>
  </si>
  <si>
    <t>语音去燥</t>
    <rPh sb="0" eb="1">
      <t>yu'yb'vi'll</t>
    </rPh>
    <rPh sb="2" eb="3">
      <t>qu'zc</t>
    </rPh>
    <phoneticPr fontId="2" type="noConversion"/>
  </si>
  <si>
    <t>语音压缩处理</t>
    <rPh sb="0" eb="1">
      <t>yu'yb'ya'so</t>
    </rPh>
    <rPh sb="4" eb="5">
      <t>iu'li</t>
    </rPh>
    <phoneticPr fontId="2" type="noConversion"/>
  </si>
  <si>
    <t>语音分帧处理</t>
    <rPh sb="0" eb="1">
      <t>yu'yb'ff'vf</t>
    </rPh>
    <rPh sb="4" eb="5">
      <t>iu'li</t>
    </rPh>
    <phoneticPr fontId="2" type="noConversion"/>
  </si>
  <si>
    <t>语音特征提取</t>
    <rPh sb="0" eb="1">
      <t>yu'yb'te'vg'ti'qu</t>
    </rPh>
    <phoneticPr fontId="2" type="noConversion"/>
  </si>
  <si>
    <t>声学模型训练</t>
    <rPh sb="0" eb="1">
      <t>ug'xt'mo'x</t>
    </rPh>
    <rPh sb="4" eb="5">
      <t>xy'lm</t>
    </rPh>
    <phoneticPr fontId="2" type="noConversion"/>
  </si>
  <si>
    <t>声学模型检验</t>
    <rPh sb="0" eb="1">
      <t>ug'xt'mo'xk</t>
    </rPh>
    <rPh sb="4" eb="5">
      <t>jm'yj</t>
    </rPh>
    <phoneticPr fontId="2" type="noConversion"/>
  </si>
  <si>
    <t>声学模型调优</t>
    <rPh sb="0" eb="1">
      <t>ug'xt'mo'xk</t>
    </rPh>
    <rPh sb="4" eb="5">
      <t>tn'yz</t>
    </rPh>
    <phoneticPr fontId="2" type="noConversion"/>
  </si>
  <si>
    <t>语音匹配</t>
    <rPh sb="0" eb="1">
      <t>yu'yb'pi'pw</t>
    </rPh>
    <phoneticPr fontId="2" type="noConversion"/>
  </si>
  <si>
    <t>语言模型训练</t>
    <rPh sb="0" eb="1">
      <t>yu'yj'mo'xk</t>
    </rPh>
    <rPh sb="4" eb="5">
      <t>xy'lm</t>
    </rPh>
    <phoneticPr fontId="2" type="noConversion"/>
  </si>
  <si>
    <t>语音模型检验</t>
    <rPh sb="0" eb="1">
      <t>yu'yb'mo'xk'ce'ui</t>
    </rPh>
    <rPh sb="2" eb="3">
      <t>mo'xk</t>
    </rPh>
    <rPh sb="4" eb="5">
      <t>jm'yj</t>
    </rPh>
    <phoneticPr fontId="2" type="noConversion"/>
  </si>
  <si>
    <t>语音模型调优</t>
    <rPh sb="0" eb="1">
      <t>yu'y</t>
    </rPh>
    <rPh sb="2" eb="3">
      <t>mo'xk</t>
    </rPh>
    <rPh sb="4" eb="5">
      <t>tn'yz</t>
    </rPh>
    <phoneticPr fontId="2" type="noConversion"/>
  </si>
  <si>
    <t>文本观察</t>
    <rPh sb="0" eb="1">
      <t>wf'b</t>
    </rPh>
    <rPh sb="2" eb="3">
      <t>gr'ia</t>
    </rPh>
    <phoneticPr fontId="2" type="noConversion"/>
  </si>
  <si>
    <t>表情过滤</t>
    <rPh sb="0" eb="1">
      <t>bn'qk</t>
    </rPh>
    <rPh sb="2" eb="3">
      <t>go'l</t>
    </rPh>
    <phoneticPr fontId="2" type="noConversion"/>
  </si>
  <si>
    <t>中文异常符号过滤</t>
    <rPh sb="0" eb="1">
      <t>vs'wf</t>
    </rPh>
    <rPh sb="2" eb="3">
      <t>yi'i</t>
    </rPh>
    <rPh sb="6" eb="7">
      <t>go'lv</t>
    </rPh>
    <phoneticPr fontId="2" type="noConversion"/>
  </si>
  <si>
    <t>中文编码处理</t>
    <rPh sb="0" eb="1">
      <t>vs'wf</t>
    </rPh>
    <phoneticPr fontId="2" type="noConversion"/>
  </si>
  <si>
    <t>中文分词模型训练</t>
    <rPh sb="0" eb="1">
      <t>vs'wf</t>
    </rPh>
    <rPh sb="6" eb="7">
      <t>xy'lm</t>
    </rPh>
    <phoneticPr fontId="2" type="noConversion"/>
  </si>
  <si>
    <t>中文分词模型检验</t>
    <rPh sb="0" eb="1">
      <t>vs'wf</t>
    </rPh>
    <rPh sb="2" eb="3">
      <t>ff'ci</t>
    </rPh>
    <rPh sb="4" eb="5">
      <t>mo'xk</t>
    </rPh>
    <rPh sb="6" eb="7">
      <t>jm'yj</t>
    </rPh>
    <phoneticPr fontId="2" type="noConversion"/>
  </si>
  <si>
    <t>中文分词模型调优</t>
    <rPh sb="0" eb="1">
      <t>vs'wf</t>
    </rPh>
    <rPh sb="2" eb="3">
      <t>ff'ci</t>
    </rPh>
    <rPh sb="4" eb="5">
      <t>mo'xk</t>
    </rPh>
    <rPh sb="6" eb="7">
      <t>tn'y</t>
    </rPh>
    <phoneticPr fontId="2" type="noConversion"/>
  </si>
  <si>
    <t>中文停用词处理</t>
    <rPh sb="0" eb="1">
      <t>vs'wf</t>
    </rPh>
    <rPh sb="2" eb="3">
      <t>tk'ys'ci</t>
    </rPh>
    <rPh sb="5" eb="6">
      <t>iu'li</t>
    </rPh>
    <phoneticPr fontId="2" type="noConversion"/>
  </si>
  <si>
    <t>英文异常符号过滤</t>
    <rPh sb="0" eb="1">
      <t>yk'wf</t>
    </rPh>
    <rPh sb="2" eb="3">
      <t>yi'i</t>
    </rPh>
    <rPh sb="6" eb="7">
      <t>go'lv</t>
    </rPh>
    <phoneticPr fontId="2" type="noConversion"/>
  </si>
  <si>
    <t>英文编码处理</t>
    <rPh sb="0" eb="1">
      <t>yk'wf</t>
    </rPh>
    <phoneticPr fontId="2" type="noConversion"/>
  </si>
  <si>
    <t>英文分词模型训练</t>
    <rPh sb="0" eb="1">
      <t>yk'wf</t>
    </rPh>
    <rPh sb="6" eb="7">
      <t>xy'lm</t>
    </rPh>
    <phoneticPr fontId="2" type="noConversion"/>
  </si>
  <si>
    <t>英文分词模型检验</t>
    <rPh sb="0" eb="1">
      <t>yk'wf</t>
    </rPh>
    <rPh sb="2" eb="3">
      <t>ff'ci</t>
    </rPh>
    <rPh sb="4" eb="5">
      <t>mo'xk</t>
    </rPh>
    <rPh sb="6" eb="7">
      <t>jm'yj</t>
    </rPh>
    <phoneticPr fontId="2" type="noConversion"/>
  </si>
  <si>
    <t>英文分词模型调优</t>
    <rPh sb="0" eb="1">
      <t>yk'wf</t>
    </rPh>
    <rPh sb="2" eb="3">
      <t>ff'ci</t>
    </rPh>
    <rPh sb="4" eb="5">
      <t>mo'xk</t>
    </rPh>
    <rPh sb="6" eb="7">
      <t>tn'y</t>
    </rPh>
    <phoneticPr fontId="2" type="noConversion"/>
  </si>
  <si>
    <t>英文停用词处理</t>
    <rPh sb="0" eb="1">
      <t>yk'wf</t>
    </rPh>
    <rPh sb="2" eb="3">
      <t>tk'ys'ci</t>
    </rPh>
    <rPh sb="5" eb="6">
      <t>iu'li</t>
    </rPh>
    <phoneticPr fontId="2" type="noConversion"/>
  </si>
  <si>
    <t>特征选择处理</t>
    <rPh sb="0" eb="1">
      <t>te'vg</t>
    </rPh>
    <rPh sb="2" eb="3">
      <t>xr'ze'iu'li</t>
    </rPh>
    <phoneticPr fontId="2" type="noConversion"/>
  </si>
  <si>
    <t>降维处理</t>
    <rPh sb="0" eb="1">
      <t>jl'ww'iu'li</t>
    </rPh>
    <phoneticPr fontId="2" type="noConversion"/>
  </si>
  <si>
    <t>数据切片</t>
    <rPh sb="0" eb="1">
      <t>uu'ju'qp'pm</t>
    </rPh>
    <phoneticPr fontId="2" type="noConversion"/>
  </si>
  <si>
    <t>词性标注</t>
    <rPh sb="0" eb="1">
      <t>ci'xk'bn'vu</t>
    </rPh>
    <phoneticPr fontId="2" type="noConversion"/>
  </si>
  <si>
    <t>从属关系语法</t>
    <rPh sb="0" eb="1">
      <t>cs'uu'gr'xi</t>
    </rPh>
    <rPh sb="4" eb="5">
      <t>yu'fa</t>
    </rPh>
    <phoneticPr fontId="2" type="noConversion"/>
  </si>
  <si>
    <t>短语检测</t>
    <rPh sb="0" eb="1">
      <t>dr'yu'jm'ce</t>
    </rPh>
    <phoneticPr fontId="2" type="noConversion"/>
  </si>
  <si>
    <t>主题建模</t>
    <rPh sb="0" eb="1">
      <t>vu'ti'jm'mo</t>
    </rPh>
    <phoneticPr fontId="2" type="noConversion"/>
  </si>
  <si>
    <t>频率特征</t>
    <rPh sb="0" eb="1">
      <t>pb'lv'te'vg</t>
    </rPh>
    <phoneticPr fontId="2" type="noConversion"/>
  </si>
  <si>
    <t>密度特征</t>
    <rPh sb="0" eb="1">
      <t>mi'du</t>
    </rPh>
    <rPh sb="2" eb="3">
      <t>te'vg</t>
    </rPh>
    <phoneticPr fontId="2" type="noConversion"/>
  </si>
  <si>
    <t>可读性特征</t>
    <rPh sb="0" eb="1">
      <t>ke'du'xk'te'vg</t>
    </rPh>
    <phoneticPr fontId="2" type="noConversion"/>
  </si>
  <si>
    <t>单词嵌入</t>
  </si>
  <si>
    <t>文本分类</t>
  </si>
  <si>
    <t>编辑距离</t>
    <rPh sb="0" eb="1">
      <t>bm'ji'ju'li</t>
    </rPh>
    <phoneticPr fontId="2" type="noConversion"/>
  </si>
  <si>
    <t>柔性字符串匹配</t>
  </si>
  <si>
    <t>词形还原</t>
  </si>
  <si>
    <t>词干提取</t>
  </si>
  <si>
    <t>慕书数据预处理</t>
    <phoneticPr fontId="2" type="noConversion"/>
  </si>
  <si>
    <t>语音转文字</t>
    <phoneticPr fontId="2" type="noConversion"/>
  </si>
  <si>
    <t>从视频库中下载对应的视频</t>
  </si>
  <si>
    <t>视频转码提取音频</t>
  </si>
  <si>
    <t>调用语音识别库识别语音转文字</t>
  </si>
  <si>
    <t>字幕校验后台接口开发</t>
  </si>
  <si>
    <t>字幕校验前端工具开发</t>
  </si>
  <si>
    <t>字幕数据库安装</t>
  </si>
  <si>
    <t>字幕校验系统的表结构设计</t>
  </si>
  <si>
    <t>手工的对准字幕和音频的时间戳</t>
  </si>
  <si>
    <t>视频关键帧提取</t>
  </si>
  <si>
    <t>图像库环境编译安装</t>
  </si>
  <si>
    <t>数据库安装</t>
  </si>
  <si>
    <t>数据库视频表结构设计</t>
  </si>
  <si>
    <t>数据库视频下载调度系统表结构设计</t>
  </si>
  <si>
    <t>数据库图像帧处理调度系统的表结构设计</t>
  </si>
  <si>
    <t>课程结构接口格式制定</t>
  </si>
  <si>
    <t>课程结构下载单元</t>
  </si>
  <si>
    <t>视频URL下载的生产者进程</t>
  </si>
  <si>
    <t>视频URL下载的消费者进程队列</t>
  </si>
  <si>
    <t>视频下载调度系统开发</t>
  </si>
  <si>
    <t>视频帧的帧率计算</t>
  </si>
  <si>
    <t>图片帧的灰度化</t>
  </si>
  <si>
    <t>图片帧的对比度增强</t>
  </si>
  <si>
    <t>图片帧尺寸标准化</t>
  </si>
  <si>
    <t>图片帧低通滤波器过滤</t>
  </si>
  <si>
    <t>加载人脸识别训练模型</t>
  </si>
  <si>
    <t>对图片帧进行人脸识别</t>
  </si>
  <si>
    <t>人脸判定逻辑模块</t>
  </si>
  <si>
    <t>计算人脸对关键帧的权重影响系数</t>
  </si>
  <si>
    <t>获取人眼坐标</t>
  </si>
  <si>
    <t>定义椭圆参数方程</t>
  </si>
  <si>
    <t>随机初始化椭圆方程参数</t>
  </si>
  <si>
    <t>基于最小二乘的损失函数计算</t>
  </si>
  <si>
    <t>基于损失函数做SGD最优化计算求解参数</t>
  </si>
  <si>
    <t>求解相对最优的椭圆参数</t>
  </si>
  <si>
    <t>基于站姿评估计算对关键帧的权重影响系数</t>
  </si>
  <si>
    <t>基于眼睛面积计算对关键帧的权重影响系数</t>
  </si>
  <si>
    <t>求最优关键帧对应的视频流位置</t>
  </si>
  <si>
    <t>通过流位置获取原视频帧</t>
  </si>
  <si>
    <t>慕书可视化</t>
    <phoneticPr fontId="2" type="noConversion"/>
  </si>
  <si>
    <t>慕书服务</t>
    <phoneticPr fontId="2" type="noConversion"/>
  </si>
  <si>
    <t>接口监测模块</t>
  </si>
  <si>
    <t>稳定性保障模块</t>
  </si>
  <si>
    <t>并发度保障模块</t>
  </si>
  <si>
    <t>安全性检查模块</t>
  </si>
  <si>
    <t>输出校验模块</t>
  </si>
  <si>
    <t>输入校验模块</t>
  </si>
  <si>
    <t>用户权限模块</t>
  </si>
  <si>
    <t>接口框架选型</t>
  </si>
  <si>
    <t>接口规范定义</t>
  </si>
  <si>
    <t>慕书API</t>
    <phoneticPr fontId="2" type="noConversion"/>
  </si>
  <si>
    <t>生成文章存储</t>
  </si>
  <si>
    <t>文本内容集成关键帧截图</t>
  </si>
  <si>
    <t>关键帧截图模型训练</t>
  </si>
  <si>
    <t>关键帧截图模型建立</t>
  </si>
  <si>
    <t>关键段落提取</t>
  </si>
  <si>
    <t>关键段落定义</t>
  </si>
  <si>
    <t>关键词获取</t>
  </si>
  <si>
    <t>语句标点获取</t>
  </si>
  <si>
    <t>分段内容获取</t>
  </si>
  <si>
    <t>慕书集成</t>
    <phoneticPr fontId="2" type="noConversion"/>
  </si>
  <si>
    <t>慕书应用</t>
    <phoneticPr fontId="2" type="noConversion"/>
  </si>
  <si>
    <t>文本内容自动分段生成</t>
  </si>
  <si>
    <t>智能分段模型训练</t>
  </si>
  <si>
    <t>智能分段模型建立</t>
  </si>
  <si>
    <t>文本分段定义</t>
  </si>
  <si>
    <t>文本语句自动标点生成</t>
  </si>
  <si>
    <t>语句标点模型训练</t>
  </si>
  <si>
    <t>语句标点模型建立</t>
  </si>
  <si>
    <t>语句标点符定义</t>
  </si>
  <si>
    <t>语料库提取</t>
  </si>
  <si>
    <t>语料库填充</t>
  </si>
  <si>
    <t>语料库建立</t>
  </si>
  <si>
    <t>语音库提取</t>
  </si>
  <si>
    <t>语音库填充</t>
  </si>
  <si>
    <t>语音库建立</t>
  </si>
  <si>
    <t>知识库提取</t>
  </si>
  <si>
    <t>知识库填充</t>
  </si>
  <si>
    <t>知识库建立</t>
  </si>
  <si>
    <t>词库提取</t>
  </si>
  <si>
    <t>词库填充</t>
  </si>
  <si>
    <t>词库建立</t>
    <phoneticPr fontId="2" type="noConversion"/>
  </si>
  <si>
    <t>文本内容、语速、音调、教师、课程关联模型训练</t>
  </si>
  <si>
    <t>文本内容、语速、音调、教师、课程关联模型建立</t>
  </si>
  <si>
    <t>文本内容、语速、音调、教师关联模型训练</t>
  </si>
  <si>
    <t>文本内容、语速、音调、教师关联模型建立</t>
  </si>
  <si>
    <t>文本内容、语速、音调、课程关联模型训练</t>
  </si>
  <si>
    <t>文本内容、语速、音调、课程关联模型建立</t>
  </si>
  <si>
    <t>文本内容、课程、教师关联模型训练</t>
  </si>
  <si>
    <t>文本内容、课程、教师关联模型建立</t>
  </si>
  <si>
    <t>文本内容、语速、音调关联模型训练</t>
  </si>
  <si>
    <t>文本内容、语速、音调关联模型建立</t>
  </si>
  <si>
    <t>教师与课程关系模型训练</t>
  </si>
  <si>
    <t>教师与课程关系模型建立</t>
  </si>
  <si>
    <t>音调与课程关系模型训练</t>
  </si>
  <si>
    <t>音调与课程关系模型建立</t>
  </si>
  <si>
    <t>音调与教师关系模型训练</t>
  </si>
  <si>
    <t>音调与教师关系模型建立</t>
  </si>
  <si>
    <t>语速与课程关系模型训练</t>
  </si>
  <si>
    <t>语速与课程关系模型建立</t>
  </si>
  <si>
    <t>语速与教师关系模型训练</t>
  </si>
  <si>
    <t>语速与教师关系模型建立</t>
  </si>
  <si>
    <t>语速与音调关系模型训练</t>
  </si>
  <si>
    <t>语速与音调关系模型建立</t>
  </si>
  <si>
    <t>文本内容与课程关系模型训练</t>
  </si>
  <si>
    <t>文本内容与课程关系模型建立</t>
  </si>
  <si>
    <t>文本内容与教师关系模型训练</t>
  </si>
  <si>
    <t>文本内容与教师关系模型建立</t>
  </si>
  <si>
    <t>文本内容与音调关系模型训练</t>
  </si>
  <si>
    <t>文本内容与音调关系模型建立</t>
  </si>
  <si>
    <t>文本内容与语速关系模型训练</t>
  </si>
  <si>
    <t>文本内容与语速关系模型建立</t>
  </si>
  <si>
    <t>课程个性化语义提取</t>
  </si>
  <si>
    <t>课程常用语提取</t>
  </si>
  <si>
    <t>字幕文本内容关联课程</t>
  </si>
  <si>
    <t>教师个性化语义提取</t>
  </si>
  <si>
    <t>教师常用语提取</t>
  </si>
  <si>
    <t>字幕文本内容关联教师</t>
  </si>
  <si>
    <t>课程音调个性化分析</t>
  </si>
  <si>
    <t>音调关联课程</t>
  </si>
  <si>
    <t>课程语音间隔特征分析</t>
  </si>
  <si>
    <t>语音间隔关联课程</t>
  </si>
  <si>
    <t>教师音调个性化分析</t>
  </si>
  <si>
    <t>音调关联教师</t>
  </si>
  <si>
    <t>教师语音习惯性停顿识别</t>
  </si>
  <si>
    <t>语音间隔关联教师</t>
    <phoneticPr fontId="2" type="noConversion"/>
  </si>
  <si>
    <t>教师关联课程</t>
  </si>
  <si>
    <t>教师特征模型训练</t>
  </si>
  <si>
    <t>教师特征模型建立</t>
  </si>
  <si>
    <t>教师分类模型训练</t>
  </si>
  <si>
    <t>教师分类模型建立</t>
  </si>
  <si>
    <t>教师属性采集</t>
    <phoneticPr fontId="2" type="noConversion"/>
  </si>
  <si>
    <t>课程特征模型训练</t>
  </si>
  <si>
    <t>课程特征模型建立</t>
  </si>
  <si>
    <t>课程关联知识点</t>
  </si>
  <si>
    <t>知识点获取</t>
  </si>
  <si>
    <t>课程分类训练</t>
  </si>
  <si>
    <t>课程分类模型建立</t>
  </si>
  <si>
    <t>课程属性采集</t>
  </si>
  <si>
    <t>字幕文本内容关联音调</t>
  </si>
  <si>
    <t>字幕文本内容关联语速</t>
  </si>
  <si>
    <t>文本常用语识别</t>
  </si>
  <si>
    <t>常用语归集</t>
  </si>
  <si>
    <t>文本内容统计化处理</t>
  </si>
  <si>
    <t>文本规则化语义解析</t>
  </si>
  <si>
    <t>文本关键词提取</t>
  </si>
  <si>
    <t>建立关键词算法提取规则</t>
  </si>
  <si>
    <t>文本内容分词</t>
  </si>
  <si>
    <t>文本语言识别</t>
  </si>
  <si>
    <t>文本与时间戳关联</t>
  </si>
  <si>
    <t>字幕时间戳识别</t>
  </si>
  <si>
    <t>字幕文本识别</t>
  </si>
  <si>
    <t>字幕非法性标准校验</t>
  </si>
  <si>
    <t>字幕清洗</t>
  </si>
  <si>
    <t>字幕提取</t>
  </si>
  <si>
    <t>字幕标准定义</t>
  </si>
  <si>
    <t>语速与音调特征关联</t>
    <phoneticPr fontId="2" type="noConversion"/>
  </si>
  <si>
    <t>音调特征模型训练</t>
  </si>
  <si>
    <t>音调特征模型建立</t>
  </si>
  <si>
    <t>音频音调识别</t>
  </si>
  <si>
    <t>音频音调提取</t>
    <phoneticPr fontId="2" type="noConversion"/>
  </si>
  <si>
    <t>语速计算</t>
  </si>
  <si>
    <t>语音间隔关联语音时长</t>
  </si>
  <si>
    <t>语音间隔分类</t>
  </si>
  <si>
    <t>语音间隔提取</t>
  </si>
  <si>
    <t>非法语音片段校验</t>
  </si>
  <si>
    <t>语音时长分类</t>
  </si>
  <si>
    <t>语音时长提取</t>
  </si>
  <si>
    <t>文本内容生成</t>
    <phoneticPr fontId="2" type="noConversion"/>
  </si>
  <si>
    <t>慕书内容处理</t>
    <phoneticPr fontId="2" type="noConversion"/>
  </si>
  <si>
    <t>知识图谱</t>
  </si>
  <si>
    <t>数据抓取</t>
  </si>
  <si>
    <t>网络爬虫</t>
  </si>
  <si>
    <t>网页内容抽取</t>
  </si>
  <si>
    <t>不同数据源融合</t>
  </si>
  <si>
    <t>Wikidata 数据获取</t>
  </si>
  <si>
    <t>Wikidata 数据及关系获取</t>
  </si>
  <si>
    <t>Wikidata  数据及关系整理</t>
  </si>
  <si>
    <t>Wikidata 和现有数据融合</t>
  </si>
  <si>
    <t xml:space="preserve"> 常规数据爬取</t>
  </si>
  <si>
    <t>ajax数据提取</t>
  </si>
  <si>
    <t>模拟登陆功能</t>
  </si>
  <si>
    <t>IP池功能</t>
  </si>
  <si>
    <t>反扒规则</t>
  </si>
  <si>
    <t>模拟浏览器功能</t>
  </si>
  <si>
    <t>数据定期爬取规则</t>
  </si>
  <si>
    <t>页面爬取规则</t>
  </si>
  <si>
    <t>知识图谱构建</t>
  </si>
  <si>
    <t>知识点详情功能UI设计</t>
  </si>
  <si>
    <t>知识点详情功能前端开发</t>
  </si>
  <si>
    <t>知识点详情功能后端开发</t>
  </si>
  <si>
    <t>知识点关系网络UI设计</t>
  </si>
  <si>
    <t>知识点关系网络前端开发</t>
  </si>
  <si>
    <t>知识点关系网络后端开发</t>
  </si>
  <si>
    <t>知识点与知识点关系接口</t>
  </si>
  <si>
    <t>知识点外部数据获取接口(百度百科)</t>
  </si>
  <si>
    <t>知识点外部数据获取功能(百度百科)</t>
  </si>
  <si>
    <t>知识点关系调整接口</t>
  </si>
  <si>
    <t>知识点删除UI设计</t>
  </si>
  <si>
    <t>知识点删除前端开发</t>
  </si>
  <si>
    <t>知识点删除后端开发</t>
  </si>
  <si>
    <t>知识点创建UI设计</t>
  </si>
  <si>
    <t>知识点创建前端开发</t>
  </si>
  <si>
    <t>知识点创建后端开发</t>
  </si>
  <si>
    <t>知识点编辑UI设计</t>
  </si>
  <si>
    <t>知识点编辑前端开发</t>
  </si>
  <si>
    <t>知识点编辑后端开发</t>
  </si>
  <si>
    <t>知识点黑名单创建UI设计</t>
  </si>
  <si>
    <t>知识点黑名单创建前端开发</t>
  </si>
  <si>
    <t>知识点黑名单创建后端开发</t>
  </si>
  <si>
    <t>知识点黑名单删除UI设计</t>
  </si>
  <si>
    <t>知识点黑名单删除前端开发</t>
  </si>
  <si>
    <t>知识点黑名单删除后端开发</t>
  </si>
  <si>
    <t>知识点创建规则功能</t>
  </si>
  <si>
    <t>知识点关系创建规则功能</t>
  </si>
  <si>
    <t>知识点关系调整规则功能</t>
  </si>
  <si>
    <t>知识点横向关系接口</t>
  </si>
  <si>
    <t>知识点纵向关系接口</t>
  </si>
  <si>
    <t>知识点检索功能UI设计</t>
  </si>
  <si>
    <t>知识点检索功能前端开发</t>
  </si>
  <si>
    <t>知识点检索功能后端</t>
  </si>
  <si>
    <t>知识点推荐接口</t>
  </si>
  <si>
    <t>知识点统计接口</t>
  </si>
  <si>
    <t>知识点统计UI设计</t>
  </si>
  <si>
    <t>知识点统计前端开发</t>
  </si>
  <si>
    <t>知识点统计后端开发</t>
  </si>
  <si>
    <t>知识点反馈接口</t>
  </si>
  <si>
    <t>知识点反馈UI设计</t>
  </si>
  <si>
    <t>知识点反馈前端开发</t>
  </si>
  <si>
    <t>知识点反馈后端开发</t>
  </si>
  <si>
    <t>知识点排序功能</t>
  </si>
  <si>
    <t>知识点数据层融合功能</t>
  </si>
  <si>
    <t>知识点模式层的融合功能</t>
  </si>
  <si>
    <t>知识图谱可视化</t>
  </si>
  <si>
    <t>可视化地图的路径数据采集</t>
  </si>
  <si>
    <t>转换成SVG</t>
  </si>
  <si>
    <t>逻辑编写</t>
  </si>
  <si>
    <t>人机交互-放大缩小</t>
  </si>
  <si>
    <t>人机交互-过滤查询</t>
  </si>
  <si>
    <t>知识中心性分析</t>
  </si>
  <si>
    <t>关键词共现分析</t>
  </si>
  <si>
    <t>图谱链接学习资源跳转</t>
  </si>
  <si>
    <t>外部数据语料库</t>
  </si>
  <si>
    <t>文档语料库</t>
  </si>
  <si>
    <t>文档知识点</t>
  </si>
  <si>
    <t>分类标注语料库</t>
  </si>
  <si>
    <t>知识图谱库</t>
  </si>
  <si>
    <t>视频库</t>
  </si>
  <si>
    <t>音频库</t>
  </si>
  <si>
    <t>图片库</t>
  </si>
  <si>
    <t>知识点详情数据库设计</t>
  </si>
  <si>
    <t>知识点关系数据库设计</t>
  </si>
  <si>
    <t>知识点外部数据数据库设计</t>
  </si>
  <si>
    <t>知识点数据库设计</t>
  </si>
  <si>
    <t>知识点黑名单数据库设计</t>
  </si>
  <si>
    <t>知识点层级数据库设计</t>
  </si>
  <si>
    <t>知识点统计数据结构设计</t>
  </si>
  <si>
    <t>知识点反馈数据结构设计</t>
  </si>
  <si>
    <t>知识点质量数据库设计</t>
  </si>
  <si>
    <t>文件检索系统</t>
    <rPh sb="0" eb="1">
      <t>wen'jian</t>
    </rPh>
    <rPh sb="2" eb="3">
      <t>jm'so'fu'wu</t>
    </rPh>
    <rPh sb="4" eb="5">
      <t>xi'tong</t>
    </rPh>
    <phoneticPr fontId="2" type="noConversion"/>
  </si>
  <si>
    <t>关联推荐</t>
    <rPh sb="0" eb="1">
      <t>guan'lian'tui'jian</t>
    </rPh>
    <phoneticPr fontId="2" type="noConversion"/>
  </si>
  <si>
    <t>语义分析</t>
    <rPh sb="0" eb="1">
      <t>yu'yi'fen'xi</t>
    </rPh>
    <phoneticPr fontId="2" type="noConversion"/>
  </si>
  <si>
    <t>基建资源规划</t>
    <rPh sb="0" eb="1">
      <t>ji'jian</t>
    </rPh>
    <rPh sb="2" eb="3">
      <t>zi'yuan</t>
    </rPh>
    <rPh sb="4" eb="5">
      <t>gui'hua</t>
    </rPh>
    <phoneticPr fontId="2" type="noConversion"/>
  </si>
  <si>
    <t>需求确认</t>
    <rPh sb="0" eb="1">
      <t>xu'qiu</t>
    </rPh>
    <rPh sb="2" eb="3">
      <t>que'ren</t>
    </rPh>
    <phoneticPr fontId="2" type="noConversion"/>
  </si>
  <si>
    <t>收集功能需求,业务量级,增长预期等业务规划;集合研发技术包线,确认技术上层起点.并确定资源集和中间件服务集</t>
    <rPh sb="0" eb="1">
      <t>shou'ji</t>
    </rPh>
    <rPh sb="2" eb="3">
      <t>gong'neng</t>
    </rPh>
    <rPh sb="4" eb="5">
      <t>xu'qiu</t>
    </rPh>
    <rPh sb="7" eb="8">
      <t>ye'wu</t>
    </rPh>
    <rPh sb="9" eb="10">
      <t>liang'ji</t>
    </rPh>
    <rPh sb="12" eb="13">
      <t>zeng'zhang</t>
    </rPh>
    <rPh sb="14" eb="15">
      <t>yu'qi</t>
    </rPh>
    <rPh sb="16" eb="17">
      <t>deng</t>
    </rPh>
    <rPh sb="17" eb="18">
      <t>ye'wu</t>
    </rPh>
    <rPh sb="19" eb="20">
      <t>gui'hua</t>
    </rPh>
    <rPh sb="22" eb="23">
      <t>ji'he</t>
    </rPh>
    <rPh sb="24" eb="25">
      <t>yan'fa</t>
    </rPh>
    <rPh sb="26" eb="27">
      <t>ji'shu</t>
    </rPh>
    <rPh sb="28" eb="29">
      <t>bao'xian</t>
    </rPh>
    <rPh sb="29" eb="30">
      <t>xian</t>
    </rPh>
    <rPh sb="31" eb="32">
      <t>que'ren</t>
    </rPh>
    <rPh sb="33" eb="34">
      <t>ji'shu</t>
    </rPh>
    <rPh sb="35" eb="36">
      <t>shang'ceng</t>
    </rPh>
    <rPh sb="37" eb="38">
      <t>qi'dian</t>
    </rPh>
    <rPh sb="40" eb="41">
      <t>bing</t>
    </rPh>
    <rPh sb="41" eb="42">
      <t>que'ding</t>
    </rPh>
    <rPh sb="43" eb="44">
      <t>zi'yuan'ji'he</t>
    </rPh>
    <rPh sb="46" eb="47">
      <t>he</t>
    </rPh>
    <rPh sb="47" eb="48">
      <t>zhong'jian'jian</t>
    </rPh>
    <rPh sb="50" eb="51">
      <t>fu'wu</t>
    </rPh>
    <rPh sb="52" eb="53">
      <t>ji'he</t>
    </rPh>
    <phoneticPr fontId="2" type="noConversion"/>
  </si>
  <si>
    <t>中间件选型</t>
    <rPh sb="0" eb="1">
      <t>zhong'jian'jian</t>
    </rPh>
    <rPh sb="3" eb="4">
      <t>xuan'xing</t>
    </rPh>
    <phoneticPr fontId="2" type="noConversion"/>
  </si>
  <si>
    <t>测试并挑选适用的中间件以及版本</t>
    <rPh sb="0" eb="1">
      <t>ce'shi</t>
    </rPh>
    <rPh sb="2" eb="3">
      <t>bing</t>
    </rPh>
    <rPh sb="3" eb="4">
      <t>tiao'xuan</t>
    </rPh>
    <rPh sb="5" eb="6">
      <t>shi'yong</t>
    </rPh>
    <rPh sb="7" eb="8">
      <t>de</t>
    </rPh>
    <rPh sb="8" eb="9">
      <t>zhong'jian'jian</t>
    </rPh>
    <rPh sb="11" eb="12">
      <t>yi'ji</t>
    </rPh>
    <rPh sb="13" eb="14">
      <t>ban'ben</t>
    </rPh>
    <phoneticPr fontId="2" type="noConversion"/>
  </si>
  <si>
    <t>基建服务商选型</t>
    <rPh sb="0" eb="1">
      <t>ji'jian</t>
    </rPh>
    <rPh sb="2" eb="3">
      <t>fu'w</t>
    </rPh>
    <rPh sb="4" eb="5">
      <t>shang</t>
    </rPh>
    <rPh sb="5" eb="6">
      <t>xuan'xing</t>
    </rPh>
    <phoneticPr fontId="2" type="noConversion"/>
  </si>
  <si>
    <t>测试并挑选基建服务商</t>
    <rPh sb="0" eb="1">
      <t>ce'shi</t>
    </rPh>
    <rPh sb="2" eb="3">
      <t>bing</t>
    </rPh>
    <rPh sb="3" eb="4">
      <t>tiao'xuan</t>
    </rPh>
    <rPh sb="5" eb="6">
      <t>ji'jian</t>
    </rPh>
    <rPh sb="7" eb="8">
      <t>fu'wu'shang</t>
    </rPh>
    <phoneticPr fontId="2" type="noConversion"/>
  </si>
  <si>
    <t>预算确认</t>
    <rPh sb="0" eb="1">
      <t>yu'suan</t>
    </rPh>
    <rPh sb="2" eb="3">
      <t>que'ren</t>
    </rPh>
    <phoneticPr fontId="2" type="noConversion"/>
  </si>
  <si>
    <t>依据中间件集和资源集,结合测试结果和业务预期,规划预算并完成论证</t>
    <rPh sb="0" eb="1">
      <t>yi'ju</t>
    </rPh>
    <rPh sb="2" eb="3">
      <t>zhong'jian'jian</t>
    </rPh>
    <rPh sb="5" eb="6">
      <t>ji'he</t>
    </rPh>
    <rPh sb="6" eb="7">
      <t>he</t>
    </rPh>
    <rPh sb="7" eb="8">
      <t>zi'yuan</t>
    </rPh>
    <rPh sb="9" eb="10">
      <t>ji'he</t>
    </rPh>
    <rPh sb="11" eb="12">
      <t>jie'he</t>
    </rPh>
    <rPh sb="13" eb="14">
      <t>ce'shi</t>
    </rPh>
    <rPh sb="15" eb="16">
      <t>jie'guo</t>
    </rPh>
    <rPh sb="17" eb="18">
      <t>he</t>
    </rPh>
    <rPh sb="18" eb="19">
      <t>ye'wu</t>
    </rPh>
    <rPh sb="20" eb="21">
      <t>yu'qi</t>
    </rPh>
    <rPh sb="23" eb="24">
      <t>gui'hua</t>
    </rPh>
    <rPh sb="25" eb="26">
      <t>yu'suan</t>
    </rPh>
    <rPh sb="27" eb="28">
      <t>bing</t>
    </rPh>
    <rPh sb="28" eb="29">
      <t>wan'cheng</t>
    </rPh>
    <rPh sb="30" eb="31">
      <t>lun'zheng</t>
    </rPh>
    <phoneticPr fontId="2" type="noConversion"/>
  </si>
  <si>
    <t>部署方案论证</t>
    <rPh sb="0" eb="1">
      <t>bu'shu</t>
    </rPh>
    <rPh sb="2" eb="3">
      <t>fang'an</t>
    </rPh>
    <rPh sb="4" eb="5">
      <t>lun'zheng</t>
    </rPh>
    <phoneticPr fontId="2" type="noConversion"/>
  </si>
  <si>
    <t>论证开发,生产等环境部署方案</t>
    <rPh sb="0" eb="1">
      <t>lun'zheng</t>
    </rPh>
    <rPh sb="2" eb="3">
      <t>kai'fa</t>
    </rPh>
    <rPh sb="5" eb="6">
      <t>sheng'c</t>
    </rPh>
    <rPh sb="7" eb="8">
      <t>deng</t>
    </rPh>
    <rPh sb="8" eb="9">
      <t>huan'jing</t>
    </rPh>
    <rPh sb="10" eb="11">
      <t>bu'shu</t>
    </rPh>
    <rPh sb="12" eb="13">
      <t>fang'an</t>
    </rPh>
    <phoneticPr fontId="2" type="noConversion"/>
  </si>
  <si>
    <t>CMDB资源管理系统</t>
    <rPh sb="4" eb="5">
      <t>zi'yuan</t>
    </rPh>
    <rPh sb="6" eb="7">
      <t>guan'li</t>
    </rPh>
    <rPh sb="8" eb="9">
      <t>xi'tong</t>
    </rPh>
    <phoneticPr fontId="2" type="noConversion"/>
  </si>
  <si>
    <t>运维管理系统</t>
    <rPh sb="0" eb="1">
      <t>yun'wei</t>
    </rPh>
    <rPh sb="2" eb="3">
      <t>guan'li</t>
    </rPh>
    <rPh sb="4" eb="5">
      <t>xi'tong</t>
    </rPh>
    <phoneticPr fontId="2" type="noConversion"/>
  </si>
  <si>
    <t>监控系统</t>
    <rPh sb="0" eb="1">
      <t>jian'kong</t>
    </rPh>
    <rPh sb="2" eb="3">
      <t>xi'tong</t>
    </rPh>
    <phoneticPr fontId="2" type="noConversion"/>
  </si>
  <si>
    <t>审计系统</t>
    <rPh sb="0" eb="1">
      <t>shen'ji</t>
    </rPh>
    <rPh sb="2" eb="3">
      <t>xi'tong</t>
    </rPh>
    <phoneticPr fontId="2" type="noConversion"/>
  </si>
  <si>
    <t>访问行为控制系统</t>
    <rPh sb="0" eb="1">
      <t>fang'wen</t>
    </rPh>
    <rPh sb="2" eb="3">
      <t>xing'wei</t>
    </rPh>
    <rPh sb="4" eb="5">
      <t>kong'zhi</t>
    </rPh>
    <rPh sb="6" eb="7">
      <t>xi'tong</t>
    </rPh>
    <phoneticPr fontId="2" type="noConversion"/>
  </si>
  <si>
    <t>堡垒主机系统</t>
    <rPh sb="0" eb="1">
      <t>bao'lei</t>
    </rPh>
    <rPh sb="2" eb="3">
      <t>zhu'ji</t>
    </rPh>
    <rPh sb="4" eb="5">
      <t>xi'tong</t>
    </rPh>
    <phoneticPr fontId="2" type="noConversion"/>
  </si>
  <si>
    <t>环境加固</t>
    <rPh sb="0" eb="1">
      <t>huan'jing</t>
    </rPh>
    <rPh sb="2" eb="3">
      <t>jia'gu</t>
    </rPh>
    <phoneticPr fontId="2" type="noConversion"/>
  </si>
  <si>
    <t>生产环持久境稳定性压测</t>
    <rPh sb="0" eb="1">
      <t>sheng'c</t>
    </rPh>
    <rPh sb="2" eb="3">
      <t>huan'jing</t>
    </rPh>
    <rPh sb="3" eb="4">
      <t>chi'jiu</t>
    </rPh>
    <rPh sb="6" eb="7">
      <t>wen'ding'xing</t>
    </rPh>
    <rPh sb="9" eb="10">
      <t>ya'ce</t>
    </rPh>
    <phoneticPr fontId="2" type="noConversion"/>
  </si>
  <si>
    <t>灾备系统部署</t>
    <rPh sb="0" eb="1">
      <t>zai'bei</t>
    </rPh>
    <rPh sb="2" eb="3">
      <t>xi'tong</t>
    </rPh>
    <rPh sb="4" eb="5">
      <t>bu'shu</t>
    </rPh>
    <phoneticPr fontId="2" type="noConversion"/>
  </si>
  <si>
    <t>网络流量分析系统</t>
    <rPh sb="0" eb="1">
      <t>wang'luo</t>
    </rPh>
    <rPh sb="2" eb="3">
      <t>liu'liang</t>
    </rPh>
    <rPh sb="4" eb="5">
      <t>fen'xi</t>
    </rPh>
    <rPh sb="6" eb="7">
      <t>xi'tong</t>
    </rPh>
    <phoneticPr fontId="2" type="noConversion"/>
  </si>
  <si>
    <t>网络访问策略管理系统</t>
    <rPh sb="0" eb="1">
      <t>wang'luo</t>
    </rPh>
    <rPh sb="2" eb="3">
      <t>fang'wen</t>
    </rPh>
    <rPh sb="4" eb="5">
      <t>ce'lue</t>
    </rPh>
    <rPh sb="6" eb="7">
      <t>guan'li</t>
    </rPh>
    <rPh sb="8" eb="9">
      <t>xi'tong</t>
    </rPh>
    <phoneticPr fontId="2" type="noConversion"/>
  </si>
  <si>
    <t>全链路联调</t>
    <rPh sb="0" eb="1">
      <t>quan</t>
    </rPh>
    <rPh sb="1" eb="2">
      <t>lian'lu</t>
    </rPh>
    <rPh sb="3" eb="4">
      <t>lian'tiao</t>
    </rPh>
    <phoneticPr fontId="2" type="noConversion"/>
  </si>
  <si>
    <t>联调研发到运营,技术到维护的全业务覆盖.</t>
    <rPh sb="0" eb="1">
      <t>lian'tiao</t>
    </rPh>
    <rPh sb="2" eb="3">
      <t>yan'fa</t>
    </rPh>
    <rPh sb="4" eb="5">
      <t>dao</t>
    </rPh>
    <rPh sb="5" eb="6">
      <t>yun'ying</t>
    </rPh>
    <rPh sb="8" eb="9">
      <t>ji'shu</t>
    </rPh>
    <rPh sb="10" eb="11">
      <t>dao</t>
    </rPh>
    <rPh sb="11" eb="12">
      <t>wei'hu</t>
    </rPh>
    <rPh sb="13" eb="14">
      <t>de</t>
    </rPh>
    <rPh sb="14" eb="15">
      <t>quan'ye'wu</t>
    </rPh>
    <rPh sb="17" eb="18">
      <t>fu'gai</t>
    </rPh>
    <phoneticPr fontId="2" type="noConversion"/>
  </si>
  <si>
    <t>文档整理</t>
    <rPh sb="0" eb="1">
      <t>wen'dang</t>
    </rPh>
    <rPh sb="2" eb="3">
      <t>zheng'li</t>
    </rPh>
    <phoneticPr fontId="2" type="noConversion"/>
  </si>
  <si>
    <t>部署文档</t>
    <rPh sb="0" eb="1">
      <t>bu'shu</t>
    </rPh>
    <rPh sb="2" eb="3">
      <t>wen'dang</t>
    </rPh>
    <phoneticPr fontId="2" type="noConversion"/>
  </si>
  <si>
    <t>编写各个功能模块的部署文档</t>
    <rPh sb="0" eb="1">
      <t>bian'xie</t>
    </rPh>
    <rPh sb="2" eb="3">
      <t>ge'ge</t>
    </rPh>
    <rPh sb="4" eb="5">
      <t>gong'neng</t>
    </rPh>
    <rPh sb="6" eb="7">
      <t>mo'kuai</t>
    </rPh>
    <rPh sb="8" eb="9">
      <t>de</t>
    </rPh>
    <rPh sb="9" eb="10">
      <t>bu'shu</t>
    </rPh>
    <rPh sb="11" eb="12">
      <t>wen'dang</t>
    </rPh>
    <phoneticPr fontId="2" type="noConversion"/>
  </si>
  <si>
    <t>运维文档</t>
    <rPh sb="0" eb="1">
      <t>yun'wei</t>
    </rPh>
    <rPh sb="2" eb="3">
      <t>wen'dang</t>
    </rPh>
    <phoneticPr fontId="2" type="noConversion"/>
  </si>
  <si>
    <t>编写各个功能模块的运维文档</t>
    <rPh sb="0" eb="1">
      <t>bian'xie</t>
    </rPh>
    <rPh sb="2" eb="3">
      <t>ge'ge</t>
    </rPh>
    <rPh sb="4" eb="5">
      <t>gong'negn</t>
    </rPh>
    <rPh sb="6" eb="7">
      <t>mo'kuai</t>
    </rPh>
    <rPh sb="8" eb="9">
      <t>de</t>
    </rPh>
    <rPh sb="9" eb="10">
      <t>yun'wei</t>
    </rPh>
    <rPh sb="11" eb="12">
      <t>wen'dang</t>
    </rPh>
    <phoneticPr fontId="2" type="noConversion"/>
  </si>
  <si>
    <t>日常维护</t>
    <rPh sb="0" eb="1">
      <t>ri'chang</t>
    </rPh>
    <rPh sb="2" eb="3">
      <t>wei'hu</t>
    </rPh>
    <phoneticPr fontId="2" type="noConversion"/>
  </si>
  <si>
    <t>环境维护</t>
    <rPh sb="0" eb="1">
      <t>huan'jing</t>
    </rPh>
    <rPh sb="2" eb="3">
      <t>wei'hu</t>
    </rPh>
    <phoneticPr fontId="2" type="noConversion"/>
  </si>
  <si>
    <t>维护系统,定期升级中间件等服务.</t>
    <rPh sb="0" eb="1">
      <t>wei'hu</t>
    </rPh>
    <rPh sb="2" eb="3">
      <t>xi'tong</t>
    </rPh>
    <rPh sb="5" eb="6">
      <t>ding'qi</t>
    </rPh>
    <rPh sb="7" eb="8">
      <t>sheng'ji</t>
    </rPh>
    <rPh sb="9" eb="10">
      <t>zhong'jian'jian</t>
    </rPh>
    <rPh sb="12" eb="13">
      <t>deng</t>
    </rPh>
    <rPh sb="13" eb="14">
      <t>fu'wu'q</t>
    </rPh>
    <phoneticPr fontId="2" type="noConversion"/>
  </si>
  <si>
    <t>文档维护</t>
    <rPh sb="0" eb="1">
      <t>wen'dang</t>
    </rPh>
    <rPh sb="2" eb="3">
      <t>wei'hu</t>
    </rPh>
    <phoneticPr fontId="2" type="noConversion"/>
  </si>
  <si>
    <t>更新迭代部署和运维文档</t>
    <rPh sb="0" eb="1">
      <t>geng'xin</t>
    </rPh>
    <rPh sb="2" eb="3">
      <t>die'dai</t>
    </rPh>
    <rPh sb="4" eb="5">
      <t>bu'shu</t>
    </rPh>
    <rPh sb="6" eb="7">
      <t>he</t>
    </rPh>
    <rPh sb="7" eb="8">
      <t>yun'wei</t>
    </rPh>
    <rPh sb="9" eb="10">
      <t>wen'dang</t>
    </rPh>
    <phoneticPr fontId="2" type="noConversion"/>
  </si>
  <si>
    <t>系统优化</t>
    <rPh sb="0" eb="1">
      <t>xi'tong</t>
    </rPh>
    <rPh sb="2" eb="3">
      <t>you'hua</t>
    </rPh>
    <phoneticPr fontId="2" type="noConversion"/>
  </si>
  <si>
    <t>定期依据业务情况调整和优化架构,系统等</t>
    <rPh sb="0" eb="1">
      <t>ding'qi</t>
    </rPh>
    <rPh sb="2" eb="3">
      <t>yi'ju</t>
    </rPh>
    <rPh sb="4" eb="5">
      <t>ye'wu</t>
    </rPh>
    <rPh sb="6" eb="7">
      <t>qing'k</t>
    </rPh>
    <rPh sb="8" eb="9">
      <t>tiao'zheng</t>
    </rPh>
    <rPh sb="10" eb="11">
      <t>he</t>
    </rPh>
    <rPh sb="11" eb="12">
      <t>you'hua</t>
    </rPh>
    <rPh sb="13" eb="14">
      <t>jia'gou</t>
    </rPh>
    <rPh sb="16" eb="17">
      <t>xi'tong</t>
    </rPh>
    <rPh sb="18" eb="19">
      <t>deng</t>
    </rPh>
    <phoneticPr fontId="2" type="noConversion"/>
  </si>
  <si>
    <t>镜像制作</t>
    <rPh sb="0" eb="1">
      <t>jing'xiang</t>
    </rPh>
    <rPh sb="2" eb="3">
      <t>zhi'zuo</t>
    </rPh>
    <phoneticPr fontId="2" type="noConversion"/>
  </si>
  <si>
    <t>文档检索系统</t>
  </si>
  <si>
    <t>搜索意图分析</t>
  </si>
  <si>
    <t>文档处理</t>
  </si>
  <si>
    <t>慕书数据预处理</t>
  </si>
  <si>
    <t>慕书内容处理</t>
  </si>
  <si>
    <t>慕书截图处理</t>
  </si>
  <si>
    <t>慕书应用</t>
  </si>
  <si>
    <t>开发环境部署</t>
    <rPh sb="0" eb="1">
      <t>kai'fa</t>
    </rPh>
    <rPh sb="2" eb="3">
      <t>huan'jing</t>
    </rPh>
    <rPh sb="4" eb="5">
      <t>bu'shu</t>
    </rPh>
    <phoneticPr fontId="2" type="noConversion"/>
  </si>
  <si>
    <t>仓库建设</t>
    <rPh sb="0" eb="1">
      <t>cang'ku</t>
    </rPh>
    <rPh sb="2" eb="3">
      <t>jian'she</t>
    </rPh>
    <phoneticPr fontId="2" type="noConversion"/>
  </si>
  <si>
    <t>版本管理&amp;测试系统</t>
    <rPh sb="0" eb="1">
      <t>ban'ben</t>
    </rPh>
    <rPh sb="2" eb="3">
      <t>guan'li</t>
    </rPh>
    <rPh sb="5" eb="6">
      <t>ce'shi</t>
    </rPh>
    <rPh sb="7" eb="8">
      <t>xi'tong</t>
    </rPh>
    <phoneticPr fontId="2" type="noConversion"/>
  </si>
  <si>
    <t>bug管理系统&amp;流程接入</t>
    <rPh sb="3" eb="4">
      <t>guan'li</t>
    </rPh>
    <rPh sb="5" eb="6">
      <t>xi'tong</t>
    </rPh>
    <rPh sb="8" eb="9">
      <t>liu'cheng</t>
    </rPh>
    <rPh sb="10" eb="11">
      <t>jie'ru</t>
    </rPh>
    <phoneticPr fontId="2" type="noConversion"/>
  </si>
  <si>
    <t>开发联调</t>
    <rPh sb="0" eb="1">
      <t>kai'fa</t>
    </rPh>
    <rPh sb="2" eb="3">
      <t>lian'tiao</t>
    </rPh>
    <phoneticPr fontId="2" type="noConversion"/>
  </si>
  <si>
    <t>网络策略配置</t>
    <rPh sb="0" eb="1">
      <t>wang'luo</t>
    </rPh>
    <rPh sb="2" eb="3">
      <t>ce'lue</t>
    </rPh>
    <rPh sb="4" eb="5">
      <t>pei'zhi</t>
    </rPh>
    <phoneticPr fontId="2" type="noConversion"/>
  </si>
  <si>
    <t>构建镜像仓库,同步公共镜像</t>
    <rPh sb="0" eb="1">
      <t>gou'jian</t>
    </rPh>
    <rPh sb="2" eb="3">
      <t>jing'xiang</t>
    </rPh>
    <rPh sb="4" eb="5">
      <t>cang'ku</t>
    </rPh>
    <rPh sb="7" eb="8">
      <t>tong'bu</t>
    </rPh>
    <rPh sb="9" eb="10">
      <t>gong'gong</t>
    </rPh>
    <rPh sb="11" eb="12">
      <t>jing'xiang</t>
    </rPh>
    <phoneticPr fontId="2" type="noConversion"/>
  </si>
  <si>
    <t>部署版本管理和测试以及代码审计系统</t>
    <rPh sb="0" eb="1">
      <t>bu'shu</t>
    </rPh>
    <rPh sb="2" eb="3">
      <t>ban'ben</t>
    </rPh>
    <rPh sb="4" eb="5">
      <t>guan'l</t>
    </rPh>
    <rPh sb="6" eb="7">
      <t>he</t>
    </rPh>
    <rPh sb="7" eb="8">
      <t>ce'shi</t>
    </rPh>
    <rPh sb="9" eb="10">
      <t>yi'ji</t>
    </rPh>
    <rPh sb="11" eb="12">
      <t>dai'ma</t>
    </rPh>
    <rPh sb="13" eb="14">
      <t>shen'ji</t>
    </rPh>
    <rPh sb="15" eb="16">
      <t>xi'tong</t>
    </rPh>
    <phoneticPr fontId="2" type="noConversion"/>
  </si>
  <si>
    <t>bug管理系统部署和平台的流程配置</t>
    <rPh sb="3" eb="4">
      <t>guan'li</t>
    </rPh>
    <rPh sb="5" eb="6">
      <t>xi'tong</t>
    </rPh>
    <rPh sb="7" eb="8">
      <t>bu'shu</t>
    </rPh>
    <rPh sb="9" eb="10">
      <t>he</t>
    </rPh>
    <rPh sb="10" eb="11">
      <t>ping'tai</t>
    </rPh>
    <rPh sb="12" eb="13">
      <t>de</t>
    </rPh>
    <rPh sb="13" eb="14">
      <t>liu'cheng</t>
    </rPh>
    <rPh sb="15" eb="16">
      <t>pei'zhi</t>
    </rPh>
    <phoneticPr fontId="2" type="noConversion"/>
  </si>
  <si>
    <t>生产环境部署</t>
    <rPh sb="0" eb="1">
      <t>sheng'c</t>
    </rPh>
    <rPh sb="2" eb="3">
      <t>huan'jign</t>
    </rPh>
    <rPh sb="4" eb="5">
      <t>bu'shu</t>
    </rPh>
    <phoneticPr fontId="2" type="noConversion"/>
  </si>
  <si>
    <t>页面爬取正则表达式</t>
  </si>
  <si>
    <t>爬取访问黑名单</t>
  </si>
  <si>
    <t>重新访问策略</t>
  </si>
  <si>
    <t>知识点详情功能UE交互设计</t>
  </si>
  <si>
    <t>知识点关系网络UE设计</t>
  </si>
  <si>
    <t>知识点删除UE设计</t>
  </si>
  <si>
    <t>知识点创建UE设计</t>
  </si>
  <si>
    <t>知识点编辑UE设计</t>
  </si>
  <si>
    <t>知识点检索功能UE设计</t>
  </si>
  <si>
    <t>知识点统计UE设计</t>
  </si>
  <si>
    <t>知识点推荐规则</t>
  </si>
  <si>
    <t>知识点质量评估规则设计</t>
  </si>
  <si>
    <t>知识点质量评估UI设计</t>
  </si>
  <si>
    <t>知识点质量评估UE设计</t>
  </si>
  <si>
    <t>知识点质量评估前端开发</t>
  </si>
  <si>
    <t>知识点质量评估后端开发</t>
  </si>
  <si>
    <t>添加知识点缓存功能</t>
  </si>
  <si>
    <t>添加知识点推荐缓存功能</t>
  </si>
  <si>
    <t>删除知识点推荐缓存功能</t>
  </si>
  <si>
    <t>删除知识点缓存功能</t>
  </si>
  <si>
    <t>添加知识点关系缓存功能</t>
  </si>
  <si>
    <t>删除知识点关系缓存功能</t>
  </si>
  <si>
    <t>知识点黑名单缓存功能</t>
  </si>
  <si>
    <t>知识图谱UI界面设计</t>
    <rPh sb="0" eb="1">
      <t>zhi'shi'tu'p</t>
    </rPh>
    <phoneticPr fontId="2" type="noConversion"/>
  </si>
  <si>
    <t>图形色系规范</t>
    <rPh sb="0" eb="1">
      <t>tu'xing</t>
    </rPh>
    <rPh sb="2" eb="3">
      <t>se'xi</t>
    </rPh>
    <rPh sb="4" eb="5">
      <t>gui'fan</t>
    </rPh>
    <phoneticPr fontId="2" type="noConversion"/>
  </si>
  <si>
    <t>空间布局适配设计</t>
    <rPh sb="0" eb="1">
      <t>kong'jian</t>
    </rPh>
    <rPh sb="2" eb="3">
      <t>bu'ju</t>
    </rPh>
    <rPh sb="4" eb="5">
      <t>shi'pei</t>
    </rPh>
    <rPh sb="6" eb="7">
      <t>she'ji</t>
    </rPh>
    <phoneticPr fontId="2" type="noConversion"/>
  </si>
  <si>
    <t>系统图标规范</t>
    <rPh sb="0" eb="1">
      <t>xi'tong</t>
    </rPh>
    <rPh sb="2" eb="3">
      <t>tu'b</t>
    </rPh>
    <rPh sb="4" eb="5">
      <t>gui'fan</t>
    </rPh>
    <phoneticPr fontId="2" type="noConversion"/>
  </si>
  <si>
    <t>知识图谱UE交互设计</t>
    <phoneticPr fontId="2" type="noConversion"/>
  </si>
  <si>
    <t>知识图谱交互开发</t>
    <rPh sb="0" eb="1">
      <t>zhi'shi'tu'p</t>
    </rPh>
    <rPh sb="4" eb="5">
      <t>jiao'hu</t>
    </rPh>
    <rPh sb="6" eb="7">
      <t>kai'fa</t>
    </rPh>
    <phoneticPr fontId="2" type="noConversion"/>
  </si>
  <si>
    <t>知识图谱响应式布局</t>
    <phoneticPr fontId="2" type="noConversion"/>
  </si>
  <si>
    <t>学习路径训练</t>
    <rPh sb="0" eb="1">
      <t>xue'x</t>
    </rPh>
    <rPh sb="2" eb="3">
      <t>lu'j</t>
    </rPh>
    <rPh sb="4" eb="5">
      <t>xun'l</t>
    </rPh>
    <phoneticPr fontId="2" type="noConversion"/>
  </si>
  <si>
    <t>学习者学习资源的阅读轨迹采集</t>
    <rPh sb="0" eb="1">
      <t>xue'xi'zhe</t>
    </rPh>
    <rPh sb="3" eb="4">
      <t>xue'xi</t>
    </rPh>
    <rPh sb="5" eb="6">
      <t>zi'yaun</t>
    </rPh>
    <rPh sb="7" eb="8">
      <t>de</t>
    </rPh>
    <rPh sb="8" eb="9">
      <t>yue'du</t>
    </rPh>
    <rPh sb="10" eb="11">
      <t>gui'ji</t>
    </rPh>
    <rPh sb="12" eb="13">
      <t>cai'ji</t>
    </rPh>
    <phoneticPr fontId="2" type="noConversion"/>
  </si>
  <si>
    <t>教学资源转化为知识网络图中的知识节点</t>
    <rPh sb="0" eb="1">
      <t>jiao'xue</t>
    </rPh>
    <rPh sb="2" eb="3">
      <t>zi'yuan</t>
    </rPh>
    <rPh sb="4" eb="5">
      <t>zhuan'huan'wei</t>
    </rPh>
    <rPh sb="5" eb="6">
      <t>hua</t>
    </rPh>
    <rPh sb="6" eb="7">
      <t>wei</t>
    </rPh>
    <rPh sb="7" eb="8">
      <t>zhi'shi</t>
    </rPh>
    <rPh sb="9" eb="10">
      <t>wang'luo'tu</t>
    </rPh>
    <rPh sb="12" eb="13">
      <t>zhong</t>
    </rPh>
    <rPh sb="13" eb="14">
      <t>de</t>
    </rPh>
    <rPh sb="14" eb="15">
      <t>zhi'shi</t>
    </rPh>
    <rPh sb="16" eb="17">
      <t>jie'dian</t>
    </rPh>
    <phoneticPr fontId="2" type="noConversion"/>
  </si>
  <si>
    <t>学习者知识点学习路径线性化表示</t>
    <rPh sb="0" eb="1">
      <t>xue'xi'zhe</t>
    </rPh>
    <rPh sb="3" eb="4">
      <t>zhi'shi'dian</t>
    </rPh>
    <rPh sb="6" eb="7">
      <t>xue'xi</t>
    </rPh>
    <rPh sb="8" eb="9">
      <t>lu'j</t>
    </rPh>
    <rPh sb="10" eb="11">
      <t>xian'xing'hua</t>
    </rPh>
    <rPh sb="13" eb="14">
      <t>biao'shi</t>
    </rPh>
    <phoneticPr fontId="2" type="noConversion"/>
  </si>
  <si>
    <t>有效学习者筛选</t>
    <rPh sb="0" eb="1">
      <t>you'xiao</t>
    </rPh>
    <rPh sb="2" eb="3">
      <t>xue'xi'zhe</t>
    </rPh>
    <rPh sb="5" eb="6">
      <t>shai'x</t>
    </rPh>
    <phoneticPr fontId="2" type="noConversion"/>
  </si>
  <si>
    <t>学习路径聚合分析</t>
    <rPh sb="0" eb="1">
      <t>xue'xi</t>
    </rPh>
    <rPh sb="2" eb="3">
      <t>lu'j</t>
    </rPh>
    <rPh sb="4" eb="5">
      <t>ju'he</t>
    </rPh>
    <rPh sb="6" eb="7">
      <t>fen'xi</t>
    </rPh>
    <phoneticPr fontId="2" type="noConversion"/>
  </si>
  <si>
    <t>学习路径echarts绘制</t>
    <rPh sb="0" eb="1">
      <t>xue'xi</t>
    </rPh>
    <rPh sb="2" eb="3">
      <t>lu'j</t>
    </rPh>
    <phoneticPr fontId="2" type="noConversion"/>
  </si>
  <si>
    <t>图形UI视觉设计</t>
    <rPh sb="0" eb="1">
      <t>tu'xing</t>
    </rPh>
    <rPh sb="4" eb="5">
      <t>shi'jue</t>
    </rPh>
    <rPh sb="6" eb="7">
      <t>she'ji</t>
    </rPh>
    <phoneticPr fontId="2" type="noConversion"/>
  </si>
  <si>
    <t>学习路径UE交互设计</t>
    <rPh sb="0" eb="1">
      <t>xue'xi</t>
    </rPh>
    <rPh sb="2" eb="3">
      <t>lu'j</t>
    </rPh>
    <rPh sb="6" eb="7">
      <t>jiao'hu</t>
    </rPh>
    <rPh sb="8" eb="9">
      <t>she'ji</t>
    </rPh>
    <phoneticPr fontId="2" type="noConversion"/>
  </si>
  <si>
    <t>图形交互开发</t>
    <rPh sb="0" eb="1">
      <t>tu'xing</t>
    </rPh>
    <rPh sb="2" eb="3">
      <t>jiao'hu</t>
    </rPh>
    <rPh sb="4" eb="5">
      <t>kai'fa</t>
    </rPh>
    <phoneticPr fontId="2" type="noConversion"/>
  </si>
  <si>
    <t>知识点学习时间和回溯次数统计</t>
    <rPh sb="0" eb="1">
      <t>zhi'shi'dian</t>
    </rPh>
    <rPh sb="3" eb="4">
      <t>xue'xi</t>
    </rPh>
    <rPh sb="5" eb="6">
      <t>shi'jian</t>
    </rPh>
    <rPh sb="7" eb="8">
      <t>he</t>
    </rPh>
    <rPh sb="8" eb="9">
      <t>hui'shuo</t>
    </rPh>
    <rPh sb="10" eb="11">
      <t>ci'shu</t>
    </rPh>
    <rPh sb="12" eb="13">
      <t>tong'ji</t>
    </rPh>
    <phoneticPr fontId="2" type="noConversion"/>
  </si>
  <si>
    <t>知识点难易程度量化</t>
    <rPh sb="0" eb="1">
      <t>zhi'shi'dian</t>
    </rPh>
    <rPh sb="3" eb="4">
      <t>nan'yi</t>
    </rPh>
    <rPh sb="5" eb="6">
      <t>cheng'du</t>
    </rPh>
    <rPh sb="7" eb="8">
      <t>liang'hua</t>
    </rPh>
    <phoneticPr fontId="2" type="noConversion"/>
  </si>
  <si>
    <t>知识点难易程度标记</t>
    <rPh sb="0" eb="1">
      <t>zhi'shi'dian</t>
    </rPh>
    <rPh sb="3" eb="4">
      <t>nan'yi</t>
    </rPh>
    <rPh sb="5" eb="6">
      <t>cheng'du</t>
    </rPh>
    <rPh sb="7" eb="8">
      <t>biao'ji</t>
    </rPh>
    <phoneticPr fontId="2" type="noConversion"/>
  </si>
  <si>
    <t>学习者学习风格模型构建（基于学习数据）</t>
    <rPh sb="0" eb="1">
      <t>xue'xi'zhe</t>
    </rPh>
    <rPh sb="3" eb="4">
      <t>xue'xi</t>
    </rPh>
    <rPh sb="5" eb="6">
      <t>feng'ge</t>
    </rPh>
    <rPh sb="7" eb="8">
      <t>mo'x</t>
    </rPh>
    <rPh sb="9" eb="10">
      <t>gou'jian</t>
    </rPh>
    <rPh sb="12" eb="13">
      <t>ji'yu</t>
    </rPh>
    <rPh sb="14" eb="15">
      <t>xue'xi</t>
    </rPh>
    <rPh sb="16" eb="17">
      <t>shu'ju</t>
    </rPh>
    <phoneticPr fontId="2" type="noConversion"/>
  </si>
  <si>
    <t>学习者学习风格模型训练</t>
    <rPh sb="9" eb="10">
      <t>xun'l</t>
    </rPh>
    <phoneticPr fontId="2" type="noConversion"/>
  </si>
  <si>
    <t>学习者学习风格归类</t>
    <rPh sb="0" eb="1">
      <t>xue'xi'zhe</t>
    </rPh>
    <rPh sb="3" eb="4">
      <t>xue'xi</t>
    </rPh>
    <rPh sb="5" eb="6">
      <t>feng'ge</t>
    </rPh>
    <rPh sb="7" eb="8">
      <t>gui'lei</t>
    </rPh>
    <phoneticPr fontId="2" type="noConversion"/>
  </si>
  <si>
    <t>基于学习风格的学习路径推荐</t>
    <rPh sb="0" eb="1">
      <t>ji'yu</t>
    </rPh>
    <rPh sb="2" eb="3">
      <t>xue'xi</t>
    </rPh>
    <rPh sb="4" eb="5">
      <t>feng'ge</t>
    </rPh>
    <rPh sb="6" eb="7">
      <t>de</t>
    </rPh>
    <rPh sb="7" eb="8">
      <t>xue'xi</t>
    </rPh>
    <rPh sb="9" eb="10">
      <t>lu'j</t>
    </rPh>
    <rPh sb="11" eb="12">
      <t>tui'jian</t>
    </rPh>
    <phoneticPr fontId="2" type="noConversion"/>
  </si>
  <si>
    <t>学习路径训练调优</t>
    <rPh sb="0" eb="1">
      <t>xue'xi</t>
    </rPh>
    <rPh sb="2" eb="3">
      <t>lu'j</t>
    </rPh>
    <rPh sb="4" eb="5">
      <t>xun'lian</t>
    </rPh>
    <rPh sb="6" eb="7">
      <t>tiao'you</t>
    </rPh>
    <phoneticPr fontId="2" type="noConversion"/>
  </si>
  <si>
    <t>词形还原</t>
    <phoneticPr fontId="2" type="noConversion"/>
  </si>
  <si>
    <t>词干抽取</t>
    <phoneticPr fontId="2" type="noConversion"/>
  </si>
  <si>
    <t>词性标注</t>
    <phoneticPr fontId="2" type="noConversion"/>
  </si>
  <si>
    <t>去除停用词</t>
    <phoneticPr fontId="2" type="noConversion"/>
  </si>
  <si>
    <t>数学表达式符号识别</t>
    <phoneticPr fontId="2" type="noConversion"/>
  </si>
  <si>
    <t>话题处理</t>
    <phoneticPr fontId="2" type="noConversion"/>
  </si>
  <si>
    <t>特殊语言处理</t>
    <phoneticPr fontId="2" type="noConversion"/>
  </si>
  <si>
    <t>向量空间表示</t>
    <phoneticPr fontId="2" type="noConversion"/>
  </si>
  <si>
    <t>字幕自带标点符号处理</t>
    <phoneticPr fontId="2" type="noConversion"/>
  </si>
  <si>
    <t>自动标点回测</t>
    <phoneticPr fontId="2" type="noConversion"/>
  </si>
  <si>
    <t>自动分段回测</t>
    <rPh sb="0" eb="1">
      <t>zi'dong</t>
    </rPh>
    <rPh sb="2" eb="3">
      <t>fen'duan'hui'ce</t>
    </rPh>
    <phoneticPr fontId="2" type="noConversion"/>
  </si>
  <si>
    <t>布局设计</t>
  </si>
  <si>
    <t>色系设计</t>
    <phoneticPr fontId="2" type="noConversion"/>
  </si>
  <si>
    <t>前端架构设计</t>
    <phoneticPr fontId="2" type="noConversion"/>
  </si>
  <si>
    <t>用户交互设计</t>
    <phoneticPr fontId="2" type="noConversion"/>
  </si>
  <si>
    <t>接口容错机制</t>
    <phoneticPr fontId="2" type="noConversion"/>
  </si>
  <si>
    <t>与APP用户信息交互逻辑设计</t>
    <phoneticPr fontId="2" type="noConversion"/>
  </si>
  <si>
    <t>文章内容渲染机制</t>
    <phoneticPr fontId="2" type="noConversion"/>
  </si>
  <si>
    <t>图片懒加载</t>
    <phoneticPr fontId="2" type="noConversion"/>
  </si>
  <si>
    <t>关键字全局检索机制</t>
    <phoneticPr fontId="2" type="noConversion"/>
  </si>
  <si>
    <t>相近内容推荐</t>
    <rPh sb="0" eb="1">
      <t>xl'jb'vi'ui'dm</t>
    </rPh>
    <rPh sb="2" eb="3">
      <t>nw'rs</t>
    </rPh>
    <rPh sb="4" eb="5">
      <t>tv'jm</t>
    </rPh>
    <phoneticPr fontId="2" type="noConversion"/>
  </si>
  <si>
    <t>用户提问引导</t>
    <rPh sb="0" eb="1">
      <t>ys'hu'ti'wf</t>
    </rPh>
    <rPh sb="4" eb="5">
      <t>yb'dc</t>
    </rPh>
    <phoneticPr fontId="2" type="noConversion"/>
  </si>
  <si>
    <t>推荐内容点击率统计</t>
    <rPh sb="0" eb="1">
      <t>tv'jm'nw'rs</t>
    </rPh>
    <rPh sb="4" eb="5">
      <t>dm'ji'l</t>
    </rPh>
    <rPh sb="7" eb="8">
      <t>ts'ji</t>
    </rPh>
    <phoneticPr fontId="2" type="noConversion"/>
  </si>
  <si>
    <t>推荐内容反馈测试</t>
    <rPh sb="0" eb="1">
      <t>tv'jm'nw'rs</t>
    </rPh>
    <rPh sb="4" eb="5">
      <t>fj'k</t>
    </rPh>
    <rPh sb="6" eb="7">
      <t>ce'ui</t>
    </rPh>
    <phoneticPr fontId="2" type="noConversion"/>
  </si>
  <si>
    <t>推荐算法选型</t>
    <rPh sb="0" eb="1">
      <t>tv'jm'sr'fa</t>
    </rPh>
    <rPh sb="4" eb="5">
      <t>xr'xk</t>
    </rPh>
    <phoneticPr fontId="2" type="noConversion"/>
  </si>
  <si>
    <t>搜索意图分析</t>
    <phoneticPr fontId="2" type="noConversion"/>
  </si>
  <si>
    <t>Query预处理</t>
    <phoneticPr fontId="2" type="noConversion"/>
  </si>
  <si>
    <t>语音敏感词过滤</t>
    <rPh sb="0" eb="1">
      <t>yu'y</t>
    </rPh>
    <rPh sb="2" eb="3">
      <t>mb'gj'ci</t>
    </rPh>
    <rPh sb="5" eb="6">
      <t>go'lv</t>
    </rPh>
    <phoneticPr fontId="2" type="noConversion"/>
  </si>
  <si>
    <t>中文分词模型选取</t>
    <rPh sb="0" eb="1">
      <t>vs'wf</t>
    </rPh>
    <rPh sb="2" eb="3">
      <t>ff'ci</t>
    </rPh>
    <rPh sb="4" eb="5">
      <t>mo'xk</t>
    </rPh>
    <rPh sb="6" eb="7">
      <t>xr'qu</t>
    </rPh>
    <phoneticPr fontId="2" type="noConversion"/>
  </si>
  <si>
    <t>中文词性处理</t>
    <rPh sb="0" eb="1">
      <t>vs'wf</t>
    </rPh>
    <rPh sb="2" eb="3">
      <t>ci'xk</t>
    </rPh>
    <rPh sb="4" eb="5">
      <t>iu'li</t>
    </rPh>
    <phoneticPr fontId="2" type="noConversion"/>
  </si>
  <si>
    <t>中文敏感词过滤</t>
    <rPh sb="0" eb="1">
      <t>vs'wf</t>
    </rPh>
    <rPh sb="2" eb="3">
      <t>mb'gj'ci'go'lv</t>
    </rPh>
    <phoneticPr fontId="2" type="noConversion"/>
  </si>
  <si>
    <t>英文分词模型选取</t>
    <rPh sb="0" eb="1">
      <t>yk'wf</t>
    </rPh>
    <rPh sb="6" eb="7">
      <t>xr'qu</t>
    </rPh>
    <phoneticPr fontId="2" type="noConversion"/>
  </si>
  <si>
    <t>英文词性处理</t>
    <rPh sb="0" eb="1">
      <t>yk'wf</t>
    </rPh>
    <rPh sb="2" eb="3">
      <t>ci'xk</t>
    </rPh>
    <rPh sb="4" eb="5">
      <t>iu'li</t>
    </rPh>
    <phoneticPr fontId="2" type="noConversion"/>
  </si>
  <si>
    <t>英文敏感词过滤</t>
    <rPh sb="0" eb="1">
      <t>yk'wf</t>
    </rPh>
    <rPh sb="2" eb="3">
      <t>mb'gj'ci'go'lv</t>
    </rPh>
    <phoneticPr fontId="2" type="noConversion"/>
  </si>
  <si>
    <t>数词量词优化</t>
  </si>
  <si>
    <t>智能歧义解决</t>
  </si>
  <si>
    <t>特殊词识别</t>
  </si>
  <si>
    <t>分词切片</t>
    <phoneticPr fontId="2" type="noConversion"/>
  </si>
  <si>
    <t>TF–IDF</t>
    <phoneticPr fontId="2" type="noConversion"/>
  </si>
  <si>
    <t>文档预处理</t>
    <phoneticPr fontId="2" type="noConversion"/>
  </si>
  <si>
    <t>文档格式转换</t>
    <phoneticPr fontId="2" type="noConversion"/>
  </si>
  <si>
    <t>word文件的读取</t>
    <phoneticPr fontId="2" type="noConversion"/>
  </si>
  <si>
    <t>word文件版本判断</t>
    <phoneticPr fontId="2" type="noConversion"/>
  </si>
  <si>
    <t>word文件xml转换</t>
    <phoneticPr fontId="2" type="noConversion"/>
  </si>
  <si>
    <t>xml 分析</t>
    <phoneticPr fontId="2" type="noConversion"/>
  </si>
  <si>
    <t>pdf文件读取</t>
    <phoneticPr fontId="2" type="noConversion"/>
  </si>
  <si>
    <t>pdf文件版本判断</t>
    <phoneticPr fontId="2" type="noConversion"/>
  </si>
  <si>
    <t>pdf文件xml转换</t>
    <phoneticPr fontId="2" type="noConversion"/>
  </si>
  <si>
    <t>课程内容转换</t>
    <phoneticPr fontId="2" type="noConversion"/>
  </si>
  <si>
    <t>讨论区内容转换</t>
    <phoneticPr fontId="2" type="noConversion"/>
  </si>
  <si>
    <t>网页内容转换</t>
    <phoneticPr fontId="2" type="noConversion"/>
  </si>
  <si>
    <t>字幕文件转换</t>
    <phoneticPr fontId="2" type="noConversion"/>
  </si>
  <si>
    <t>其他内容转换</t>
    <phoneticPr fontId="2" type="noConversion"/>
  </si>
  <si>
    <t>建立文本索引</t>
    <phoneticPr fontId="2" type="noConversion"/>
  </si>
  <si>
    <t>计算文本权重</t>
    <phoneticPr fontId="2" type="noConversion"/>
  </si>
  <si>
    <t>权重排序</t>
    <phoneticPr fontId="2" type="noConversion"/>
  </si>
  <si>
    <t>文档内容清洗</t>
    <phoneticPr fontId="2" type="noConversion"/>
  </si>
  <si>
    <t>文本字符集转化</t>
    <phoneticPr fontId="2" type="noConversion"/>
  </si>
  <si>
    <t>清洗规则定义</t>
    <phoneticPr fontId="2" type="noConversion"/>
  </si>
  <si>
    <t>清洗引擎设计与实现</t>
    <phoneticPr fontId="2" type="noConversion"/>
  </si>
  <si>
    <t>数据清洗成纯文本</t>
    <phoneticPr fontId="2" type="noConversion"/>
  </si>
  <si>
    <t>文档内容标记</t>
    <phoneticPr fontId="2" type="noConversion"/>
  </si>
  <si>
    <t>关键词标记</t>
    <phoneticPr fontId="2" type="noConversion"/>
  </si>
  <si>
    <t>创建标记库</t>
    <phoneticPr fontId="2" type="noConversion"/>
  </si>
  <si>
    <t>笔记库检索</t>
    <phoneticPr fontId="2" type="noConversion"/>
  </si>
  <si>
    <t>文档内容校正</t>
    <phoneticPr fontId="2" type="noConversion"/>
  </si>
  <si>
    <t>手工校正</t>
    <phoneticPr fontId="2" type="noConversion"/>
  </si>
  <si>
    <t>文档内容审核</t>
    <phoneticPr fontId="2" type="noConversion"/>
  </si>
  <si>
    <t>人工审核</t>
    <phoneticPr fontId="2" type="noConversion"/>
  </si>
  <si>
    <t>敏感词检测接入</t>
    <phoneticPr fontId="2" type="noConversion"/>
  </si>
  <si>
    <t>文档分析</t>
    <phoneticPr fontId="2" type="noConversion"/>
  </si>
  <si>
    <t>中英文分词</t>
    <phoneticPr fontId="2" type="noConversion"/>
  </si>
  <si>
    <t>分词黑白名单设置</t>
    <phoneticPr fontId="2" type="noConversion"/>
  </si>
  <si>
    <t>文档单词规范化</t>
    <phoneticPr fontId="2" type="noConversion"/>
  </si>
  <si>
    <t>TF词频统计</t>
    <phoneticPr fontId="2" type="noConversion"/>
  </si>
  <si>
    <t>IDF词频统计</t>
    <phoneticPr fontId="2" type="noConversion"/>
  </si>
  <si>
    <t>建立LSI模型</t>
    <phoneticPr fontId="2" type="noConversion"/>
  </si>
  <si>
    <t>Cluster聚类分析</t>
    <phoneticPr fontId="2" type="noConversion"/>
  </si>
  <si>
    <t>Classification分类统计</t>
    <phoneticPr fontId="2" type="noConversion"/>
  </si>
  <si>
    <t>自动生成摘要</t>
    <phoneticPr fontId="2" type="noConversion"/>
  </si>
  <si>
    <t>文档预分类</t>
    <phoneticPr fontId="2" type="noConversion"/>
  </si>
  <si>
    <t>文档特征提取</t>
    <phoneticPr fontId="2" type="noConversion"/>
  </si>
  <si>
    <t>文档KNN分析</t>
    <phoneticPr fontId="2" type="noConversion"/>
  </si>
  <si>
    <t>文档Bayes分类</t>
    <phoneticPr fontId="2" type="noConversion"/>
  </si>
  <si>
    <t>文档相似度计算</t>
    <phoneticPr fontId="2" type="noConversion"/>
  </si>
  <si>
    <t>文档分类模型构建</t>
    <phoneticPr fontId="2" type="noConversion"/>
  </si>
  <si>
    <t>文档分类模型训练</t>
    <phoneticPr fontId="2" type="noConversion"/>
  </si>
  <si>
    <t>文档分类模型调参</t>
    <phoneticPr fontId="2" type="noConversion"/>
  </si>
  <si>
    <t>文档自动分类</t>
    <phoneticPr fontId="2" type="noConversion"/>
  </si>
  <si>
    <t>文档分类数据回测</t>
    <phoneticPr fontId="2" type="noConversion"/>
  </si>
  <si>
    <t>文本分割</t>
    <phoneticPr fontId="2" type="noConversion"/>
  </si>
  <si>
    <t>关键词词典准备</t>
    <phoneticPr fontId="2" type="noConversion"/>
  </si>
  <si>
    <t>关键词无监督算法实现</t>
    <phoneticPr fontId="2" type="noConversion"/>
  </si>
  <si>
    <r>
      <t>Topic Model</t>
    </r>
    <r>
      <rPr>
        <sz val="9"/>
        <color rgb="FF1A1A1A"/>
        <rFont val="宋体"/>
        <family val="3"/>
        <charset val="134"/>
      </rPr>
      <t>实现</t>
    </r>
    <phoneticPr fontId="2" type="noConversion"/>
  </si>
  <si>
    <t>统计模型翻译</t>
    <phoneticPr fontId="2" type="noConversion"/>
  </si>
  <si>
    <t>RAKE模型计算</t>
    <phoneticPr fontId="2" type="noConversion"/>
  </si>
  <si>
    <t>知识点提取训练</t>
    <phoneticPr fontId="2" type="noConversion"/>
  </si>
  <si>
    <t>知识点训练调参</t>
    <phoneticPr fontId="2" type="noConversion"/>
  </si>
  <si>
    <t>知识点训练结果回测</t>
    <phoneticPr fontId="2" type="noConversion"/>
  </si>
  <si>
    <t>知识点相关性排序</t>
    <phoneticPr fontId="2" type="noConversion"/>
  </si>
  <si>
    <t>知识点关联性模糊查询</t>
    <phoneticPr fontId="2" type="noConversion"/>
  </si>
  <si>
    <t>知识点自动关联</t>
    <phoneticPr fontId="2" type="noConversion"/>
  </si>
  <si>
    <t>文档处理模块UI设计</t>
    <phoneticPr fontId="2" type="noConversion"/>
  </si>
  <si>
    <t>文档处理模块UX设计</t>
    <phoneticPr fontId="2" type="noConversion"/>
  </si>
  <si>
    <t>文档处理模块后台实现</t>
    <phoneticPr fontId="2" type="noConversion"/>
  </si>
  <si>
    <t>文档处理模块存储实现</t>
    <phoneticPr fontId="2" type="noConversion"/>
  </si>
  <si>
    <t>文档处理模块自动化设计</t>
    <phoneticPr fontId="2" type="noConversion"/>
  </si>
  <si>
    <t>文档处理模块自动化实现</t>
    <phoneticPr fontId="2" type="noConversion"/>
  </si>
  <si>
    <t>文档处理模块批处理设计</t>
    <phoneticPr fontId="2" type="noConversion"/>
  </si>
  <si>
    <t>文档处理模块批处理实现</t>
    <phoneticPr fontId="2" type="noConversion"/>
  </si>
  <si>
    <t>文档处理模块外部接口设计</t>
    <phoneticPr fontId="2" type="noConversion"/>
  </si>
  <si>
    <t>文档处理模块外部接口实现</t>
    <phoneticPr fontId="2" type="noConversion"/>
  </si>
  <si>
    <t>文档处理模块的登录系统设计</t>
    <phoneticPr fontId="2" type="noConversion"/>
  </si>
  <si>
    <t>文档处理模块的登录系统实现</t>
    <phoneticPr fontId="2" type="noConversion"/>
  </si>
  <si>
    <t>文档处理模块的权限系统实现</t>
    <phoneticPr fontId="2" type="noConversion"/>
  </si>
  <si>
    <t>慕书数据预处理</t>
    <phoneticPr fontId="2" type="noConversion"/>
  </si>
  <si>
    <t>语音转文字</t>
    <phoneticPr fontId="2" type="noConversion"/>
  </si>
  <si>
    <t>调用语音识别库识别语音转文本</t>
  </si>
  <si>
    <t>EI</t>
    <phoneticPr fontId="2" type="noConversion"/>
  </si>
  <si>
    <t>后台web服务器安装</t>
  </si>
  <si>
    <t>设计数据库的ORM映射</t>
  </si>
  <si>
    <t>文本存入数据库</t>
  </si>
  <si>
    <t>后台web服务器开发</t>
  </si>
  <si>
    <t>后台读取数据库的文本</t>
  </si>
  <si>
    <t>前端显示数据库文本</t>
  </si>
  <si>
    <t>前端播放音频流</t>
  </si>
  <si>
    <t>标记对准音频字幕流的时间戳</t>
  </si>
  <si>
    <t>慕书截图处理</t>
    <phoneticPr fontId="2" type="noConversion"/>
  </si>
  <si>
    <t>虚拟机环境安装</t>
  </si>
  <si>
    <t>数据库ORM映射设计</t>
  </si>
  <si>
    <t>从CDN获取最优的视频下载URL</t>
  </si>
  <si>
    <t>视频的多线程下载模块</t>
  </si>
  <si>
    <t>视频增量下载模块</t>
  </si>
  <si>
    <t>视频断点下载模块</t>
  </si>
  <si>
    <t>视频下载超时检测</t>
  </si>
  <si>
    <t>视频文件的及时删除模块(节省磁盘空间)</t>
  </si>
  <si>
    <t>视频下载自动跳过(节省下载时间)</t>
  </si>
  <si>
    <t>视频下载异常的统计模块</t>
  </si>
  <si>
    <t>视频下载自动重试模块</t>
  </si>
  <si>
    <t>先识别视频格式</t>
  </si>
  <si>
    <t>视频文件读取进入内存</t>
  </si>
  <si>
    <t>视频桢流构建</t>
  </si>
  <si>
    <t>视频长宽尺寸的计算</t>
  </si>
  <si>
    <t>从字幕中视频关键帧的大致位置获取</t>
  </si>
  <si>
    <t>提取关键帧附近的所有视频帧作为新的输入流</t>
  </si>
  <si>
    <t>初始换内存存储队列</t>
  </si>
  <si>
    <t>把准视频帧进行存储队列</t>
  </si>
  <si>
    <t>视频帧多进程消费处理队列</t>
  </si>
  <si>
    <t>网格计算优化模型的参数</t>
  </si>
  <si>
    <t>可视化人脸位置方便调试</t>
  </si>
  <si>
    <t>拟合椭圆方程</t>
  </si>
  <si>
    <t>反复进行参数的随机初始化</t>
  </si>
  <si>
    <t>基于椭圆方程计算眼部面积</t>
  </si>
  <si>
    <t>基于椭圆方程计算眼睛中轴夹角</t>
  </si>
  <si>
    <t>利用中轴夹角进行姿态评估</t>
  </si>
  <si>
    <t>设定关键帧的加权系数</t>
  </si>
  <si>
    <t>基于加权综合关键帧的总权重</t>
  </si>
  <si>
    <t>设定关键帧数量的上下限</t>
  </si>
  <si>
    <t>从原视频帧生成高清图片保存</t>
  </si>
  <si>
    <t>从高清图片生成缩略图</t>
  </si>
  <si>
    <t>图片格式转换</t>
  </si>
  <si>
    <t>慕书模型中间结果数据库</t>
    <phoneticPr fontId="2" type="noConversion"/>
  </si>
  <si>
    <t>ILF</t>
    <phoneticPr fontId="2" type="noConversion"/>
  </si>
  <si>
    <t>慕书文章结果数据库</t>
    <phoneticPr fontId="2" type="noConversion"/>
  </si>
  <si>
    <t>慕书接口访问记录数据库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</si>
</sst>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_ * #,##0_ ;_ * \-#,##0_ ;_ * &quot;-&quot;_ ;_ @_ "/>
    <numFmt numFmtId="177" formatCode="_ * #,##0.00_ ;_ * \-#,##0.00_ ;_ * &quot;-&quot;??_ ;_ @_ "/>
    <numFmt numFmtId="178" formatCode="_ * #,##0_ ;_ * \-#,##0_ ;_ * &quot;-&quot;??_ ;_ @_ "/>
    <numFmt numFmtId="179" formatCode="0_ "/>
    <numFmt numFmtId="180" formatCode="0.00_ "/>
    <numFmt numFmtId="181" formatCode="0.00_);[Red]\(0.00\)"/>
    <numFmt numFmtId="182" formatCode="0_);[Red]\(0\)"/>
    <numFmt numFmtId="183" formatCode="0.00&quot; &quot;"/>
    <numFmt numFmtId="184" formatCode="0.00&quot; &quot;;\(0.00\)"/>
  </numFmts>
  <fonts count="27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DengXian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0"/>
      <name val="宋体"/>
      <family val="3"/>
      <charset val="134"/>
    </font>
    <font>
      <i/>
      <sz val="9"/>
      <name val="宋体"/>
      <family val="3"/>
      <charset val="134"/>
    </font>
    <font>
      <i/>
      <sz val="9"/>
      <color theme="4"/>
      <name val="宋体"/>
      <family val="3"/>
      <charset val="134"/>
    </font>
    <font>
      <i/>
      <sz val="10"/>
      <color theme="4"/>
      <name val="宋体"/>
      <family val="3"/>
      <charset val="134"/>
    </font>
    <font>
      <b/>
      <i/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color theme="1"/>
      <name val="DengXian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DengXian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name val="DengXian"/>
      <family val="3"/>
      <charset val="134"/>
      <scheme val="minor"/>
    </font>
    <font>
      <sz val="12"/>
      <color theme="1"/>
      <name val="宋体"/>
      <family val="3"/>
      <charset val="134"/>
    </font>
    <font>
      <i/>
      <sz val="10"/>
      <color theme="1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Helvetica Neue"/>
    </font>
    <font>
      <sz val="9"/>
      <color rgb="FF1A1A1A"/>
      <name val="宋体"/>
      <family val="3"/>
      <charset val="134"/>
    </font>
    <font>
      <sz val="10"/>
      <color theme="4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auto="1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0" fontId="1" fillId="0" borderId="0"/>
    <xf numFmtId="177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Alignment="1"/>
    <xf numFmtId="0" fontId="7" fillId="4" borderId="1" xfId="1" applyFont="1" applyFill="1" applyBorder="1" applyAlignment="1">
      <alignment horizontal="center" vertical="center"/>
    </xf>
    <xf numFmtId="0" fontId="6" fillId="0" borderId="1" xfId="0" applyFont="1" applyBorder="1" applyAlignment="1"/>
    <xf numFmtId="179" fontId="6" fillId="0" borderId="1" xfId="1" applyNumberFormat="1" applyFont="1" applyFill="1" applyBorder="1" applyAlignment="1">
      <alignment vertical="center" wrapText="1"/>
    </xf>
    <xf numFmtId="176" fontId="6" fillId="2" borderId="1" xfId="0" applyNumberFormat="1" applyFont="1" applyFill="1" applyBorder="1" applyAlignment="1"/>
    <xf numFmtId="0" fontId="6" fillId="0" borderId="0" xfId="0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center" vertical="center"/>
    </xf>
    <xf numFmtId="0" fontId="8" fillId="0" borderId="8" xfId="0" applyFont="1" applyBorder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7" fillId="4" borderId="1" xfId="0" applyFont="1" applyFill="1" applyBorder="1" applyAlignment="1"/>
    <xf numFmtId="0" fontId="6" fillId="0" borderId="0" xfId="0" applyFont="1" applyProtection="1">
      <alignment vertical="center"/>
      <protection locked="0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alignment vertical="center"/>
      <protection hidden="1"/>
    </xf>
    <xf numFmtId="176" fontId="6" fillId="2" borderId="1" xfId="1" applyNumberFormat="1" applyFont="1" applyFill="1" applyBorder="1" applyAlignment="1">
      <alignment horizontal="right" vertical="center" wrapText="1"/>
    </xf>
    <xf numFmtId="176" fontId="6" fillId="2" borderId="1" xfId="0" applyNumberFormat="1" applyFont="1" applyFill="1" applyBorder="1" applyAlignment="1">
      <alignment horizontal="right"/>
    </xf>
    <xf numFmtId="0" fontId="7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 wrapText="1"/>
    </xf>
    <xf numFmtId="0" fontId="13" fillId="3" borderId="5" xfId="0" applyFont="1" applyFill="1" applyBorder="1" applyAlignment="1">
      <alignment horizontal="left" vertical="top" wrapText="1"/>
    </xf>
    <xf numFmtId="0" fontId="12" fillId="3" borderId="6" xfId="0" applyFont="1" applyFill="1" applyBorder="1" applyAlignment="1" applyProtection="1">
      <alignment horizontal="left" vertical="top" wrapText="1"/>
      <protection hidden="1"/>
    </xf>
    <xf numFmtId="0" fontId="14" fillId="3" borderId="7" xfId="0" applyFont="1" applyFill="1" applyBorder="1" applyAlignment="1">
      <alignment horizontal="left" vertical="top" wrapText="1"/>
    </xf>
    <xf numFmtId="0" fontId="12" fillId="3" borderId="7" xfId="0" applyFont="1" applyFill="1" applyBorder="1" applyAlignment="1">
      <alignment horizontal="left" vertical="top" wrapText="1"/>
    </xf>
    <xf numFmtId="0" fontId="3" fillId="4" borderId="1" xfId="0" applyFont="1" applyFill="1" applyBorder="1" applyAlignment="1" applyProtection="1">
      <alignment horizontal="center" vertical="center" wrapText="1"/>
      <protection hidden="1"/>
    </xf>
    <xf numFmtId="180" fontId="10" fillId="4" borderId="1" xfId="0" applyNumberFormat="1" applyFont="1" applyFill="1" applyBorder="1" applyAlignment="1">
      <alignment horizontal="left" vertical="center" wrapText="1"/>
    </xf>
    <xf numFmtId="180" fontId="13" fillId="3" borderId="5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4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3" borderId="1" xfId="0" applyFont="1" applyFill="1" applyBorder="1" applyAlignment="1" applyProtection="1">
      <alignment horizontal="left" vertical="top" wrapText="1"/>
      <protection locked="0"/>
    </xf>
    <xf numFmtId="180" fontId="0" fillId="0" borderId="0" xfId="0" applyNumberFormat="1" applyAlignment="1">
      <alignment horizontal="left" vertical="center"/>
    </xf>
    <xf numFmtId="181" fontId="10" fillId="4" borderId="1" xfId="0" applyNumberFormat="1" applyFont="1" applyFill="1" applyBorder="1" applyAlignment="1">
      <alignment horizontal="left" vertical="center" wrapText="1"/>
    </xf>
    <xf numFmtId="181" fontId="13" fillId="3" borderId="5" xfId="0" applyNumberFormat="1" applyFont="1" applyFill="1" applyBorder="1" applyAlignment="1">
      <alignment horizontal="left" vertical="top" wrapText="1"/>
    </xf>
    <xf numFmtId="180" fontId="13" fillId="3" borderId="7" xfId="0" applyNumberFormat="1" applyFont="1" applyFill="1" applyBorder="1" applyAlignment="1">
      <alignment horizontal="left" vertical="top" wrapText="1"/>
    </xf>
    <xf numFmtId="180" fontId="15" fillId="2" borderId="1" xfId="0" applyNumberFormat="1" applyFont="1" applyFill="1" applyBorder="1" applyAlignment="1">
      <alignment horizontal="left" vertical="center"/>
    </xf>
    <xf numFmtId="180" fontId="15" fillId="0" borderId="0" xfId="0" applyNumberFormat="1" applyFont="1" applyAlignment="1">
      <alignment horizontal="left" vertical="center"/>
    </xf>
    <xf numFmtId="180" fontId="15" fillId="0" borderId="1" xfId="0" applyNumberFormat="1" applyFont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Font="1">
      <alignment vertical="center"/>
    </xf>
    <xf numFmtId="0" fontId="15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/>
    <xf numFmtId="0" fontId="15" fillId="0" borderId="1" xfId="0" applyFont="1" applyFill="1" applyBorder="1" applyAlignment="1">
      <alignment horizontal="left" vertical="center" wrapText="1"/>
    </xf>
    <xf numFmtId="178" fontId="15" fillId="0" borderId="1" xfId="2" applyNumberFormat="1" applyFont="1" applyFill="1" applyBorder="1" applyAlignment="1">
      <alignment horizontal="left" vertical="center"/>
    </xf>
    <xf numFmtId="178" fontId="15" fillId="2" borderId="1" xfId="0" applyNumberFormat="1" applyFont="1" applyFill="1" applyBorder="1" applyAlignment="1">
      <alignment horizontal="left" vertical="center"/>
    </xf>
    <xf numFmtId="178" fontId="16" fillId="0" borderId="0" xfId="0" applyNumberFormat="1" applyFont="1" applyAlignment="1"/>
    <xf numFmtId="0" fontId="16" fillId="0" borderId="0" xfId="0" applyFont="1" applyAlignment="1"/>
    <xf numFmtId="178" fontId="17" fillId="0" borderId="1" xfId="2" applyNumberFormat="1" applyFont="1" applyFill="1" applyBorder="1" applyAlignment="1">
      <alignment horizontal="left" vertical="center"/>
    </xf>
    <xf numFmtId="178" fontId="18" fillId="0" borderId="0" xfId="0" applyNumberFormat="1" applyFont="1" applyAlignment="1"/>
    <xf numFmtId="178" fontId="15" fillId="0" borderId="0" xfId="0" applyNumberFormat="1" applyFont="1" applyAlignment="1"/>
    <xf numFmtId="178" fontId="19" fillId="0" borderId="1" xfId="2" applyNumberFormat="1" applyFont="1" applyFill="1" applyBorder="1" applyAlignment="1">
      <alignment horizontal="left" vertical="center"/>
    </xf>
    <xf numFmtId="178" fontId="19" fillId="2" borderId="1" xfId="2" applyNumberFormat="1" applyFont="1" applyFill="1" applyBorder="1" applyAlignment="1">
      <alignment horizontal="left" vertical="center"/>
    </xf>
    <xf numFmtId="178" fontId="19" fillId="2" borderId="1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/>
    <xf numFmtId="0" fontId="15" fillId="2" borderId="1" xfId="0" applyFont="1" applyFill="1" applyBorder="1" applyAlignment="1">
      <alignment vertical="center"/>
    </xf>
    <xf numFmtId="182" fontId="3" fillId="4" borderId="7" xfId="0" applyNumberFormat="1" applyFont="1" applyFill="1" applyBorder="1" applyAlignment="1" applyProtection="1">
      <alignment horizontal="left" vertical="center" wrapText="1"/>
      <protection hidden="1"/>
    </xf>
    <xf numFmtId="182" fontId="15" fillId="2" borderId="1" xfId="0" applyNumberFormat="1" applyFont="1" applyFill="1" applyBorder="1" applyAlignment="1">
      <alignment horizontal="left" vertical="center"/>
    </xf>
    <xf numFmtId="182" fontId="0" fillId="0" borderId="0" xfId="0" applyNumberFormat="1" applyAlignment="1" applyProtection="1">
      <alignment horizontal="left" vertical="center"/>
      <protection hidden="1"/>
    </xf>
    <xf numFmtId="0" fontId="15" fillId="0" borderId="1" xfId="0" applyFont="1" applyBorder="1" applyAlignment="1">
      <alignment horizontal="left" vertical="center"/>
    </xf>
    <xf numFmtId="182" fontId="12" fillId="3" borderId="7" xfId="0" applyNumberFormat="1" applyFont="1" applyFill="1" applyBorder="1" applyAlignment="1" applyProtection="1">
      <alignment horizontal="left" vertical="top" wrapText="1"/>
      <protection hidden="1"/>
    </xf>
    <xf numFmtId="182" fontId="15" fillId="2" borderId="7" xfId="0" applyNumberFormat="1" applyFont="1" applyFill="1" applyBorder="1" applyAlignment="1" applyProtection="1">
      <alignment horizontal="left" vertical="center"/>
      <protection hidden="1"/>
    </xf>
    <xf numFmtId="0" fontId="11" fillId="3" borderId="6" xfId="0" applyFont="1" applyFill="1" applyBorder="1" applyAlignment="1">
      <alignment horizontal="center" vertical="top" wrapText="1"/>
    </xf>
    <xf numFmtId="0" fontId="1" fillId="0" borderId="0" xfId="0" applyFont="1" applyAlignment="1">
      <alignment vertical="top" wrapText="1"/>
    </xf>
    <xf numFmtId="180" fontId="15" fillId="2" borderId="7" xfId="0" applyNumberFormat="1" applyFont="1" applyFill="1" applyBorder="1" applyAlignment="1">
      <alignment horizontal="left" vertical="center"/>
    </xf>
    <xf numFmtId="182" fontId="12" fillId="3" borderId="6" xfId="0" applyNumberFormat="1" applyFont="1" applyFill="1" applyBorder="1" applyAlignment="1" applyProtection="1">
      <alignment horizontal="left" vertical="top" wrapText="1"/>
      <protection hidden="1"/>
    </xf>
    <xf numFmtId="181" fontId="15" fillId="0" borderId="0" xfId="0" applyNumberFormat="1" applyFont="1" applyAlignment="1">
      <alignment horizontal="left" vertical="center"/>
    </xf>
    <xf numFmtId="176" fontId="7" fillId="2" borderId="1" xfId="0" applyNumberFormat="1" applyFont="1" applyFill="1" applyBorder="1" applyAlignment="1"/>
    <xf numFmtId="180" fontId="15" fillId="2" borderId="7" xfId="0" applyNumberFormat="1" applyFont="1" applyFill="1" applyBorder="1" applyAlignment="1">
      <alignment horizontal="left" vertical="center"/>
    </xf>
    <xf numFmtId="0" fontId="7" fillId="0" borderId="0" xfId="0" applyFont="1" applyAlignment="1"/>
    <xf numFmtId="0" fontId="20" fillId="0" borderId="0" xfId="0" applyFont="1">
      <alignment vertical="center"/>
    </xf>
    <xf numFmtId="0" fontId="20" fillId="0" borderId="0" xfId="0" applyFont="1" applyAlignment="1"/>
    <xf numFmtId="180" fontId="10" fillId="4" borderId="7" xfId="0" applyNumberFormat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top" wrapText="1"/>
    </xf>
    <xf numFmtId="49" fontId="0" fillId="5" borderId="9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5" borderId="9" xfId="0" applyFont="1" applyFill="1" applyBorder="1" applyAlignment="1">
      <alignment vertical="center"/>
    </xf>
    <xf numFmtId="49" fontId="0" fillId="5" borderId="10" xfId="0" applyNumberFormat="1" applyFont="1" applyFill="1" applyBorder="1" applyAlignment="1">
      <alignment vertical="center"/>
    </xf>
    <xf numFmtId="0" fontId="0" fillId="5" borderId="9" xfId="0" applyNumberFormat="1" applyFont="1" applyFill="1" applyBorder="1" applyAlignment="1">
      <alignment vertical="center"/>
    </xf>
    <xf numFmtId="183" fontId="0" fillId="5" borderId="9" xfId="0" applyNumberFormat="1" applyFont="1" applyFill="1" applyBorder="1" applyAlignment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181" fontId="19" fillId="0" borderId="1" xfId="0" applyNumberFormat="1" applyFont="1" applyFill="1" applyBorder="1" applyAlignment="1">
      <alignment horizontal="left" vertical="center"/>
    </xf>
    <xf numFmtId="0" fontId="19" fillId="0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Alignment="1">
      <alignment horizontal="left" vertical="center"/>
    </xf>
    <xf numFmtId="0" fontId="19" fillId="0" borderId="1" xfId="0" applyFont="1" applyFill="1" applyBorder="1" applyAlignment="1">
      <alignment horizontal="left" vertical="center" wrapText="1"/>
    </xf>
    <xf numFmtId="0" fontId="21" fillId="0" borderId="0" xfId="0" applyNumberFormat="1" applyFont="1" applyFill="1" applyAlignment="1">
      <alignment vertical="center"/>
    </xf>
    <xf numFmtId="0" fontId="21" fillId="0" borderId="0" xfId="0" applyFont="1" applyFill="1" applyAlignment="1">
      <alignment vertical="center"/>
    </xf>
    <xf numFmtId="181" fontId="22" fillId="0" borderId="1" xfId="0" applyNumberFormat="1" applyFont="1" applyFill="1" applyBorder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184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49" fontId="21" fillId="0" borderId="1" xfId="0" applyNumberFormat="1" applyFont="1" applyFill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0" fontId="21" fillId="0" borderId="1" xfId="0" applyFont="1" applyFill="1" applyBorder="1" applyAlignment="1">
      <alignment vertical="center"/>
    </xf>
    <xf numFmtId="0" fontId="21" fillId="0" borderId="1" xfId="0" applyFont="1" applyFill="1" applyBorder="1" applyAlignment="1">
      <alignment vertical="center" wrapTex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4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horizontal="left" vertical="center" wrapText="1"/>
    </xf>
    <xf numFmtId="0" fontId="7" fillId="4" borderId="1" xfId="1" applyFont="1" applyFill="1" applyBorder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center" vertical="center" wrapText="1"/>
    </xf>
    <xf numFmtId="0" fontId="7" fillId="4" borderId="5" xfId="1" applyFont="1" applyFill="1" applyBorder="1" applyAlignment="1">
      <alignment horizontal="center" vertical="center"/>
    </xf>
    <xf numFmtId="0" fontId="7" fillId="4" borderId="7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/>
    </xf>
    <xf numFmtId="49" fontId="19" fillId="0" borderId="1" xfId="0" applyNumberFormat="1" applyFon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/>
    </xf>
    <xf numFmtId="181" fontId="15" fillId="0" borderId="1" xfId="0" applyNumberFormat="1" applyFont="1" applyFill="1" applyBorder="1" applyAlignment="1">
      <alignment horizontal="left" vertical="center"/>
    </xf>
    <xf numFmtId="0" fontId="15" fillId="0" borderId="1" xfId="0" applyFont="1" applyFill="1" applyBorder="1" applyAlignment="1" applyProtection="1">
      <alignment horizontal="left" vertical="center"/>
      <protection hidden="1"/>
    </xf>
    <xf numFmtId="0" fontId="15" fillId="0" borderId="0" xfId="0" applyFont="1" applyFill="1" applyAlignment="1">
      <alignment horizontal="left" vertical="center"/>
    </xf>
    <xf numFmtId="0" fontId="19" fillId="0" borderId="5" xfId="0" applyFont="1" applyFill="1" applyBorder="1" applyAlignment="1">
      <alignment horizontal="left" vertical="center" wrapText="1"/>
    </xf>
    <xf numFmtId="0" fontId="19" fillId="0" borderId="6" xfId="0" applyFont="1" applyFill="1" applyBorder="1" applyAlignment="1">
      <alignment horizontal="left" vertical="center" wrapText="1"/>
    </xf>
    <xf numFmtId="0" fontId="19" fillId="0" borderId="7" xfId="0" applyFont="1" applyFill="1" applyBorder="1" applyAlignment="1">
      <alignment horizontal="left" vertical="center" wrapText="1"/>
    </xf>
    <xf numFmtId="0" fontId="19" fillId="0" borderId="5" xfId="0" applyFont="1" applyFill="1" applyBorder="1" applyAlignment="1">
      <alignment horizontal="left" vertical="center"/>
    </xf>
    <xf numFmtId="0" fontId="19" fillId="0" borderId="6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5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26" fillId="0" borderId="1" xfId="0" applyFont="1" applyFill="1" applyBorder="1" applyAlignment="1" applyProtection="1">
      <alignment horizontal="left" vertical="center"/>
      <protection hidden="1"/>
    </xf>
    <xf numFmtId="0" fontId="19" fillId="0" borderId="0" xfId="0" applyFont="1" applyFill="1" applyBorder="1" applyAlignment="1">
      <alignment horizontal="left" vertical="center"/>
    </xf>
    <xf numFmtId="0" fontId="0" fillId="0" borderId="0" xfId="0" applyNumberFormat="1" applyFont="1" applyFill="1" applyBorder="1" applyAlignment="1">
      <alignment vertical="center"/>
    </xf>
    <xf numFmtId="180" fontId="19" fillId="0" borderId="1" xfId="0" applyNumberFormat="1" applyFont="1" applyFill="1" applyBorder="1" applyAlignment="1">
      <alignment horizontal="left" vertical="center"/>
    </xf>
    <xf numFmtId="180" fontId="15" fillId="0" borderId="1" xfId="0" applyNumberFormat="1" applyFont="1" applyFill="1" applyBorder="1" applyAlignment="1">
      <alignment horizontal="left" vertical="center"/>
    </xf>
    <xf numFmtId="0" fontId="19" fillId="0" borderId="1" xfId="0" applyFont="1" applyFill="1" applyBorder="1" applyAlignment="1">
      <alignment vertical="center"/>
    </xf>
    <xf numFmtId="49" fontId="0" fillId="0" borderId="1" xfId="0" applyNumberFormat="1" applyFont="1" applyFill="1" applyBorder="1" applyAlignment="1">
      <alignment horizontal="left" vertical="center" wrapText="1"/>
    </xf>
    <xf numFmtId="183" fontId="23" fillId="0" borderId="1" xfId="0" applyNumberFormat="1" applyFont="1" applyFill="1" applyBorder="1" applyAlignment="1">
      <alignment horizontal="left" vertical="center"/>
    </xf>
    <xf numFmtId="184" fontId="0" fillId="0" borderId="1" xfId="0" applyNumberFormat="1" applyFont="1" applyFill="1" applyBorder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23" fillId="0" borderId="1" xfId="0" applyNumberFormat="1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vertical="center"/>
    </xf>
    <xf numFmtId="49" fontId="24" fillId="0" borderId="1" xfId="0" applyNumberFormat="1" applyFont="1" applyFill="1" applyBorder="1" applyAlignment="1">
      <alignment vertical="center" readingOrder="1"/>
    </xf>
    <xf numFmtId="0" fontId="23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 wrapText="1"/>
    </xf>
    <xf numFmtId="49" fontId="0" fillId="0" borderId="5" xfId="0" applyNumberFormat="1" applyFont="1" applyFill="1" applyBorder="1" applyAlignment="1">
      <alignment horizontal="left" vertical="center" wrapText="1"/>
    </xf>
    <xf numFmtId="49" fontId="0" fillId="0" borderId="6" xfId="0" applyNumberFormat="1" applyFont="1" applyFill="1" applyBorder="1" applyAlignment="1">
      <alignment horizontal="left" vertical="center" wrapText="1"/>
    </xf>
    <xf numFmtId="49" fontId="0" fillId="0" borderId="7" xfId="0" applyNumberFormat="1" applyFont="1" applyFill="1" applyBorder="1" applyAlignment="1">
      <alignment horizontal="left" vertical="center" wrapText="1"/>
    </xf>
    <xf numFmtId="0" fontId="15" fillId="0" borderId="1" xfId="0" applyFont="1" applyFill="1" applyBorder="1" applyAlignment="1" applyProtection="1">
      <alignment horizontal="left" vertical="center"/>
      <protection locked="0"/>
    </xf>
    <xf numFmtId="49" fontId="0" fillId="0" borderId="10" xfId="0" applyNumberFormat="1" applyFont="1" applyFill="1" applyBorder="1" applyAlignment="1">
      <alignment vertical="center"/>
    </xf>
  </cellXfs>
  <cellStyles count="5">
    <cellStyle name="??" xfId="1"/>
    <cellStyle name="Comma 2" xfId="4"/>
    <cellStyle name="Normal 2" xfId="3"/>
    <cellStyle name="常规" xfId="0" builtinId="0"/>
    <cellStyle name="千位分隔" xfId="2" builtinId="3"/>
  </cellStyles>
  <dxfs count="6"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angxiaoke/Desktop/&#38468;&#20214;1&#65306;11.&#24037;&#20316;&#37327;&#20272;&#31639;&#34920;&#65288;&#24555;&#36895;&#21151;&#33021;&#28857;&#27861;&#65289;V1.0-&#20219;&#21153;&#20998;&#3719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/Desktop/&#24917;&#20070;&#20869;&#23481;&#22788;&#29702;&#19982;&#24917;&#20070;&#24212;&#299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 refreshError="1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项目总工作量"/>
      <sheetName val="事务功能"/>
      <sheetName val="数据功能"/>
      <sheetName val="非功能点估算表"/>
    </sheetNames>
    <sheetDataSet>
      <sheetData sheetId="0">
        <row r="6">
          <cell r="B6" t="str">
            <v>交易类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1"/>
  <sheetViews>
    <sheetView workbookViewId="0">
      <selection activeCell="L34" sqref="L34"/>
    </sheetView>
  </sheetViews>
  <sheetFormatPr baseColWidth="10" defaultColWidth="9" defaultRowHeight="14" x14ac:dyDescent="0.15"/>
  <cols>
    <col min="1" max="1" width="14.6640625" style="3" customWidth="1"/>
    <col min="2" max="2" width="9.6640625" style="3" customWidth="1"/>
    <col min="3" max="3" width="13.6640625" style="3" customWidth="1"/>
    <col min="4" max="4" width="9.6640625" style="3" customWidth="1"/>
    <col min="5" max="5" width="11.5" style="3" customWidth="1"/>
    <col min="6" max="6" width="10.6640625" style="3" customWidth="1"/>
    <col min="7" max="7" width="8.6640625" style="3" customWidth="1"/>
    <col min="8" max="8" width="9.6640625" style="3" customWidth="1"/>
    <col min="9" max="9" width="10.33203125" style="3" customWidth="1"/>
    <col min="10" max="10" width="9.6640625" style="3" customWidth="1"/>
    <col min="11" max="11" width="7.83203125" style="3" customWidth="1"/>
    <col min="12" max="16384" width="9" style="3"/>
  </cols>
  <sheetData>
    <row r="1" spans="1:11" x14ac:dyDescent="0.15">
      <c r="A1" s="71"/>
    </row>
    <row r="2" spans="1:11" s="1" customFormat="1" ht="19.5" customHeight="1" x14ac:dyDescent="0.15">
      <c r="A2" s="101" t="s">
        <v>36</v>
      </c>
      <c r="B2" s="102"/>
      <c r="C2" s="102"/>
    </row>
    <row r="3" spans="1:11" s="13" customFormat="1" ht="24" customHeight="1" x14ac:dyDescent="0.15">
      <c r="A3" s="103" t="s">
        <v>33</v>
      </c>
      <c r="B3" s="103"/>
      <c r="C3" s="103"/>
    </row>
    <row r="4" spans="1:11" s="13" customFormat="1" ht="18" customHeight="1" x14ac:dyDescent="0.15">
      <c r="A4" s="19" t="s">
        <v>31</v>
      </c>
      <c r="B4" s="104"/>
      <c r="C4" s="104"/>
    </row>
    <row r="5" spans="1:11" s="13" customFormat="1" ht="18" customHeight="1" x14ac:dyDescent="0.15">
      <c r="A5" s="19" t="s">
        <v>32</v>
      </c>
      <c r="B5" s="105"/>
      <c r="C5" s="105"/>
    </row>
    <row r="6" spans="1:11" s="13" customFormat="1" ht="15.75" customHeight="1" x14ac:dyDescent="0.15">
      <c r="A6" s="19" t="s">
        <v>30</v>
      </c>
      <c r="B6" s="117" t="s">
        <v>62</v>
      </c>
      <c r="C6" s="104"/>
    </row>
    <row r="7" spans="1:11" s="13" customFormat="1" ht="15.75" customHeight="1" x14ac:dyDescent="0.15">
      <c r="A7" s="19" t="s">
        <v>40</v>
      </c>
      <c r="B7" s="118">
        <f>事务功能!H527+数据功能!D27</f>
        <v>2382</v>
      </c>
      <c r="C7" s="118"/>
    </row>
    <row r="8" spans="1:11" s="1" customFormat="1" ht="15" x14ac:dyDescent="0.15">
      <c r="A8" s="10"/>
      <c r="B8" s="11"/>
      <c r="C8" s="11"/>
      <c r="D8" s="11"/>
      <c r="E8" s="11"/>
    </row>
    <row r="10" spans="1:11" ht="18.75" customHeight="1" x14ac:dyDescent="0.15">
      <c r="A10" s="106" t="s">
        <v>39</v>
      </c>
      <c r="B10" s="108" t="s">
        <v>15</v>
      </c>
      <c r="C10" s="109"/>
      <c r="D10" s="109"/>
      <c r="E10" s="109"/>
      <c r="F10" s="109"/>
      <c r="G10" s="110"/>
      <c r="H10" s="108" t="s">
        <v>16</v>
      </c>
      <c r="I10" s="109"/>
      <c r="J10" s="110"/>
      <c r="K10" s="106" t="s">
        <v>24</v>
      </c>
    </row>
    <row r="11" spans="1:11" x14ac:dyDescent="0.15">
      <c r="A11" s="106"/>
      <c r="B11" s="107" t="s">
        <v>21</v>
      </c>
      <c r="C11" s="107"/>
      <c r="D11" s="107" t="s">
        <v>22</v>
      </c>
      <c r="E11" s="107"/>
      <c r="F11" s="107"/>
      <c r="G11" s="111" t="s">
        <v>35</v>
      </c>
      <c r="H11" s="107" t="s">
        <v>17</v>
      </c>
      <c r="I11" s="107" t="s">
        <v>18</v>
      </c>
      <c r="J11" s="113" t="s">
        <v>35</v>
      </c>
      <c r="K11" s="106"/>
    </row>
    <row r="12" spans="1:11" x14ac:dyDescent="0.15">
      <c r="A12" s="106"/>
      <c r="B12" s="4" t="s">
        <v>19</v>
      </c>
      <c r="C12" s="4" t="s">
        <v>18</v>
      </c>
      <c r="D12" s="4" t="s">
        <v>20</v>
      </c>
      <c r="E12" s="9" t="s">
        <v>29</v>
      </c>
      <c r="F12" s="4" t="s">
        <v>34</v>
      </c>
      <c r="G12" s="112"/>
      <c r="H12" s="107"/>
      <c r="I12" s="107"/>
      <c r="J12" s="114"/>
      <c r="K12" s="106"/>
    </row>
    <row r="13" spans="1:11" ht="15" customHeight="1" x14ac:dyDescent="0.15">
      <c r="A13" s="12" t="s">
        <v>37</v>
      </c>
      <c r="B13" s="6"/>
      <c r="C13" s="6"/>
      <c r="D13" s="6"/>
      <c r="E13" s="6"/>
      <c r="F13" s="6"/>
      <c r="G13" s="17">
        <f>事务功能!D527+数据功能!E27</f>
        <v>153.95454545454439</v>
      </c>
      <c r="H13" s="6"/>
      <c r="I13" s="6"/>
      <c r="J13" s="7">
        <f>ROUND(事务功能!E527+数据功能!F27,0)</f>
        <v>30</v>
      </c>
      <c r="K13" s="7">
        <f>ROUND(G13+J13,0)</f>
        <v>184</v>
      </c>
    </row>
    <row r="14" spans="1:11" ht="16.5" customHeight="1" x14ac:dyDescent="0.15">
      <c r="A14" s="12" t="s">
        <v>38</v>
      </c>
      <c r="B14" s="5"/>
      <c r="C14" s="5"/>
      <c r="D14" s="5"/>
      <c r="E14" s="5"/>
      <c r="F14" s="5"/>
      <c r="G14" s="17">
        <f>非功能点估算表!E54</f>
        <v>69.599999999999994</v>
      </c>
      <c r="H14" s="5"/>
      <c r="I14" s="5"/>
      <c r="J14" s="7">
        <f>非功能点估算表!F54</f>
        <v>1</v>
      </c>
      <c r="K14" s="7">
        <f>ROUND(G14+J14,0)</f>
        <v>71</v>
      </c>
    </row>
    <row r="15" spans="1:11" ht="15" customHeight="1" x14ac:dyDescent="0.15">
      <c r="A15" s="69" t="s">
        <v>23</v>
      </c>
      <c r="B15" s="7">
        <f>SUM(B13:B14)</f>
        <v>0</v>
      </c>
      <c r="C15" s="7">
        <f t="shared" ref="C15:H15" si="0">SUM(C13:C14)</f>
        <v>0</v>
      </c>
      <c r="D15" s="7">
        <f t="shared" si="0"/>
        <v>0</v>
      </c>
      <c r="E15" s="7">
        <f t="shared" si="0"/>
        <v>0</v>
      </c>
      <c r="F15" s="7">
        <f t="shared" si="0"/>
        <v>0</v>
      </c>
      <c r="G15" s="18">
        <f>SUM(G13:G14)</f>
        <v>223.55454545454438</v>
      </c>
      <c r="H15" s="7">
        <f t="shared" si="0"/>
        <v>0</v>
      </c>
      <c r="I15" s="7">
        <f>SUM(I13:I14)</f>
        <v>0</v>
      </c>
      <c r="J15" s="7">
        <f>SUM(J13:J14)</f>
        <v>31</v>
      </c>
      <c r="K15" s="7">
        <f>K13+K14</f>
        <v>255</v>
      </c>
    </row>
    <row r="16" spans="1:11" ht="18.75" customHeight="1" x14ac:dyDescent="0.15">
      <c r="B16" s="115" t="str">
        <f>IF(ROUND(G15,0)=ROUND(B15+C15+D15+E15+F15,0),"平衡","分配不平衡，请重新分配")</f>
        <v>分配不平衡，请重新分配</v>
      </c>
      <c r="C16" s="115"/>
      <c r="D16" s="115"/>
      <c r="E16" s="115"/>
      <c r="F16" s="115"/>
      <c r="G16" s="115"/>
      <c r="H16" s="116" t="str">
        <f>IF(ROUND(J15,0)=ROUND(H15+I15,0),"平衡","分配不平衡，请重新分配")</f>
        <v>分配不平衡，请重新分配</v>
      </c>
      <c r="I16" s="116"/>
      <c r="J16" s="116"/>
      <c r="K16" s="116"/>
    </row>
    <row r="17" spans="1:1" ht="15.75" customHeight="1" x14ac:dyDescent="0.15">
      <c r="A17" s="8"/>
    </row>
    <row r="18" spans="1:1" ht="15.75" customHeight="1" x14ac:dyDescent="0.15">
      <c r="A18" s="8"/>
    </row>
    <row r="19" spans="1:1" ht="15.75" customHeight="1" x14ac:dyDescent="0.15">
      <c r="A19" s="8" t="s">
        <v>58</v>
      </c>
    </row>
    <row r="20" spans="1:1" s="73" customFormat="1" ht="16" x14ac:dyDescent="0.2">
      <c r="A20" s="72" t="s">
        <v>59</v>
      </c>
    </row>
    <row r="21" spans="1:1" s="73" customFormat="1" ht="16" x14ac:dyDescent="0.2">
      <c r="A21" s="72" t="s">
        <v>60</v>
      </c>
    </row>
  </sheetData>
  <protectedRanges>
    <protectedRange sqref="B8:E8 B4:C7" name="区域1_1"/>
  </protectedRanges>
  <mergeCells count="18">
    <mergeCell ref="B16:G16"/>
    <mergeCell ref="H16:K16"/>
    <mergeCell ref="B6:C6"/>
    <mergeCell ref="B7:C7"/>
    <mergeCell ref="A2:C2"/>
    <mergeCell ref="A3:C3"/>
    <mergeCell ref="B4:C4"/>
    <mergeCell ref="B5:C5"/>
    <mergeCell ref="K10:K12"/>
    <mergeCell ref="A10:A12"/>
    <mergeCell ref="B11:C11"/>
    <mergeCell ref="D11:F11"/>
    <mergeCell ref="H11:H12"/>
    <mergeCell ref="I11:I12"/>
    <mergeCell ref="B10:G10"/>
    <mergeCell ref="G11:G12"/>
    <mergeCell ref="H10:J10"/>
    <mergeCell ref="J11:J12"/>
  </mergeCells>
  <phoneticPr fontId="2" type="noConversion"/>
  <conditionalFormatting sqref="B16">
    <cfRule type="cellIs" dxfId="5" priority="3" operator="equal">
      <formula>"分配不平衡，请重新分配"</formula>
    </cfRule>
    <cfRule type="cellIs" dxfId="4" priority="4" operator="equal">
      <formula>"平衡"</formula>
    </cfRule>
  </conditionalFormatting>
  <conditionalFormatting sqref="H16:K16">
    <cfRule type="cellIs" dxfId="3" priority="1" operator="equal">
      <formula>"分配不平衡，请重新分配"</formula>
    </cfRule>
    <cfRule type="cellIs" dxfId="2" priority="2" operator="equal">
      <formula>"平衡"</formula>
    </cfRule>
  </conditionalFormatting>
  <dataValidations count="3">
    <dataValidation type="list" allowBlank="1" showInputMessage="1" showErrorMessage="1" sqref="C6 B6">
      <formula1>"交易类,数据分析类,流程管理类,渠道类"</formula1>
    </dataValidation>
    <dataValidation type="list" allowBlank="1" showInputMessage="1" showErrorMessage="1" sqref="B8:C8 E8">
      <formula1>"立项,设计完成,上线后"</formula1>
    </dataValidation>
    <dataValidation type="list" allowBlank="1" showInputMessage="1" showErrorMessage="1" sqref="B5:C5">
      <formula1>"北开,上开,厦开,广开,成开,深开,北数,武数"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V527"/>
  <sheetViews>
    <sheetView tabSelected="1" workbookViewId="0">
      <pane ySplit="3" topLeftCell="A501" activePane="bottomLeft" state="frozen"/>
      <selection pane="bottomLeft" activeCell="F534" sqref="F534"/>
    </sheetView>
  </sheetViews>
  <sheetFormatPr baseColWidth="10" defaultColWidth="8.83203125" defaultRowHeight="15" x14ac:dyDescent="0.15"/>
  <cols>
    <col min="1" max="1" width="6.83203125" customWidth="1"/>
    <col min="2" max="2" width="16.33203125" customWidth="1"/>
    <col min="3" max="3" width="18.1640625" style="30" customWidth="1"/>
    <col min="4" max="4" width="13.83203125" style="32" customWidth="1"/>
    <col min="5" max="5" width="13.5" style="68" customWidth="1"/>
    <col min="6" max="6" width="26.5" bestFit="1" customWidth="1"/>
    <col min="7" max="7" width="14.1640625" style="16" customWidth="1"/>
    <col min="8" max="10" width="20.33203125" style="16" customWidth="1"/>
    <col min="11" max="11" width="9.6640625" customWidth="1"/>
    <col min="13" max="13" width="8.6640625" customWidth="1"/>
  </cols>
  <sheetData>
    <row r="1" spans="1:10" ht="31.5" customHeight="1" x14ac:dyDescent="0.15">
      <c r="A1" s="124" t="s">
        <v>7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10" s="2" customFormat="1" ht="24.75" customHeight="1" x14ac:dyDescent="0.15">
      <c r="A2" s="14" t="s">
        <v>27</v>
      </c>
      <c r="B2" s="14" t="s">
        <v>9</v>
      </c>
      <c r="C2" s="14" t="s">
        <v>8</v>
      </c>
      <c r="D2" s="26" t="s">
        <v>12</v>
      </c>
      <c r="E2" s="33" t="s">
        <v>13</v>
      </c>
      <c r="F2" s="14" t="s">
        <v>3</v>
      </c>
      <c r="G2" s="15" t="s">
        <v>4</v>
      </c>
      <c r="H2" s="25" t="s">
        <v>50</v>
      </c>
      <c r="I2" s="26" t="s">
        <v>51</v>
      </c>
      <c r="J2" s="15" t="s">
        <v>28</v>
      </c>
    </row>
    <row r="3" spans="1:10" s="65" customFormat="1" ht="104.25" customHeight="1" x14ac:dyDescent="0.15">
      <c r="A3" s="64"/>
      <c r="B3" s="21" t="s">
        <v>64</v>
      </c>
      <c r="C3" s="21" t="s">
        <v>56</v>
      </c>
      <c r="D3" s="27" t="s">
        <v>53</v>
      </c>
      <c r="E3" s="34" t="s">
        <v>45</v>
      </c>
      <c r="F3" s="21" t="s">
        <v>61</v>
      </c>
      <c r="G3" s="22" t="s">
        <v>49</v>
      </c>
      <c r="H3" s="62" t="s">
        <v>54</v>
      </c>
      <c r="I3" s="67" t="s">
        <v>52</v>
      </c>
      <c r="J3" s="22" t="s">
        <v>46</v>
      </c>
    </row>
    <row r="4" spans="1:10" s="87" customFormat="1" ht="14" x14ac:dyDescent="0.15">
      <c r="A4" s="127">
        <v>1</v>
      </c>
      <c r="B4" s="128" t="s">
        <v>416</v>
      </c>
      <c r="C4" s="119" t="s">
        <v>81</v>
      </c>
      <c r="D4" s="154">
        <f t="shared" ref="D4:D67" si="0">I4</f>
        <v>0.34090909090909088</v>
      </c>
      <c r="E4" s="85"/>
      <c r="F4" s="98" t="s">
        <v>82</v>
      </c>
      <c r="G4" s="86" t="s">
        <v>67</v>
      </c>
      <c r="H4" s="86">
        <f t="shared" ref="H4:H67" si="1">IF(G4="EI",4,IF(G4="EO",5,IF(G4="EQ",4,0)))</f>
        <v>5</v>
      </c>
      <c r="I4" s="86">
        <f>IF([1]项目总工作量!B$6="交易类",H4*1.5/22,IF([1]项目总工作量!B$6="数据分析类",H4*1.5*0.9/22,IF([1]项目总工作量!B$6="流程管理类",H4*1.5*0.8/22,IF([1]项目总工作量!B$6="渠道类",H4*1.5*0.7/22,FALSE))))</f>
        <v>0.34090909090909088</v>
      </c>
      <c r="J4" s="86" t="s">
        <v>44</v>
      </c>
    </row>
    <row r="5" spans="1:10" s="87" customFormat="1" ht="14" x14ac:dyDescent="0.15">
      <c r="A5" s="127"/>
      <c r="B5" s="128"/>
      <c r="C5" s="119"/>
      <c r="D5" s="154">
        <f t="shared" si="0"/>
        <v>0.34090909090909088</v>
      </c>
      <c r="E5" s="85"/>
      <c r="F5" s="98" t="s">
        <v>83</v>
      </c>
      <c r="G5" s="86" t="s">
        <v>67</v>
      </c>
      <c r="H5" s="86">
        <f t="shared" si="1"/>
        <v>5</v>
      </c>
      <c r="I5" s="86">
        <f>IF([1]项目总工作量!B$6="交易类",H5*1.5/22,IF([1]项目总工作量!B$6="数据分析类",H5*1.5*0.9/22,IF([1]项目总工作量!B$6="流程管理类",H5*1.5*0.8/22,IF([1]项目总工作量!B$6="渠道类",H5*1.5*0.7/22,FALSE))))</f>
        <v>0.34090909090909088</v>
      </c>
      <c r="J5" s="86" t="s">
        <v>44</v>
      </c>
    </row>
    <row r="6" spans="1:10" s="87" customFormat="1" ht="14" x14ac:dyDescent="0.15">
      <c r="A6" s="127"/>
      <c r="B6" s="128"/>
      <c r="C6" s="119"/>
      <c r="D6" s="154">
        <f t="shared" si="0"/>
        <v>0.34090909090909088</v>
      </c>
      <c r="E6" s="85"/>
      <c r="F6" s="98" t="s">
        <v>84</v>
      </c>
      <c r="G6" s="86" t="s">
        <v>67</v>
      </c>
      <c r="H6" s="86">
        <f t="shared" si="1"/>
        <v>5</v>
      </c>
      <c r="I6" s="86">
        <f>IF([1]项目总工作量!B$6="交易类",H6*1.5/22,IF([1]项目总工作量!B$6="数据分析类",H6*1.5*0.9/22,IF([1]项目总工作量!B$6="流程管理类",H6*1.5*0.8/22,IF([1]项目总工作量!B$6="渠道类",H6*1.5*0.7/22,FALSE))))</f>
        <v>0.34090909090909088</v>
      </c>
      <c r="J6" s="86" t="s">
        <v>44</v>
      </c>
    </row>
    <row r="7" spans="1:10" s="87" customFormat="1" ht="14" x14ac:dyDescent="0.15">
      <c r="A7" s="127"/>
      <c r="B7" s="128"/>
      <c r="C7" s="119"/>
      <c r="D7" s="154">
        <f t="shared" si="0"/>
        <v>0.34090909090909088</v>
      </c>
      <c r="E7" s="85"/>
      <c r="F7" s="98" t="s">
        <v>85</v>
      </c>
      <c r="G7" s="86" t="s">
        <v>67</v>
      </c>
      <c r="H7" s="86">
        <f t="shared" si="1"/>
        <v>5</v>
      </c>
      <c r="I7" s="86">
        <f>IF([1]项目总工作量!B$6="交易类",H7*1.5/22,IF([1]项目总工作量!B$6="数据分析类",H7*1.5*0.9/22,IF([1]项目总工作量!B$6="流程管理类",H7*1.5*0.8/22,IF([1]项目总工作量!B$6="渠道类",H7*1.5*0.7/22,FALSE))))</f>
        <v>0.34090909090909088</v>
      </c>
      <c r="J7" s="86" t="s">
        <v>44</v>
      </c>
    </row>
    <row r="8" spans="1:10" s="87" customFormat="1" ht="14" x14ac:dyDescent="0.15">
      <c r="A8" s="127"/>
      <c r="B8" s="128"/>
      <c r="C8" s="119"/>
      <c r="D8" s="154">
        <f t="shared" si="0"/>
        <v>0.34090909090909088</v>
      </c>
      <c r="E8" s="85"/>
      <c r="F8" s="98" t="s">
        <v>86</v>
      </c>
      <c r="G8" s="86" t="s">
        <v>67</v>
      </c>
      <c r="H8" s="86">
        <f t="shared" si="1"/>
        <v>5</v>
      </c>
      <c r="I8" s="86">
        <f>IF([1]项目总工作量!B$6="交易类",H8*1.5/22,IF([1]项目总工作量!B$6="数据分析类",H8*1.5*0.9/22,IF([1]项目总工作量!B$6="流程管理类",H8*1.5*0.8/22,IF([1]项目总工作量!B$6="渠道类",H8*1.5*0.7/22,FALSE))))</f>
        <v>0.34090909090909088</v>
      </c>
      <c r="J8" s="86" t="s">
        <v>44</v>
      </c>
    </row>
    <row r="9" spans="1:10" s="87" customFormat="1" ht="14" x14ac:dyDescent="0.15">
      <c r="A9" s="127"/>
      <c r="B9" s="128"/>
      <c r="C9" s="119"/>
      <c r="D9" s="154">
        <f t="shared" si="0"/>
        <v>0.34090909090909088</v>
      </c>
      <c r="E9" s="85"/>
      <c r="F9" s="98" t="s">
        <v>87</v>
      </c>
      <c r="G9" s="86" t="s">
        <v>67</v>
      </c>
      <c r="H9" s="86">
        <f t="shared" si="1"/>
        <v>5</v>
      </c>
      <c r="I9" s="86">
        <f>IF([1]项目总工作量!B$6="交易类",H9*1.5/22,IF([1]项目总工作量!B$6="数据分析类",H9*1.5*0.9/22,IF([1]项目总工作量!B$6="流程管理类",H9*1.5*0.8/22,IF([1]项目总工作量!B$6="渠道类",H9*1.5*0.7/22,FALSE))))</f>
        <v>0.34090909090909088</v>
      </c>
      <c r="J9" s="86" t="s">
        <v>44</v>
      </c>
    </row>
    <row r="10" spans="1:10" s="87" customFormat="1" ht="14" x14ac:dyDescent="0.15">
      <c r="A10" s="127"/>
      <c r="B10" s="128"/>
      <c r="C10" s="119"/>
      <c r="D10" s="154">
        <f t="shared" si="0"/>
        <v>0.34090909090909088</v>
      </c>
      <c r="E10" s="85"/>
      <c r="F10" s="98" t="s">
        <v>88</v>
      </c>
      <c r="G10" s="86" t="s">
        <v>67</v>
      </c>
      <c r="H10" s="86">
        <f t="shared" si="1"/>
        <v>5</v>
      </c>
      <c r="I10" s="86">
        <f>IF([1]项目总工作量!B$6="交易类",H10*1.5/22,IF([1]项目总工作量!B$6="数据分析类",H10*1.5*0.9/22,IF([1]项目总工作量!B$6="流程管理类",H10*1.5*0.8/22,IF([1]项目总工作量!B$6="渠道类",H10*1.5*0.7/22,FALSE))))</f>
        <v>0.34090909090909088</v>
      </c>
      <c r="J10" s="86" t="s">
        <v>44</v>
      </c>
    </row>
    <row r="11" spans="1:10" s="87" customFormat="1" ht="14" x14ac:dyDescent="0.15">
      <c r="A11" s="127"/>
      <c r="B11" s="128"/>
      <c r="C11" s="119"/>
      <c r="D11" s="154">
        <f t="shared" si="0"/>
        <v>0.34090909090909088</v>
      </c>
      <c r="E11" s="85"/>
      <c r="F11" s="98" t="s">
        <v>89</v>
      </c>
      <c r="G11" s="86" t="s">
        <v>67</v>
      </c>
      <c r="H11" s="86">
        <f t="shared" si="1"/>
        <v>5</v>
      </c>
      <c r="I11" s="86">
        <f>IF([1]项目总工作量!B$6="交易类",H11*1.5/22,IF([1]项目总工作量!B$6="数据分析类",H11*1.5*0.9/22,IF([1]项目总工作量!B$6="流程管理类",H11*1.5*0.8/22,IF([1]项目总工作量!B$6="渠道类",H11*1.5*0.7/22,FALSE))))</f>
        <v>0.34090909090909088</v>
      </c>
      <c r="J11" s="86" t="s">
        <v>44</v>
      </c>
    </row>
    <row r="12" spans="1:10" s="87" customFormat="1" ht="14" x14ac:dyDescent="0.15">
      <c r="A12" s="127"/>
      <c r="B12" s="128"/>
      <c r="C12" s="119"/>
      <c r="D12" s="154">
        <f t="shared" si="0"/>
        <v>0.34090909090909088</v>
      </c>
      <c r="E12" s="85"/>
      <c r="F12" s="98" t="s">
        <v>90</v>
      </c>
      <c r="G12" s="86" t="s">
        <v>67</v>
      </c>
      <c r="H12" s="86">
        <f t="shared" si="1"/>
        <v>5</v>
      </c>
      <c r="I12" s="86">
        <f>IF([1]项目总工作量!B$6="交易类",H12*1.5/22,IF([1]项目总工作量!B$6="数据分析类",H12*1.5*0.9/22,IF([1]项目总工作量!B$6="流程管理类",H12*1.5*0.8/22,IF([1]项目总工作量!B$6="渠道类",H12*1.5*0.7/22,FALSE))))</f>
        <v>0.34090909090909088</v>
      </c>
      <c r="J12" s="86" t="s">
        <v>44</v>
      </c>
    </row>
    <row r="13" spans="1:10" s="87" customFormat="1" ht="14" x14ac:dyDescent="0.15">
      <c r="A13" s="127"/>
      <c r="B13" s="128"/>
      <c r="C13" s="119"/>
      <c r="D13" s="154">
        <f t="shared" si="0"/>
        <v>0.34090909090909088</v>
      </c>
      <c r="E13" s="85"/>
      <c r="F13" s="98" t="s">
        <v>91</v>
      </c>
      <c r="G13" s="86" t="s">
        <v>67</v>
      </c>
      <c r="H13" s="86">
        <f t="shared" si="1"/>
        <v>5</v>
      </c>
      <c r="I13" s="86">
        <f>IF([1]项目总工作量!B$6="交易类",H13*1.5/22,IF([1]项目总工作量!B$6="数据分析类",H13*1.5*0.9/22,IF([1]项目总工作量!B$6="流程管理类",H13*1.5*0.8/22,IF([1]项目总工作量!B$6="渠道类",H13*1.5*0.7/22,FALSE))))</f>
        <v>0.34090909090909088</v>
      </c>
      <c r="J13" s="86" t="s">
        <v>44</v>
      </c>
    </row>
    <row r="14" spans="1:10" s="87" customFormat="1" ht="14" x14ac:dyDescent="0.15">
      <c r="A14" s="127"/>
      <c r="B14" s="128"/>
      <c r="C14" s="119"/>
      <c r="D14" s="154">
        <f t="shared" si="0"/>
        <v>0.34090909090909088</v>
      </c>
      <c r="E14" s="85"/>
      <c r="F14" s="98" t="s">
        <v>92</v>
      </c>
      <c r="G14" s="86" t="s">
        <v>67</v>
      </c>
      <c r="H14" s="86">
        <f t="shared" si="1"/>
        <v>5</v>
      </c>
      <c r="I14" s="86">
        <f>IF([1]项目总工作量!B$6="交易类",H14*1.5/22,IF([1]项目总工作量!B$6="数据分析类",H14*1.5*0.9/22,IF([1]项目总工作量!B$6="流程管理类",H14*1.5*0.8/22,IF([1]项目总工作量!B$6="渠道类",H14*1.5*0.7/22,FALSE))))</f>
        <v>0.34090909090909088</v>
      </c>
      <c r="J14" s="86" t="s">
        <v>44</v>
      </c>
    </row>
    <row r="15" spans="1:10" s="87" customFormat="1" ht="14" x14ac:dyDescent="0.15">
      <c r="A15" s="127"/>
      <c r="B15" s="128"/>
      <c r="C15" s="119"/>
      <c r="D15" s="154">
        <f t="shared" si="0"/>
        <v>0.34090909090909088</v>
      </c>
      <c r="E15" s="85"/>
      <c r="F15" s="98" t="s">
        <v>93</v>
      </c>
      <c r="G15" s="86" t="s">
        <v>67</v>
      </c>
      <c r="H15" s="86">
        <f t="shared" si="1"/>
        <v>5</v>
      </c>
      <c r="I15" s="86">
        <f>IF([1]项目总工作量!B$6="交易类",H15*1.5/22,IF([1]项目总工作量!B$6="数据分析类",H15*1.5*0.9/22,IF([1]项目总工作量!B$6="流程管理类",H15*1.5*0.8/22,IF([1]项目总工作量!B$6="渠道类",H15*1.5*0.7/22,FALSE))))</f>
        <v>0.34090909090909088</v>
      </c>
      <c r="J15" s="86" t="s">
        <v>44</v>
      </c>
    </row>
    <row r="16" spans="1:10" s="87" customFormat="1" ht="14" x14ac:dyDescent="0.15">
      <c r="A16" s="127"/>
      <c r="B16" s="128"/>
      <c r="C16" s="119"/>
      <c r="D16" s="154">
        <f t="shared" si="0"/>
        <v>0.34090909090909088</v>
      </c>
      <c r="E16" s="85"/>
      <c r="F16" s="98" t="s">
        <v>94</v>
      </c>
      <c r="G16" s="86" t="s">
        <v>67</v>
      </c>
      <c r="H16" s="86">
        <f t="shared" si="1"/>
        <v>5</v>
      </c>
      <c r="I16" s="86">
        <f>IF([1]项目总工作量!B$6="交易类",H16*1.5/22,IF([1]项目总工作量!B$6="数据分析类",H16*1.5*0.9/22,IF([1]项目总工作量!B$6="流程管理类",H16*1.5*0.8/22,IF([1]项目总工作量!B$6="渠道类",H16*1.5*0.7/22,FALSE))))</f>
        <v>0.34090909090909088</v>
      </c>
      <c r="J16" s="86" t="s">
        <v>44</v>
      </c>
    </row>
    <row r="17" spans="1:10" s="87" customFormat="1" ht="14" x14ac:dyDescent="0.15">
      <c r="A17" s="127"/>
      <c r="B17" s="128"/>
      <c r="C17" s="119"/>
      <c r="D17" s="154">
        <f t="shared" si="0"/>
        <v>0.34090909090909088</v>
      </c>
      <c r="E17" s="85"/>
      <c r="F17" s="98" t="s">
        <v>95</v>
      </c>
      <c r="G17" s="86" t="s">
        <v>67</v>
      </c>
      <c r="H17" s="86">
        <f t="shared" si="1"/>
        <v>5</v>
      </c>
      <c r="I17" s="86">
        <f>IF([1]项目总工作量!B$6="交易类",H17*1.5/22,IF([1]项目总工作量!B$6="数据分析类",H17*1.5*0.9/22,IF([1]项目总工作量!B$6="流程管理类",H17*1.5*0.8/22,IF([1]项目总工作量!B$6="渠道类",H17*1.5*0.7/22,FALSE))))</f>
        <v>0.34090909090909088</v>
      </c>
      <c r="J17" s="86" t="s">
        <v>44</v>
      </c>
    </row>
    <row r="18" spans="1:10" s="87" customFormat="1" ht="14" x14ac:dyDescent="0.15">
      <c r="A18" s="127"/>
      <c r="B18" s="128"/>
      <c r="C18" s="119"/>
      <c r="D18" s="154">
        <f t="shared" si="0"/>
        <v>0.34090909090909088</v>
      </c>
      <c r="E18" s="85"/>
      <c r="F18" s="98" t="s">
        <v>96</v>
      </c>
      <c r="G18" s="86" t="s">
        <v>67</v>
      </c>
      <c r="H18" s="86">
        <f t="shared" si="1"/>
        <v>5</v>
      </c>
      <c r="I18" s="86">
        <f>IF([1]项目总工作量!B$6="交易类",H18*1.5/22,IF([1]项目总工作量!B$6="数据分析类",H18*1.5*0.9/22,IF([1]项目总工作量!B$6="流程管理类",H18*1.5*0.8/22,IF([1]项目总工作量!B$6="渠道类",H18*1.5*0.7/22,FALSE))))</f>
        <v>0.34090909090909088</v>
      </c>
      <c r="J18" s="86" t="s">
        <v>44</v>
      </c>
    </row>
    <row r="19" spans="1:10" s="87" customFormat="1" ht="14" x14ac:dyDescent="0.15">
      <c r="A19" s="127"/>
      <c r="B19" s="128"/>
      <c r="C19" s="119"/>
      <c r="D19" s="154">
        <f t="shared" si="0"/>
        <v>0.34090909090909088</v>
      </c>
      <c r="E19" s="85"/>
      <c r="F19" s="98" t="s">
        <v>97</v>
      </c>
      <c r="G19" s="86" t="s">
        <v>67</v>
      </c>
      <c r="H19" s="86">
        <f t="shared" si="1"/>
        <v>5</v>
      </c>
      <c r="I19" s="86">
        <f>IF([1]项目总工作量!B$6="交易类",H19*1.5/22,IF([1]项目总工作量!B$6="数据分析类",H19*1.5*0.9/22,IF([1]项目总工作量!B$6="流程管理类",H19*1.5*0.8/22,IF([1]项目总工作量!B$6="渠道类",H19*1.5*0.7/22,FALSE))))</f>
        <v>0.34090909090909088</v>
      </c>
      <c r="J19" s="86" t="s">
        <v>44</v>
      </c>
    </row>
    <row r="20" spans="1:10" s="87" customFormat="1" ht="14" x14ac:dyDescent="0.15">
      <c r="A20" s="127"/>
      <c r="B20" s="128"/>
      <c r="C20" s="119"/>
      <c r="D20" s="154">
        <f t="shared" si="0"/>
        <v>0.34090909090909088</v>
      </c>
      <c r="E20" s="85"/>
      <c r="F20" s="98" t="s">
        <v>98</v>
      </c>
      <c r="G20" s="86" t="s">
        <v>67</v>
      </c>
      <c r="H20" s="86">
        <f t="shared" si="1"/>
        <v>5</v>
      </c>
      <c r="I20" s="86">
        <f>IF([1]项目总工作量!B$6="交易类",H20*1.5/22,IF([1]项目总工作量!B$6="数据分析类",H20*1.5*0.9/22,IF([1]项目总工作量!B$6="流程管理类",H20*1.5*0.8/22,IF([1]项目总工作量!B$6="渠道类",H20*1.5*0.7/22,FALSE))))</f>
        <v>0.34090909090909088</v>
      </c>
      <c r="J20" s="86" t="s">
        <v>44</v>
      </c>
    </row>
    <row r="21" spans="1:10" s="87" customFormat="1" ht="14" x14ac:dyDescent="0.15">
      <c r="A21" s="127"/>
      <c r="B21" s="128"/>
      <c r="C21" s="119"/>
      <c r="D21" s="154">
        <f t="shared" si="0"/>
        <v>0.34090909090909088</v>
      </c>
      <c r="E21" s="85"/>
      <c r="F21" s="98" t="s">
        <v>99</v>
      </c>
      <c r="G21" s="86" t="s">
        <v>67</v>
      </c>
      <c r="H21" s="86">
        <f t="shared" si="1"/>
        <v>5</v>
      </c>
      <c r="I21" s="86">
        <f>IF([1]项目总工作量!B$6="交易类",H21*1.5/22,IF([1]项目总工作量!B$6="数据分析类",H21*1.5*0.9/22,IF([1]项目总工作量!B$6="流程管理类",H21*1.5*0.8/22,IF([1]项目总工作量!B$6="渠道类",H21*1.5*0.7/22,FALSE))))</f>
        <v>0.34090909090909088</v>
      </c>
      <c r="J21" s="86" t="s">
        <v>44</v>
      </c>
    </row>
    <row r="22" spans="1:10" s="87" customFormat="1" ht="14" x14ac:dyDescent="0.15">
      <c r="A22" s="127"/>
      <c r="B22" s="128"/>
      <c r="C22" s="119"/>
      <c r="D22" s="154">
        <f t="shared" si="0"/>
        <v>0.34090909090909088</v>
      </c>
      <c r="E22" s="85"/>
      <c r="F22" s="98" t="s">
        <v>100</v>
      </c>
      <c r="G22" s="86" t="s">
        <v>67</v>
      </c>
      <c r="H22" s="86">
        <f t="shared" si="1"/>
        <v>5</v>
      </c>
      <c r="I22" s="86">
        <f>IF([1]项目总工作量!B$6="交易类",H22*1.5/22,IF([1]项目总工作量!B$6="数据分析类",H22*1.5*0.9/22,IF([1]项目总工作量!B$6="流程管理类",H22*1.5*0.8/22,IF([1]项目总工作量!B$6="渠道类",H22*1.5*0.7/22,FALSE))))</f>
        <v>0.34090909090909088</v>
      </c>
      <c r="J22" s="86" t="s">
        <v>44</v>
      </c>
    </row>
    <row r="23" spans="1:10" s="87" customFormat="1" ht="14" x14ac:dyDescent="0.15">
      <c r="A23" s="127"/>
      <c r="B23" s="128"/>
      <c r="C23" s="119"/>
      <c r="D23" s="154">
        <f t="shared" si="0"/>
        <v>0.34090909090909088</v>
      </c>
      <c r="E23" s="85"/>
      <c r="F23" s="98" t="s">
        <v>101</v>
      </c>
      <c r="G23" s="86" t="s">
        <v>67</v>
      </c>
      <c r="H23" s="86">
        <f t="shared" si="1"/>
        <v>5</v>
      </c>
      <c r="I23" s="86">
        <f>IF([1]项目总工作量!B$6="交易类",H23*1.5/22,IF([1]项目总工作量!B$6="数据分析类",H23*1.5*0.9/22,IF([1]项目总工作量!B$6="流程管理类",H23*1.5*0.8/22,IF([1]项目总工作量!B$6="渠道类",H23*1.5*0.7/22,FALSE))))</f>
        <v>0.34090909090909088</v>
      </c>
      <c r="J23" s="86" t="s">
        <v>44</v>
      </c>
    </row>
    <row r="24" spans="1:10" s="87" customFormat="1" ht="14" x14ac:dyDescent="0.15">
      <c r="A24" s="127"/>
      <c r="B24" s="128"/>
      <c r="C24" s="119"/>
      <c r="D24" s="154">
        <f t="shared" si="0"/>
        <v>0.34090909090909088</v>
      </c>
      <c r="E24" s="85"/>
      <c r="F24" s="98" t="s">
        <v>102</v>
      </c>
      <c r="G24" s="86" t="s">
        <v>67</v>
      </c>
      <c r="H24" s="86">
        <f t="shared" si="1"/>
        <v>5</v>
      </c>
      <c r="I24" s="86">
        <f>IF([1]项目总工作量!B$6="交易类",H24*1.5/22,IF([1]项目总工作量!B$6="数据分析类",H24*1.5*0.9/22,IF([1]项目总工作量!B$6="流程管理类",H24*1.5*0.8/22,IF([1]项目总工作量!B$6="渠道类",H24*1.5*0.7/22,FALSE))))</f>
        <v>0.34090909090909088</v>
      </c>
      <c r="J24" s="86" t="s">
        <v>44</v>
      </c>
    </row>
    <row r="25" spans="1:10" s="87" customFormat="1" ht="14" x14ac:dyDescent="0.15">
      <c r="A25" s="127"/>
      <c r="B25" s="128"/>
      <c r="C25" s="119"/>
      <c r="D25" s="154">
        <f t="shared" si="0"/>
        <v>0.34090909090909088</v>
      </c>
      <c r="E25" s="85"/>
      <c r="F25" s="98" t="s">
        <v>103</v>
      </c>
      <c r="G25" s="86" t="s">
        <v>67</v>
      </c>
      <c r="H25" s="86">
        <f t="shared" si="1"/>
        <v>5</v>
      </c>
      <c r="I25" s="86">
        <f>IF([1]项目总工作量!B$6="交易类",H25*1.5/22,IF([1]项目总工作量!B$6="数据分析类",H25*1.5*0.9/22,IF([1]项目总工作量!B$6="流程管理类",H25*1.5*0.8/22,IF([1]项目总工作量!B$6="渠道类",H25*1.5*0.7/22,FALSE))))</f>
        <v>0.34090909090909088</v>
      </c>
      <c r="J25" s="86" t="s">
        <v>44</v>
      </c>
    </row>
    <row r="26" spans="1:10" s="87" customFormat="1" ht="14" x14ac:dyDescent="0.15">
      <c r="A26" s="127"/>
      <c r="B26" s="128"/>
      <c r="C26" s="119"/>
      <c r="D26" s="154">
        <f t="shared" si="0"/>
        <v>0.34090909090909088</v>
      </c>
      <c r="E26" s="85"/>
      <c r="F26" s="98" t="s">
        <v>104</v>
      </c>
      <c r="G26" s="86" t="s">
        <v>67</v>
      </c>
      <c r="H26" s="86">
        <f t="shared" si="1"/>
        <v>5</v>
      </c>
      <c r="I26" s="86">
        <f>IF([1]项目总工作量!B$6="交易类",H26*1.5/22,IF([1]项目总工作量!B$6="数据分析类",H26*1.5*0.9/22,IF([1]项目总工作量!B$6="流程管理类",H26*1.5*0.8/22,IF([1]项目总工作量!B$6="渠道类",H26*1.5*0.7/22,FALSE))))</f>
        <v>0.34090909090909088</v>
      </c>
      <c r="J26" s="86" t="s">
        <v>44</v>
      </c>
    </row>
    <row r="27" spans="1:10" s="87" customFormat="1" ht="14" x14ac:dyDescent="0.15">
      <c r="A27" s="127"/>
      <c r="B27" s="128"/>
      <c r="C27" s="119"/>
      <c r="D27" s="154">
        <f t="shared" si="0"/>
        <v>0.34090909090909088</v>
      </c>
      <c r="E27" s="85"/>
      <c r="F27" s="98" t="s">
        <v>105</v>
      </c>
      <c r="G27" s="86" t="s">
        <v>67</v>
      </c>
      <c r="H27" s="86">
        <f t="shared" si="1"/>
        <v>5</v>
      </c>
      <c r="I27" s="86">
        <f>IF([1]项目总工作量!B$6="交易类",H27*1.5/22,IF([1]项目总工作量!B$6="数据分析类",H27*1.5*0.9/22,IF([1]项目总工作量!B$6="流程管理类",H27*1.5*0.8/22,IF([1]项目总工作量!B$6="渠道类",H27*1.5*0.7/22,FALSE))))</f>
        <v>0.34090909090909088</v>
      </c>
      <c r="J27" s="86" t="s">
        <v>44</v>
      </c>
    </row>
    <row r="28" spans="1:10" s="87" customFormat="1" ht="14" x14ac:dyDescent="0.15">
      <c r="A28" s="127"/>
      <c r="B28" s="128"/>
      <c r="C28" s="119"/>
      <c r="D28" s="154">
        <f t="shared" si="0"/>
        <v>0.34090909090909088</v>
      </c>
      <c r="E28" s="85"/>
      <c r="F28" s="98" t="s">
        <v>106</v>
      </c>
      <c r="G28" s="86" t="s">
        <v>67</v>
      </c>
      <c r="H28" s="86">
        <f t="shared" si="1"/>
        <v>5</v>
      </c>
      <c r="I28" s="86">
        <f>IF([1]项目总工作量!B$6="交易类",H28*1.5/22,IF([1]项目总工作量!B$6="数据分析类",H28*1.5*0.9/22,IF([1]项目总工作量!B$6="流程管理类",H28*1.5*0.8/22,IF([1]项目总工作量!B$6="渠道类",H28*1.5*0.7/22,FALSE))))</f>
        <v>0.34090909090909088</v>
      </c>
      <c r="J28" s="86" t="s">
        <v>44</v>
      </c>
    </row>
    <row r="29" spans="1:10" s="87" customFormat="1" ht="14" x14ac:dyDescent="0.15">
      <c r="A29" s="127"/>
      <c r="B29" s="128"/>
      <c r="C29" s="119"/>
      <c r="D29" s="154">
        <f t="shared" si="0"/>
        <v>0.34090909090909088</v>
      </c>
      <c r="E29" s="85"/>
      <c r="F29" s="98" t="s">
        <v>107</v>
      </c>
      <c r="G29" s="86" t="s">
        <v>67</v>
      </c>
      <c r="H29" s="86">
        <f t="shared" si="1"/>
        <v>5</v>
      </c>
      <c r="I29" s="86">
        <f>IF([1]项目总工作量!B$6="交易类",H29*1.5/22,IF([1]项目总工作量!B$6="数据分析类",H29*1.5*0.9/22,IF([1]项目总工作量!B$6="流程管理类",H29*1.5*0.8/22,IF([1]项目总工作量!B$6="渠道类",H29*1.5*0.7/22,FALSE))))</f>
        <v>0.34090909090909088</v>
      </c>
      <c r="J29" s="86" t="s">
        <v>44</v>
      </c>
    </row>
    <row r="30" spans="1:10" s="87" customFormat="1" ht="14" x14ac:dyDescent="0.15">
      <c r="A30" s="127"/>
      <c r="B30" s="128"/>
      <c r="C30" s="119"/>
      <c r="D30" s="154">
        <f t="shared" si="0"/>
        <v>0.34090909090909088</v>
      </c>
      <c r="E30" s="85"/>
      <c r="F30" s="98" t="s">
        <v>108</v>
      </c>
      <c r="G30" s="86" t="s">
        <v>67</v>
      </c>
      <c r="H30" s="86">
        <f t="shared" si="1"/>
        <v>5</v>
      </c>
      <c r="I30" s="86">
        <f>IF([1]项目总工作量!B$6="交易类",H30*1.5/22,IF([1]项目总工作量!B$6="数据分析类",H30*1.5*0.9/22,IF([1]项目总工作量!B$6="流程管理类",H30*1.5*0.8/22,IF([1]项目总工作量!B$6="渠道类",H30*1.5*0.7/22,FALSE))))</f>
        <v>0.34090909090909088</v>
      </c>
      <c r="J30" s="86" t="s">
        <v>44</v>
      </c>
    </row>
    <row r="31" spans="1:10" s="87" customFormat="1" ht="14" x14ac:dyDescent="0.15">
      <c r="A31" s="127"/>
      <c r="B31" s="128"/>
      <c r="C31" s="119"/>
      <c r="D31" s="154">
        <f t="shared" si="0"/>
        <v>0.34090909090909088</v>
      </c>
      <c r="E31" s="85"/>
      <c r="F31" s="98" t="s">
        <v>109</v>
      </c>
      <c r="G31" s="86" t="s">
        <v>67</v>
      </c>
      <c r="H31" s="86">
        <f t="shared" si="1"/>
        <v>5</v>
      </c>
      <c r="I31" s="86">
        <f>IF([1]项目总工作量!B$6="交易类",H31*1.5/22,IF([1]项目总工作量!B$6="数据分析类",H31*1.5*0.9/22,IF([1]项目总工作量!B$6="流程管理类",H31*1.5*0.8/22,IF([1]项目总工作量!B$6="渠道类",H31*1.5*0.7/22,FALSE))))</f>
        <v>0.34090909090909088</v>
      </c>
      <c r="J31" s="86" t="s">
        <v>44</v>
      </c>
    </row>
    <row r="32" spans="1:10" s="87" customFormat="1" ht="14" x14ac:dyDescent="0.15">
      <c r="A32" s="127"/>
      <c r="B32" s="128"/>
      <c r="C32" s="119"/>
      <c r="D32" s="154">
        <f t="shared" si="0"/>
        <v>0.34090909090909088</v>
      </c>
      <c r="E32" s="85"/>
      <c r="F32" s="98" t="s">
        <v>110</v>
      </c>
      <c r="G32" s="86" t="s">
        <v>67</v>
      </c>
      <c r="H32" s="86">
        <f t="shared" si="1"/>
        <v>5</v>
      </c>
      <c r="I32" s="86">
        <f>IF([1]项目总工作量!B$6="交易类",H32*1.5/22,IF([1]项目总工作量!B$6="数据分析类",H32*1.5*0.9/22,IF([1]项目总工作量!B$6="流程管理类",H32*1.5*0.8/22,IF([1]项目总工作量!B$6="渠道类",H32*1.5*0.7/22,FALSE))))</f>
        <v>0.34090909090909088</v>
      </c>
      <c r="J32" s="86" t="s">
        <v>44</v>
      </c>
    </row>
    <row r="33" spans="1:10" s="87" customFormat="1" ht="14" x14ac:dyDescent="0.15">
      <c r="A33" s="127"/>
      <c r="B33" s="128"/>
      <c r="C33" s="119" t="s">
        <v>417</v>
      </c>
      <c r="D33" s="154">
        <f t="shared" si="0"/>
        <v>0.34090909090909088</v>
      </c>
      <c r="E33" s="85"/>
      <c r="F33" s="98" t="s">
        <v>111</v>
      </c>
      <c r="G33" s="86" t="s">
        <v>67</v>
      </c>
      <c r="H33" s="86">
        <f t="shared" si="1"/>
        <v>5</v>
      </c>
      <c r="I33" s="86">
        <f>IF([1]项目总工作量!B$6="交易类",H33*1.5/22,IF([1]项目总工作量!B$6="数据分析类",H33*1.5*0.9/22,IF([1]项目总工作量!B$6="流程管理类",H33*1.5*0.8/22,IF([1]项目总工作量!B$6="渠道类",H33*1.5*0.7/22,FALSE))))</f>
        <v>0.34090909090909088</v>
      </c>
      <c r="J33" s="86" t="s">
        <v>44</v>
      </c>
    </row>
    <row r="34" spans="1:10" s="87" customFormat="1" ht="14" x14ac:dyDescent="0.15">
      <c r="A34" s="127"/>
      <c r="B34" s="128"/>
      <c r="C34" s="119"/>
      <c r="D34" s="154">
        <f t="shared" si="0"/>
        <v>0.34090909090909088</v>
      </c>
      <c r="E34" s="85"/>
      <c r="F34" s="98" t="s">
        <v>112</v>
      </c>
      <c r="G34" s="86" t="s">
        <v>67</v>
      </c>
      <c r="H34" s="86">
        <f t="shared" si="1"/>
        <v>5</v>
      </c>
      <c r="I34" s="86">
        <f>IF([1]项目总工作量!B$6="交易类",H34*1.5/22,IF([1]项目总工作量!B$6="数据分析类",H34*1.5*0.9/22,IF([1]项目总工作量!B$6="流程管理类",H34*1.5*0.8/22,IF([1]项目总工作量!B$6="渠道类",H34*1.5*0.7/22,FALSE))))</f>
        <v>0.34090909090909088</v>
      </c>
      <c r="J34" s="86" t="s">
        <v>44</v>
      </c>
    </row>
    <row r="35" spans="1:10" s="87" customFormat="1" ht="14" x14ac:dyDescent="0.15">
      <c r="A35" s="127"/>
      <c r="B35" s="128"/>
      <c r="C35" s="119"/>
      <c r="D35" s="154">
        <f t="shared" si="0"/>
        <v>0.34090909090909088</v>
      </c>
      <c r="E35" s="85"/>
      <c r="F35" s="98" t="s">
        <v>541</v>
      </c>
      <c r="G35" s="86" t="s">
        <v>67</v>
      </c>
      <c r="H35" s="86">
        <f t="shared" si="1"/>
        <v>5</v>
      </c>
      <c r="I35" s="86">
        <f>IF([1]项目总工作量!B$6="交易类",H35*1.5/22,IF([1]项目总工作量!B$6="数据分析类",H35*1.5*0.9/22,IF([1]项目总工作量!B$6="流程管理类",H35*1.5*0.8/22,IF([1]项目总工作量!B$6="渠道类",H35*1.5*0.7/22,FALSE))))</f>
        <v>0.34090909090909088</v>
      </c>
      <c r="J35" s="86" t="s">
        <v>44</v>
      </c>
    </row>
    <row r="36" spans="1:10" s="87" customFormat="1" ht="14" x14ac:dyDescent="0.15">
      <c r="A36" s="127"/>
      <c r="B36" s="128"/>
      <c r="C36" s="119"/>
      <c r="D36" s="154">
        <f t="shared" si="0"/>
        <v>0.34090909090909088</v>
      </c>
      <c r="E36" s="85"/>
      <c r="F36" s="98" t="s">
        <v>542</v>
      </c>
      <c r="G36" s="86" t="s">
        <v>67</v>
      </c>
      <c r="H36" s="86">
        <f t="shared" si="1"/>
        <v>5</v>
      </c>
      <c r="I36" s="86">
        <f>IF([1]项目总工作量!B$6="交易类",H36*1.5/22,IF([1]项目总工作量!B$6="数据分析类",H36*1.5*0.9/22,IF([1]项目总工作量!B$6="流程管理类",H36*1.5*0.8/22,IF([1]项目总工作量!B$6="渠道类",H36*1.5*0.7/22,FALSE))))</f>
        <v>0.34090909090909088</v>
      </c>
      <c r="J36" s="86" t="s">
        <v>44</v>
      </c>
    </row>
    <row r="37" spans="1:10" s="87" customFormat="1" ht="14" x14ac:dyDescent="0.15">
      <c r="A37" s="127"/>
      <c r="B37" s="128"/>
      <c r="C37" s="119"/>
      <c r="D37" s="154">
        <f t="shared" si="0"/>
        <v>0.34090909090909088</v>
      </c>
      <c r="E37" s="85"/>
      <c r="F37" s="98" t="s">
        <v>543</v>
      </c>
      <c r="G37" s="86" t="s">
        <v>67</v>
      </c>
      <c r="H37" s="86">
        <f t="shared" si="1"/>
        <v>5</v>
      </c>
      <c r="I37" s="86">
        <f>IF([1]项目总工作量!B$6="交易类",H37*1.5/22,IF([1]项目总工作量!B$6="数据分析类",H37*1.5*0.9/22,IF([1]项目总工作量!B$6="流程管理类",H37*1.5*0.8/22,IF([1]项目总工作量!B$6="渠道类",H37*1.5*0.7/22,FALSE))))</f>
        <v>0.34090909090909088</v>
      </c>
      <c r="J37" s="86" t="s">
        <v>44</v>
      </c>
    </row>
    <row r="38" spans="1:10" s="87" customFormat="1" ht="14" x14ac:dyDescent="0.15">
      <c r="A38" s="127"/>
      <c r="B38" s="128"/>
      <c r="C38" s="119"/>
      <c r="D38" s="154">
        <f t="shared" si="0"/>
        <v>0.34090909090909088</v>
      </c>
      <c r="E38" s="85"/>
      <c r="F38" s="98" t="s">
        <v>544</v>
      </c>
      <c r="G38" s="86" t="s">
        <v>67</v>
      </c>
      <c r="H38" s="86">
        <f t="shared" si="1"/>
        <v>5</v>
      </c>
      <c r="I38" s="86">
        <f>IF([1]项目总工作量!B$6="交易类",H38*1.5/22,IF([1]项目总工作量!B$6="数据分析类",H38*1.5*0.9/22,IF([1]项目总工作量!B$6="流程管理类",H38*1.5*0.8/22,IF([1]项目总工作量!B$6="渠道类",H38*1.5*0.7/22,FALSE))))</f>
        <v>0.34090909090909088</v>
      </c>
      <c r="J38" s="86" t="s">
        <v>44</v>
      </c>
    </row>
    <row r="39" spans="1:10" s="87" customFormat="1" ht="14" x14ac:dyDescent="0.15">
      <c r="A39" s="127"/>
      <c r="B39" s="128"/>
      <c r="C39" s="119"/>
      <c r="D39" s="154">
        <f t="shared" si="0"/>
        <v>0.34090909090909088</v>
      </c>
      <c r="E39" s="85"/>
      <c r="F39" s="98" t="s">
        <v>545</v>
      </c>
      <c r="G39" s="86" t="s">
        <v>67</v>
      </c>
      <c r="H39" s="86">
        <f t="shared" si="1"/>
        <v>5</v>
      </c>
      <c r="I39" s="86">
        <f>IF([1]项目总工作量!B$6="交易类",H39*1.5/22,IF([1]项目总工作量!B$6="数据分析类",H39*1.5*0.9/22,IF([1]项目总工作量!B$6="流程管理类",H39*1.5*0.8/22,IF([1]项目总工作量!B$6="渠道类",H39*1.5*0.7/22,FALSE))))</f>
        <v>0.34090909090909088</v>
      </c>
      <c r="J39" s="86" t="s">
        <v>44</v>
      </c>
    </row>
    <row r="40" spans="1:10" s="87" customFormat="1" ht="14" x14ac:dyDescent="0.15">
      <c r="A40" s="127">
        <v>2</v>
      </c>
      <c r="B40" s="127" t="s">
        <v>546</v>
      </c>
      <c r="C40" s="128" t="s">
        <v>547</v>
      </c>
      <c r="D40" s="154">
        <f t="shared" si="0"/>
        <v>0.27272727272727271</v>
      </c>
      <c r="E40" s="85"/>
      <c r="F40" s="98" t="s">
        <v>113</v>
      </c>
      <c r="G40" s="86" t="s">
        <v>66</v>
      </c>
      <c r="H40" s="86">
        <f t="shared" si="1"/>
        <v>4</v>
      </c>
      <c r="I40" s="86">
        <f>IF([1]项目总工作量!B$6="交易类",H40*1.5/22,IF([1]项目总工作量!B$6="数据分析类",H40*1.5*0.9/22,IF([1]项目总工作量!B$6="流程管理类",H40*1.5*0.8/22,IF([1]项目总工作量!B$6="渠道类",H40*1.5*0.7/22,FALSE))))</f>
        <v>0.27272727272727271</v>
      </c>
      <c r="J40" s="86" t="s">
        <v>44</v>
      </c>
    </row>
    <row r="41" spans="1:10" s="87" customFormat="1" ht="14" x14ac:dyDescent="0.15">
      <c r="A41" s="127"/>
      <c r="B41" s="127"/>
      <c r="C41" s="128"/>
      <c r="D41" s="154">
        <f t="shared" si="0"/>
        <v>0.27272727272727271</v>
      </c>
      <c r="E41" s="85"/>
      <c r="F41" s="98" t="s">
        <v>114</v>
      </c>
      <c r="G41" s="86" t="s">
        <v>66</v>
      </c>
      <c r="H41" s="86">
        <f t="shared" si="1"/>
        <v>4</v>
      </c>
      <c r="I41" s="86">
        <f>IF([1]项目总工作量!B$6="交易类",H41*1.5/22,IF([1]项目总工作量!B$6="数据分析类",H41*1.5*0.9/22,IF([1]项目总工作量!B$6="流程管理类",H41*1.5*0.8/22,IF([1]项目总工作量!B$6="渠道类",H41*1.5*0.7/22,FALSE))))</f>
        <v>0.27272727272727271</v>
      </c>
      <c r="J41" s="86" t="s">
        <v>44</v>
      </c>
    </row>
    <row r="42" spans="1:10" s="87" customFormat="1" ht="14" x14ac:dyDescent="0.15">
      <c r="A42" s="127"/>
      <c r="B42" s="127"/>
      <c r="C42" s="128"/>
      <c r="D42" s="154">
        <f t="shared" si="0"/>
        <v>0.27272727272727271</v>
      </c>
      <c r="E42" s="85"/>
      <c r="F42" s="98" t="s">
        <v>115</v>
      </c>
      <c r="G42" s="86" t="s">
        <v>66</v>
      </c>
      <c r="H42" s="86">
        <f t="shared" si="1"/>
        <v>4</v>
      </c>
      <c r="I42" s="86">
        <f>IF([1]项目总工作量!B$6="交易类",H42*1.5/22,IF([1]项目总工作量!B$6="数据分析类",H42*1.5*0.9/22,IF([1]项目总工作量!B$6="流程管理类",H42*1.5*0.8/22,IF([1]项目总工作量!B$6="渠道类",H42*1.5*0.7/22,FALSE))))</f>
        <v>0.27272727272727271</v>
      </c>
      <c r="J42" s="86" t="s">
        <v>44</v>
      </c>
    </row>
    <row r="43" spans="1:10" s="87" customFormat="1" ht="14" x14ac:dyDescent="0.15">
      <c r="A43" s="127"/>
      <c r="B43" s="127"/>
      <c r="C43" s="128"/>
      <c r="D43" s="154">
        <f t="shared" si="0"/>
        <v>0.27272727272727271</v>
      </c>
      <c r="E43" s="85"/>
      <c r="F43" s="98" t="s">
        <v>116</v>
      </c>
      <c r="G43" s="86" t="s">
        <v>66</v>
      </c>
      <c r="H43" s="86">
        <f t="shared" si="1"/>
        <v>4</v>
      </c>
      <c r="I43" s="86">
        <f>IF([1]项目总工作量!B$6="交易类",H43*1.5/22,IF([1]项目总工作量!B$6="数据分析类",H43*1.5*0.9/22,IF([1]项目总工作量!B$6="流程管理类",H43*1.5*0.8/22,IF([1]项目总工作量!B$6="渠道类",H43*1.5*0.7/22,FALSE))))</f>
        <v>0.27272727272727271</v>
      </c>
      <c r="J43" s="86" t="s">
        <v>44</v>
      </c>
    </row>
    <row r="44" spans="1:10" s="87" customFormat="1" ht="14" x14ac:dyDescent="0.15">
      <c r="A44" s="127"/>
      <c r="B44" s="127"/>
      <c r="C44" s="128"/>
      <c r="D44" s="154">
        <f t="shared" si="0"/>
        <v>0.27272727272727271</v>
      </c>
      <c r="E44" s="85"/>
      <c r="F44" s="98" t="s">
        <v>117</v>
      </c>
      <c r="G44" s="86" t="s">
        <v>66</v>
      </c>
      <c r="H44" s="86">
        <f t="shared" si="1"/>
        <v>4</v>
      </c>
      <c r="I44" s="86">
        <f>IF([1]项目总工作量!B$6="交易类",H44*1.5/22,IF([1]项目总工作量!B$6="数据分析类",H44*1.5*0.9/22,IF([1]项目总工作量!B$6="流程管理类",H44*1.5*0.8/22,IF([1]项目总工作量!B$6="渠道类",H44*1.5*0.7/22,FALSE))))</f>
        <v>0.27272727272727271</v>
      </c>
      <c r="J44" s="86" t="s">
        <v>44</v>
      </c>
    </row>
    <row r="45" spans="1:10" s="87" customFormat="1" ht="14" x14ac:dyDescent="0.15">
      <c r="A45" s="127"/>
      <c r="B45" s="127"/>
      <c r="C45" s="128"/>
      <c r="D45" s="154">
        <f t="shared" si="0"/>
        <v>0.27272727272727271</v>
      </c>
      <c r="E45" s="85"/>
      <c r="F45" s="98" t="s">
        <v>118</v>
      </c>
      <c r="G45" s="86" t="s">
        <v>66</v>
      </c>
      <c r="H45" s="86">
        <f t="shared" si="1"/>
        <v>4</v>
      </c>
      <c r="I45" s="86">
        <f>IF([1]项目总工作量!B$6="交易类",H45*1.5/22,IF([1]项目总工作量!B$6="数据分析类",H45*1.5*0.9/22,IF([1]项目总工作量!B$6="流程管理类",H45*1.5*0.8/22,IF([1]项目总工作量!B$6="渠道类",H45*1.5*0.7/22,FALSE))))</f>
        <v>0.27272727272727271</v>
      </c>
      <c r="J45" s="86" t="s">
        <v>44</v>
      </c>
    </row>
    <row r="46" spans="1:10" s="87" customFormat="1" ht="14" x14ac:dyDescent="0.15">
      <c r="A46" s="127"/>
      <c r="B46" s="127"/>
      <c r="C46" s="128"/>
      <c r="D46" s="154">
        <f t="shared" si="0"/>
        <v>0.27272727272727271</v>
      </c>
      <c r="E46" s="85"/>
      <c r="F46" s="98" t="s">
        <v>119</v>
      </c>
      <c r="G46" s="86" t="s">
        <v>66</v>
      </c>
      <c r="H46" s="86">
        <f t="shared" si="1"/>
        <v>4</v>
      </c>
      <c r="I46" s="86">
        <f>IF([1]项目总工作量!B$6="交易类",H46*1.5/22,IF([1]项目总工作量!B$6="数据分析类",H46*1.5*0.9/22,IF([1]项目总工作量!B$6="流程管理类",H46*1.5*0.8/22,IF([1]项目总工作量!B$6="渠道类",H46*1.5*0.7/22,FALSE))))</f>
        <v>0.27272727272727271</v>
      </c>
      <c r="J46" s="86" t="s">
        <v>44</v>
      </c>
    </row>
    <row r="47" spans="1:10" s="87" customFormat="1" ht="14" x14ac:dyDescent="0.15">
      <c r="A47" s="127"/>
      <c r="B47" s="127"/>
      <c r="C47" s="128"/>
      <c r="D47" s="154">
        <f t="shared" si="0"/>
        <v>0.27272727272727271</v>
      </c>
      <c r="E47" s="85"/>
      <c r="F47" s="98" t="s">
        <v>120</v>
      </c>
      <c r="G47" s="86" t="s">
        <v>66</v>
      </c>
      <c r="H47" s="86">
        <f t="shared" si="1"/>
        <v>4</v>
      </c>
      <c r="I47" s="86">
        <f>IF([1]项目总工作量!B$6="交易类",H47*1.5/22,IF([1]项目总工作量!B$6="数据分析类",H47*1.5*0.9/22,IF([1]项目总工作量!B$6="流程管理类",H47*1.5*0.8/22,IF([1]项目总工作量!B$6="渠道类",H47*1.5*0.7/22,FALSE))))</f>
        <v>0.27272727272727271</v>
      </c>
      <c r="J47" s="86" t="s">
        <v>44</v>
      </c>
    </row>
    <row r="48" spans="1:10" s="87" customFormat="1" ht="14" x14ac:dyDescent="0.15">
      <c r="A48" s="127"/>
      <c r="B48" s="127"/>
      <c r="C48" s="128"/>
      <c r="D48" s="154">
        <f t="shared" si="0"/>
        <v>0.27272727272727271</v>
      </c>
      <c r="E48" s="85"/>
      <c r="F48" s="98" t="s">
        <v>121</v>
      </c>
      <c r="G48" s="86" t="s">
        <v>66</v>
      </c>
      <c r="H48" s="86">
        <f t="shared" si="1"/>
        <v>4</v>
      </c>
      <c r="I48" s="86">
        <f>IF([1]项目总工作量!B$6="交易类",H48*1.5/22,IF([1]项目总工作量!B$6="数据分析类",H48*1.5*0.9/22,IF([1]项目总工作量!B$6="流程管理类",H48*1.5*0.8/22,IF([1]项目总工作量!B$6="渠道类",H48*1.5*0.7/22,FALSE))))</f>
        <v>0.27272727272727271</v>
      </c>
      <c r="J48" s="86" t="s">
        <v>44</v>
      </c>
    </row>
    <row r="49" spans="1:10" s="87" customFormat="1" ht="14" x14ac:dyDescent="0.15">
      <c r="A49" s="127"/>
      <c r="B49" s="127"/>
      <c r="C49" s="128"/>
      <c r="D49" s="154">
        <f t="shared" si="0"/>
        <v>0.27272727272727271</v>
      </c>
      <c r="E49" s="85"/>
      <c r="F49" s="98" t="s">
        <v>122</v>
      </c>
      <c r="G49" s="86" t="s">
        <v>66</v>
      </c>
      <c r="H49" s="86">
        <f t="shared" si="1"/>
        <v>4</v>
      </c>
      <c r="I49" s="86">
        <f>IF([1]项目总工作量!B$6="交易类",H49*1.5/22,IF([1]项目总工作量!B$6="数据分析类",H49*1.5*0.9/22,IF([1]项目总工作量!B$6="流程管理类",H49*1.5*0.8/22,IF([1]项目总工作量!B$6="渠道类",H49*1.5*0.7/22,FALSE))))</f>
        <v>0.27272727272727271</v>
      </c>
      <c r="J49" s="86" t="s">
        <v>44</v>
      </c>
    </row>
    <row r="50" spans="1:10" s="87" customFormat="1" ht="14" x14ac:dyDescent="0.15">
      <c r="A50" s="127"/>
      <c r="B50" s="127"/>
      <c r="C50" s="128"/>
      <c r="D50" s="154">
        <f t="shared" si="0"/>
        <v>0.27272727272727271</v>
      </c>
      <c r="E50" s="85"/>
      <c r="F50" s="98" t="s">
        <v>123</v>
      </c>
      <c r="G50" s="86" t="s">
        <v>66</v>
      </c>
      <c r="H50" s="86">
        <f t="shared" si="1"/>
        <v>4</v>
      </c>
      <c r="I50" s="86">
        <f>IF([1]项目总工作量!B$6="交易类",H50*1.5/22,IF([1]项目总工作量!B$6="数据分析类",H50*1.5*0.9/22,IF([1]项目总工作量!B$6="流程管理类",H50*1.5*0.8/22,IF([1]项目总工作量!B$6="渠道类",H50*1.5*0.7/22,FALSE))))</f>
        <v>0.27272727272727271</v>
      </c>
      <c r="J50" s="86" t="s">
        <v>44</v>
      </c>
    </row>
    <row r="51" spans="1:10" s="87" customFormat="1" ht="14" x14ac:dyDescent="0.15">
      <c r="A51" s="127"/>
      <c r="B51" s="127"/>
      <c r="C51" s="128"/>
      <c r="D51" s="154">
        <f t="shared" si="0"/>
        <v>0.27272727272727271</v>
      </c>
      <c r="E51" s="85"/>
      <c r="F51" s="98" t="s">
        <v>124</v>
      </c>
      <c r="G51" s="86" t="s">
        <v>66</v>
      </c>
      <c r="H51" s="86">
        <f t="shared" si="1"/>
        <v>4</v>
      </c>
      <c r="I51" s="86">
        <f>IF([1]项目总工作量!B$6="交易类",H51*1.5/22,IF([1]项目总工作量!B$6="数据分析类",H51*1.5*0.9/22,IF([1]项目总工作量!B$6="流程管理类",H51*1.5*0.8/22,IF([1]项目总工作量!B$6="渠道类",H51*1.5*0.7/22,FALSE))))</f>
        <v>0.27272727272727271</v>
      </c>
      <c r="J51" s="86" t="s">
        <v>44</v>
      </c>
    </row>
    <row r="52" spans="1:10" s="87" customFormat="1" ht="14" x14ac:dyDescent="0.15">
      <c r="A52" s="127"/>
      <c r="B52" s="127"/>
      <c r="C52" s="128"/>
      <c r="D52" s="154">
        <f t="shared" si="0"/>
        <v>0.27272727272727271</v>
      </c>
      <c r="E52" s="85"/>
      <c r="F52" s="98" t="s">
        <v>125</v>
      </c>
      <c r="G52" s="86" t="s">
        <v>66</v>
      </c>
      <c r="H52" s="86">
        <f t="shared" si="1"/>
        <v>4</v>
      </c>
      <c r="I52" s="86">
        <f>IF([1]项目总工作量!B$6="交易类",H52*1.5/22,IF([1]项目总工作量!B$6="数据分析类",H52*1.5*0.9/22,IF([1]项目总工作量!B$6="流程管理类",H52*1.5*0.8/22,IF([1]项目总工作量!B$6="渠道类",H52*1.5*0.7/22,FALSE))))</f>
        <v>0.27272727272727271</v>
      </c>
      <c r="J52" s="86" t="s">
        <v>44</v>
      </c>
    </row>
    <row r="53" spans="1:10" s="87" customFormat="1" ht="14" x14ac:dyDescent="0.15">
      <c r="A53" s="127"/>
      <c r="B53" s="127"/>
      <c r="C53" s="128"/>
      <c r="D53" s="154">
        <f t="shared" si="0"/>
        <v>0.27272727272727271</v>
      </c>
      <c r="E53" s="85"/>
      <c r="F53" s="98" t="s">
        <v>548</v>
      </c>
      <c r="G53" s="86" t="s">
        <v>66</v>
      </c>
      <c r="H53" s="86">
        <f t="shared" si="1"/>
        <v>4</v>
      </c>
      <c r="I53" s="86">
        <f>IF([1]项目总工作量!B$6="交易类",H53*1.5/22,IF([1]项目总工作量!B$6="数据分析类",H53*1.5*0.9/22,IF([1]项目总工作量!B$6="流程管理类",H53*1.5*0.8/22,IF([1]项目总工作量!B$6="渠道类",H53*1.5*0.7/22,FALSE))))</f>
        <v>0.27272727272727271</v>
      </c>
      <c r="J53" s="86" t="s">
        <v>44</v>
      </c>
    </row>
    <row r="54" spans="1:10" s="87" customFormat="1" ht="14" x14ac:dyDescent="0.15">
      <c r="A54" s="127"/>
      <c r="B54" s="127"/>
      <c r="C54" s="128"/>
      <c r="D54" s="154">
        <f t="shared" si="0"/>
        <v>0.27272727272727271</v>
      </c>
      <c r="E54" s="85"/>
      <c r="F54" s="98" t="s">
        <v>126</v>
      </c>
      <c r="G54" s="86" t="s">
        <v>66</v>
      </c>
      <c r="H54" s="86">
        <f t="shared" si="1"/>
        <v>4</v>
      </c>
      <c r="I54" s="86">
        <f>IF([1]项目总工作量!B$6="交易类",H54*1.5/22,IF([1]项目总工作量!B$6="数据分析类",H54*1.5*0.9/22,IF([1]项目总工作量!B$6="流程管理类",H54*1.5*0.8/22,IF([1]项目总工作量!B$6="渠道类",H54*1.5*0.7/22,FALSE))))</f>
        <v>0.27272727272727271</v>
      </c>
      <c r="J54" s="86" t="s">
        <v>44</v>
      </c>
    </row>
    <row r="55" spans="1:10" s="87" customFormat="1" ht="14" x14ac:dyDescent="0.15">
      <c r="A55" s="127"/>
      <c r="B55" s="127"/>
      <c r="C55" s="128"/>
      <c r="D55" s="154">
        <f t="shared" si="0"/>
        <v>0.27272727272727271</v>
      </c>
      <c r="E55" s="85"/>
      <c r="F55" s="98" t="s">
        <v>127</v>
      </c>
      <c r="G55" s="86" t="s">
        <v>66</v>
      </c>
      <c r="H55" s="86">
        <f t="shared" si="1"/>
        <v>4</v>
      </c>
      <c r="I55" s="86">
        <f>IF([1]项目总工作量!B$6="交易类",H55*1.5/22,IF([1]项目总工作量!B$6="数据分析类",H55*1.5*0.9/22,IF([1]项目总工作量!B$6="流程管理类",H55*1.5*0.8/22,IF([1]项目总工作量!B$6="渠道类",H55*1.5*0.7/22,FALSE))))</f>
        <v>0.27272727272727271</v>
      </c>
      <c r="J55" s="86" t="s">
        <v>44</v>
      </c>
    </row>
    <row r="56" spans="1:10" s="87" customFormat="1" ht="14" x14ac:dyDescent="0.15">
      <c r="A56" s="127"/>
      <c r="B56" s="127"/>
      <c r="C56" s="128"/>
      <c r="D56" s="154">
        <f t="shared" si="0"/>
        <v>0.27272727272727271</v>
      </c>
      <c r="E56" s="85"/>
      <c r="F56" s="98" t="s">
        <v>128</v>
      </c>
      <c r="G56" s="86" t="s">
        <v>66</v>
      </c>
      <c r="H56" s="86">
        <f t="shared" si="1"/>
        <v>4</v>
      </c>
      <c r="I56" s="86">
        <f>IF([1]项目总工作量!B$6="交易类",H56*1.5/22,IF([1]项目总工作量!B$6="数据分析类",H56*1.5*0.9/22,IF([1]项目总工作量!B$6="流程管理类",H56*1.5*0.8/22,IF([1]项目总工作量!B$6="渠道类",H56*1.5*0.7/22,FALSE))))</f>
        <v>0.27272727272727271</v>
      </c>
      <c r="J56" s="86" t="s">
        <v>44</v>
      </c>
    </row>
    <row r="57" spans="1:10" s="87" customFormat="1" ht="14" x14ac:dyDescent="0.15">
      <c r="A57" s="127"/>
      <c r="B57" s="127"/>
      <c r="C57" s="128"/>
      <c r="D57" s="154">
        <f t="shared" si="0"/>
        <v>0.27272727272727271</v>
      </c>
      <c r="E57" s="85"/>
      <c r="F57" s="98" t="s">
        <v>129</v>
      </c>
      <c r="G57" s="86" t="s">
        <v>66</v>
      </c>
      <c r="H57" s="86">
        <f t="shared" si="1"/>
        <v>4</v>
      </c>
      <c r="I57" s="86">
        <f>IF([1]项目总工作量!B$6="交易类",H57*1.5/22,IF([1]项目总工作量!B$6="数据分析类",H57*1.5*0.9/22,IF([1]项目总工作量!B$6="流程管理类",H57*1.5*0.8/22,IF([1]项目总工作量!B$6="渠道类",H57*1.5*0.7/22,FALSE))))</f>
        <v>0.27272727272727271</v>
      </c>
      <c r="J57" s="86" t="s">
        <v>44</v>
      </c>
    </row>
    <row r="58" spans="1:10" s="87" customFormat="1" ht="14" x14ac:dyDescent="0.15">
      <c r="A58" s="127"/>
      <c r="B58" s="127"/>
      <c r="C58" s="128"/>
      <c r="D58" s="154">
        <f t="shared" si="0"/>
        <v>0.27272727272727271</v>
      </c>
      <c r="E58" s="85"/>
      <c r="F58" s="98" t="s">
        <v>549</v>
      </c>
      <c r="G58" s="86" t="s">
        <v>66</v>
      </c>
      <c r="H58" s="86">
        <f t="shared" si="1"/>
        <v>4</v>
      </c>
      <c r="I58" s="86">
        <f>IF([1]项目总工作量!B$6="交易类",H58*1.5/22,IF([1]项目总工作量!B$6="数据分析类",H58*1.5*0.9/22,IF([1]项目总工作量!B$6="流程管理类",H58*1.5*0.8/22,IF([1]项目总工作量!B$6="渠道类",H58*1.5*0.7/22,FALSE))))</f>
        <v>0.27272727272727271</v>
      </c>
      <c r="J58" s="86" t="s">
        <v>44</v>
      </c>
    </row>
    <row r="59" spans="1:10" s="87" customFormat="1" ht="14" x14ac:dyDescent="0.15">
      <c r="A59" s="127"/>
      <c r="B59" s="127"/>
      <c r="C59" s="128"/>
      <c r="D59" s="154">
        <f t="shared" si="0"/>
        <v>0.27272727272727271</v>
      </c>
      <c r="E59" s="85"/>
      <c r="F59" s="98" t="s">
        <v>130</v>
      </c>
      <c r="G59" s="86" t="s">
        <v>66</v>
      </c>
      <c r="H59" s="86">
        <f t="shared" si="1"/>
        <v>4</v>
      </c>
      <c r="I59" s="86">
        <f>IF([1]项目总工作量!B$6="交易类",H59*1.5/22,IF([1]项目总工作量!B$6="数据分析类",H59*1.5*0.9/22,IF([1]项目总工作量!B$6="流程管理类",H59*1.5*0.8/22,IF([1]项目总工作量!B$6="渠道类",H59*1.5*0.7/22,FALSE))))</f>
        <v>0.27272727272727271</v>
      </c>
      <c r="J59" s="86" t="s">
        <v>44</v>
      </c>
    </row>
    <row r="60" spans="1:10" s="87" customFormat="1" ht="14" x14ac:dyDescent="0.15">
      <c r="A60" s="127"/>
      <c r="B60" s="127"/>
      <c r="C60" s="128"/>
      <c r="D60" s="154">
        <f t="shared" si="0"/>
        <v>0.27272727272727271</v>
      </c>
      <c r="E60" s="85"/>
      <c r="F60" s="98" t="s">
        <v>131</v>
      </c>
      <c r="G60" s="86" t="s">
        <v>66</v>
      </c>
      <c r="H60" s="86">
        <f t="shared" si="1"/>
        <v>4</v>
      </c>
      <c r="I60" s="86">
        <f>IF([1]项目总工作量!B$6="交易类",H60*1.5/22,IF([1]项目总工作量!B$6="数据分析类",H60*1.5*0.9/22,IF([1]项目总工作量!B$6="流程管理类",H60*1.5*0.8/22,IF([1]项目总工作量!B$6="渠道类",H60*1.5*0.7/22,FALSE))))</f>
        <v>0.27272727272727271</v>
      </c>
      <c r="J60" s="86" t="s">
        <v>44</v>
      </c>
    </row>
    <row r="61" spans="1:10" s="87" customFormat="1" ht="14" x14ac:dyDescent="0.15">
      <c r="A61" s="127"/>
      <c r="B61" s="127"/>
      <c r="C61" s="128"/>
      <c r="D61" s="154">
        <f t="shared" si="0"/>
        <v>0.27272727272727271</v>
      </c>
      <c r="E61" s="85"/>
      <c r="F61" s="98" t="s">
        <v>132</v>
      </c>
      <c r="G61" s="86" t="s">
        <v>66</v>
      </c>
      <c r="H61" s="86">
        <f t="shared" si="1"/>
        <v>4</v>
      </c>
      <c r="I61" s="86">
        <f>IF([1]项目总工作量!B$6="交易类",H61*1.5/22,IF([1]项目总工作量!B$6="数据分析类",H61*1.5*0.9/22,IF([1]项目总工作量!B$6="流程管理类",H61*1.5*0.8/22,IF([1]项目总工作量!B$6="渠道类",H61*1.5*0.7/22,FALSE))))</f>
        <v>0.27272727272727271</v>
      </c>
      <c r="J61" s="86" t="s">
        <v>44</v>
      </c>
    </row>
    <row r="62" spans="1:10" s="87" customFormat="1" ht="14" x14ac:dyDescent="0.15">
      <c r="A62" s="127"/>
      <c r="B62" s="127"/>
      <c r="C62" s="128"/>
      <c r="D62" s="154">
        <f t="shared" si="0"/>
        <v>0.27272727272727271</v>
      </c>
      <c r="E62" s="85"/>
      <c r="F62" s="98" t="s">
        <v>133</v>
      </c>
      <c r="G62" s="86" t="s">
        <v>66</v>
      </c>
      <c r="H62" s="86">
        <f t="shared" si="1"/>
        <v>4</v>
      </c>
      <c r="I62" s="86">
        <f>IF([1]项目总工作量!B$6="交易类",H62*1.5/22,IF([1]项目总工作量!B$6="数据分析类",H62*1.5*0.9/22,IF([1]项目总工作量!B$6="流程管理类",H62*1.5*0.8/22,IF([1]项目总工作量!B$6="渠道类",H62*1.5*0.7/22,FALSE))))</f>
        <v>0.27272727272727271</v>
      </c>
      <c r="J62" s="86" t="s">
        <v>44</v>
      </c>
    </row>
    <row r="63" spans="1:10" s="87" customFormat="1" ht="14" x14ac:dyDescent="0.15">
      <c r="A63" s="127"/>
      <c r="B63" s="127"/>
      <c r="C63" s="128"/>
      <c r="D63" s="154">
        <f t="shared" si="0"/>
        <v>0.27272727272727271</v>
      </c>
      <c r="E63" s="85"/>
      <c r="F63" s="98" t="s">
        <v>550</v>
      </c>
      <c r="G63" s="86" t="s">
        <v>66</v>
      </c>
      <c r="H63" s="86">
        <f t="shared" si="1"/>
        <v>4</v>
      </c>
      <c r="I63" s="86">
        <f>IF([1]项目总工作量!B$6="交易类",H63*1.5/22,IF([1]项目总工作量!B$6="数据分析类",H63*1.5*0.9/22,IF([1]项目总工作量!B$6="流程管理类",H63*1.5*0.8/22,IF([1]项目总工作量!B$6="渠道类",H63*1.5*0.7/22,FALSE))))</f>
        <v>0.27272727272727271</v>
      </c>
      <c r="J63" s="86" t="s">
        <v>44</v>
      </c>
    </row>
    <row r="64" spans="1:10" s="87" customFormat="1" ht="14" x14ac:dyDescent="0.15">
      <c r="A64" s="127"/>
      <c r="B64" s="127"/>
      <c r="C64" s="128"/>
      <c r="D64" s="154">
        <f t="shared" si="0"/>
        <v>0.27272727272727271</v>
      </c>
      <c r="E64" s="85"/>
      <c r="F64" s="98" t="s">
        <v>551</v>
      </c>
      <c r="G64" s="86" t="s">
        <v>66</v>
      </c>
      <c r="H64" s="86">
        <f t="shared" si="1"/>
        <v>4</v>
      </c>
      <c r="I64" s="86">
        <f>IF([1]项目总工作量!B$6="交易类",H64*1.5/22,IF([1]项目总工作量!B$6="数据分析类",H64*1.5*0.9/22,IF([1]项目总工作量!B$6="流程管理类",H64*1.5*0.8/22,IF([1]项目总工作量!B$6="渠道类",H64*1.5*0.7/22,FALSE))))</f>
        <v>0.27272727272727271</v>
      </c>
      <c r="J64" s="86" t="s">
        <v>44</v>
      </c>
    </row>
    <row r="65" spans="1:10" s="87" customFormat="1" ht="14" x14ac:dyDescent="0.15">
      <c r="A65" s="127"/>
      <c r="B65" s="127"/>
      <c r="C65" s="128"/>
      <c r="D65" s="154">
        <f t="shared" si="0"/>
        <v>0.27272727272727271</v>
      </c>
      <c r="E65" s="85"/>
      <c r="F65" s="98" t="s">
        <v>134</v>
      </c>
      <c r="G65" s="86" t="s">
        <v>66</v>
      </c>
      <c r="H65" s="86">
        <f t="shared" si="1"/>
        <v>4</v>
      </c>
      <c r="I65" s="86">
        <f>IF([1]项目总工作量!B$6="交易类",H65*1.5/22,IF([1]项目总工作量!B$6="数据分析类",H65*1.5*0.9/22,IF([1]项目总工作量!B$6="流程管理类",H65*1.5*0.8/22,IF([1]项目总工作量!B$6="渠道类",H65*1.5*0.7/22,FALSE))))</f>
        <v>0.27272727272727271</v>
      </c>
      <c r="J65" s="86" t="s">
        <v>44</v>
      </c>
    </row>
    <row r="66" spans="1:10" s="87" customFormat="1" ht="14" x14ac:dyDescent="0.15">
      <c r="A66" s="127"/>
      <c r="B66" s="127"/>
      <c r="C66" s="128"/>
      <c r="D66" s="154">
        <f t="shared" si="0"/>
        <v>0.27272727272727271</v>
      </c>
      <c r="E66" s="85"/>
      <c r="F66" s="98" t="s">
        <v>135</v>
      </c>
      <c r="G66" s="86" t="s">
        <v>66</v>
      </c>
      <c r="H66" s="86">
        <f t="shared" si="1"/>
        <v>4</v>
      </c>
      <c r="I66" s="86">
        <f>IF([1]项目总工作量!B$6="交易类",H66*1.5/22,IF([1]项目总工作量!B$6="数据分析类",H66*1.5*0.9/22,IF([1]项目总工作量!B$6="流程管理类",H66*1.5*0.8/22,IF([1]项目总工作量!B$6="渠道类",H66*1.5*0.7/22,FALSE))))</f>
        <v>0.27272727272727271</v>
      </c>
      <c r="J66" s="86" t="s">
        <v>44</v>
      </c>
    </row>
    <row r="67" spans="1:10" s="87" customFormat="1" ht="14" x14ac:dyDescent="0.15">
      <c r="A67" s="127"/>
      <c r="B67" s="127"/>
      <c r="C67" s="128"/>
      <c r="D67" s="154">
        <f t="shared" si="0"/>
        <v>0.27272727272727271</v>
      </c>
      <c r="E67" s="85"/>
      <c r="F67" s="98" t="s">
        <v>552</v>
      </c>
      <c r="G67" s="86" t="s">
        <v>66</v>
      </c>
      <c r="H67" s="86">
        <f t="shared" si="1"/>
        <v>4</v>
      </c>
      <c r="I67" s="86">
        <f>IF([1]项目总工作量!B$6="交易类",H67*1.5/22,IF([1]项目总工作量!B$6="数据分析类",H67*1.5*0.9/22,IF([1]项目总工作量!B$6="流程管理类",H67*1.5*0.8/22,IF([1]项目总工作量!B$6="渠道类",H67*1.5*0.7/22,FALSE))))</f>
        <v>0.27272727272727271</v>
      </c>
      <c r="J67" s="86" t="s">
        <v>44</v>
      </c>
    </row>
    <row r="68" spans="1:10" s="87" customFormat="1" ht="14" x14ac:dyDescent="0.15">
      <c r="A68" s="127"/>
      <c r="B68" s="127"/>
      <c r="C68" s="128"/>
      <c r="D68" s="154">
        <f t="shared" ref="D68:D131" si="2">I68</f>
        <v>0.27272727272727271</v>
      </c>
      <c r="E68" s="85"/>
      <c r="F68" s="98" t="s">
        <v>136</v>
      </c>
      <c r="G68" s="86" t="s">
        <v>66</v>
      </c>
      <c r="H68" s="86">
        <f t="shared" ref="H68:H131" si="3">IF(G68="EI",4,IF(G68="EO",5,IF(G68="EQ",4,0)))</f>
        <v>4</v>
      </c>
      <c r="I68" s="86">
        <f>IF([1]项目总工作量!B$6="交易类",H68*1.5/22,IF([1]项目总工作量!B$6="数据分析类",H68*1.5*0.9/22,IF([1]项目总工作量!B$6="流程管理类",H68*1.5*0.8/22,IF([1]项目总工作量!B$6="渠道类",H68*1.5*0.7/22,FALSE))))</f>
        <v>0.27272727272727271</v>
      </c>
      <c r="J68" s="86" t="s">
        <v>44</v>
      </c>
    </row>
    <row r="69" spans="1:10" s="87" customFormat="1" ht="14" x14ac:dyDescent="0.15">
      <c r="A69" s="127"/>
      <c r="B69" s="127"/>
      <c r="C69" s="128"/>
      <c r="D69" s="154">
        <f t="shared" si="2"/>
        <v>0.27272727272727271</v>
      </c>
      <c r="E69" s="85"/>
      <c r="F69" s="98" t="s">
        <v>137</v>
      </c>
      <c r="G69" s="86" t="s">
        <v>66</v>
      </c>
      <c r="H69" s="86">
        <f t="shared" si="3"/>
        <v>4</v>
      </c>
      <c r="I69" s="86">
        <f>IF([1]项目总工作量!B$6="交易类",H69*1.5/22,IF([1]项目总工作量!B$6="数据分析类",H69*1.5*0.9/22,IF([1]项目总工作量!B$6="流程管理类",H69*1.5*0.8/22,IF([1]项目总工作量!B$6="渠道类",H69*1.5*0.7/22,FALSE))))</f>
        <v>0.27272727272727271</v>
      </c>
      <c r="J69" s="86" t="s">
        <v>44</v>
      </c>
    </row>
    <row r="70" spans="1:10" s="87" customFormat="1" ht="14" x14ac:dyDescent="0.15">
      <c r="A70" s="127"/>
      <c r="B70" s="127"/>
      <c r="C70" s="128"/>
      <c r="D70" s="154">
        <f t="shared" si="2"/>
        <v>0.27272727272727271</v>
      </c>
      <c r="E70" s="85"/>
      <c r="F70" s="98" t="s">
        <v>138</v>
      </c>
      <c r="G70" s="86" t="s">
        <v>66</v>
      </c>
      <c r="H70" s="86">
        <f t="shared" si="3"/>
        <v>4</v>
      </c>
      <c r="I70" s="86">
        <f>IF([1]项目总工作量!B$6="交易类",H70*1.5/22,IF([1]项目总工作量!B$6="数据分析类",H70*1.5*0.9/22,IF([1]项目总工作量!B$6="流程管理类",H70*1.5*0.8/22,IF([1]项目总工作量!B$6="渠道类",H70*1.5*0.7/22,FALSE))))</f>
        <v>0.27272727272727271</v>
      </c>
      <c r="J70" s="86" t="s">
        <v>44</v>
      </c>
    </row>
    <row r="71" spans="1:10" s="87" customFormat="1" ht="14" x14ac:dyDescent="0.15">
      <c r="A71" s="127"/>
      <c r="B71" s="127"/>
      <c r="C71" s="128"/>
      <c r="D71" s="154">
        <f t="shared" si="2"/>
        <v>0.27272727272727271</v>
      </c>
      <c r="E71" s="85"/>
      <c r="F71" s="98" t="s">
        <v>139</v>
      </c>
      <c r="G71" s="86" t="s">
        <v>66</v>
      </c>
      <c r="H71" s="86">
        <f t="shared" si="3"/>
        <v>4</v>
      </c>
      <c r="I71" s="86">
        <f>IF([1]项目总工作量!B$6="交易类",H71*1.5/22,IF([1]项目总工作量!B$6="数据分析类",H71*1.5*0.9/22,IF([1]项目总工作量!B$6="流程管理类",H71*1.5*0.8/22,IF([1]项目总工作量!B$6="渠道类",H71*1.5*0.7/22,FALSE))))</f>
        <v>0.27272727272727271</v>
      </c>
      <c r="J71" s="86" t="s">
        <v>44</v>
      </c>
    </row>
    <row r="72" spans="1:10" s="87" customFormat="1" ht="14" x14ac:dyDescent="0.15">
      <c r="A72" s="127"/>
      <c r="B72" s="127"/>
      <c r="C72" s="128"/>
      <c r="D72" s="154">
        <f t="shared" si="2"/>
        <v>0.27272727272727271</v>
      </c>
      <c r="E72" s="85"/>
      <c r="F72" s="98" t="s">
        <v>553</v>
      </c>
      <c r="G72" s="86" t="s">
        <v>66</v>
      </c>
      <c r="H72" s="86">
        <f t="shared" si="3"/>
        <v>4</v>
      </c>
      <c r="I72" s="86">
        <f>IF([1]项目总工作量!B$6="交易类",H72*1.5/22,IF([1]项目总工作量!B$6="数据分析类",H72*1.5*0.9/22,IF([1]项目总工作量!B$6="流程管理类",H72*1.5*0.8/22,IF([1]项目总工作量!B$6="渠道类",H72*1.5*0.7/22,FALSE))))</f>
        <v>0.27272727272727271</v>
      </c>
      <c r="J72" s="86" t="s">
        <v>44</v>
      </c>
    </row>
    <row r="73" spans="1:10" s="87" customFormat="1" ht="14" x14ac:dyDescent="0.15">
      <c r="A73" s="127"/>
      <c r="B73" s="127"/>
      <c r="C73" s="128"/>
      <c r="D73" s="154">
        <f t="shared" si="2"/>
        <v>0.27272727272727271</v>
      </c>
      <c r="E73" s="85"/>
      <c r="F73" s="98" t="s">
        <v>554</v>
      </c>
      <c r="G73" s="86" t="s">
        <v>66</v>
      </c>
      <c r="H73" s="86">
        <f t="shared" si="3"/>
        <v>4</v>
      </c>
      <c r="I73" s="86">
        <f>IF([1]项目总工作量!B$6="交易类",H73*1.5/22,IF([1]项目总工作量!B$6="数据分析类",H73*1.5*0.9/22,IF([1]项目总工作量!B$6="流程管理类",H73*1.5*0.8/22,IF([1]项目总工作量!B$6="渠道类",H73*1.5*0.7/22,FALSE))))</f>
        <v>0.27272727272727271</v>
      </c>
      <c r="J73" s="86" t="s">
        <v>44</v>
      </c>
    </row>
    <row r="74" spans="1:10" s="87" customFormat="1" ht="14" x14ac:dyDescent="0.15">
      <c r="A74" s="127"/>
      <c r="B74" s="127"/>
      <c r="C74" s="128"/>
      <c r="D74" s="154">
        <f t="shared" si="2"/>
        <v>0.27272727272727271</v>
      </c>
      <c r="E74" s="85"/>
      <c r="F74" s="150" t="s">
        <v>555</v>
      </c>
      <c r="G74" s="86" t="s">
        <v>66</v>
      </c>
      <c r="H74" s="86">
        <f t="shared" si="3"/>
        <v>4</v>
      </c>
      <c r="I74" s="86">
        <f>IF([1]项目总工作量!B$6="交易类",H74*1.5/22,IF([1]项目总工作量!B$6="数据分析类",H74*1.5*0.9/22,IF([1]项目总工作量!B$6="流程管理类",H74*1.5*0.8/22,IF([1]项目总工作量!B$6="渠道类",H74*1.5*0.7/22,FALSE))))</f>
        <v>0.27272727272727271</v>
      </c>
      <c r="J74" s="86" t="s">
        <v>44</v>
      </c>
    </row>
    <row r="75" spans="1:10" s="87" customFormat="1" ht="14" x14ac:dyDescent="0.15">
      <c r="A75" s="127"/>
      <c r="B75" s="127"/>
      <c r="C75" s="128"/>
      <c r="D75" s="154">
        <f t="shared" si="2"/>
        <v>0.27272727272727271</v>
      </c>
      <c r="E75" s="85"/>
      <c r="F75" s="150" t="s">
        <v>556</v>
      </c>
      <c r="G75" s="86" t="s">
        <v>66</v>
      </c>
      <c r="H75" s="86">
        <f t="shared" si="3"/>
        <v>4</v>
      </c>
      <c r="I75" s="86">
        <f>IF([1]项目总工作量!B$6="交易类",H75*1.5/22,IF([1]项目总工作量!B$6="数据分析类",H75*1.5*0.9/22,IF([1]项目总工作量!B$6="流程管理类",H75*1.5*0.8/22,IF([1]项目总工作量!B$6="渠道类",H75*1.5*0.7/22,FALSE))))</f>
        <v>0.27272727272727271</v>
      </c>
      <c r="J75" s="86" t="s">
        <v>44</v>
      </c>
    </row>
    <row r="76" spans="1:10" s="87" customFormat="1" ht="14" x14ac:dyDescent="0.15">
      <c r="A76" s="127"/>
      <c r="B76" s="127"/>
      <c r="C76" s="128"/>
      <c r="D76" s="154">
        <f t="shared" si="2"/>
        <v>0.27272727272727271</v>
      </c>
      <c r="E76" s="85"/>
      <c r="F76" s="150" t="s">
        <v>557</v>
      </c>
      <c r="G76" s="86" t="s">
        <v>66</v>
      </c>
      <c r="H76" s="86">
        <f t="shared" si="3"/>
        <v>4</v>
      </c>
      <c r="I76" s="86">
        <f>IF([1]项目总工作量!B$6="交易类",H76*1.5/22,IF([1]项目总工作量!B$6="数据分析类",H76*1.5*0.9/22,IF([1]项目总工作量!B$6="流程管理类",H76*1.5*0.8/22,IF([1]项目总工作量!B$6="渠道类",H76*1.5*0.7/22,FALSE))))</f>
        <v>0.27272727272727271</v>
      </c>
      <c r="J76" s="86" t="s">
        <v>44</v>
      </c>
    </row>
    <row r="77" spans="1:10" s="87" customFormat="1" ht="14" x14ac:dyDescent="0.15">
      <c r="A77" s="127"/>
      <c r="B77" s="127"/>
      <c r="C77" s="128"/>
      <c r="D77" s="154">
        <f t="shared" si="2"/>
        <v>0.27272727272727271</v>
      </c>
      <c r="E77" s="85"/>
      <c r="F77" s="98" t="s">
        <v>140</v>
      </c>
      <c r="G77" s="86" t="s">
        <v>66</v>
      </c>
      <c r="H77" s="86">
        <f t="shared" si="3"/>
        <v>4</v>
      </c>
      <c r="I77" s="86">
        <f>IF([1]项目总工作量!B$6="交易类",H77*1.5/22,IF([1]项目总工作量!B$6="数据分析类",H77*1.5*0.9/22,IF([1]项目总工作量!B$6="流程管理类",H77*1.5*0.8/22,IF([1]项目总工作量!B$6="渠道类",H77*1.5*0.7/22,FALSE))))</f>
        <v>0.27272727272727271</v>
      </c>
      <c r="J77" s="86" t="s">
        <v>44</v>
      </c>
    </row>
    <row r="78" spans="1:10" s="87" customFormat="1" ht="14" x14ac:dyDescent="0.15">
      <c r="A78" s="127"/>
      <c r="B78" s="127"/>
      <c r="C78" s="119" t="s">
        <v>418</v>
      </c>
      <c r="D78" s="154">
        <f t="shared" si="2"/>
        <v>0.27272727272727271</v>
      </c>
      <c r="E78" s="85"/>
      <c r="F78" s="98" t="s">
        <v>141</v>
      </c>
      <c r="G78" s="86" t="s">
        <v>66</v>
      </c>
      <c r="H78" s="86">
        <f t="shared" si="3"/>
        <v>4</v>
      </c>
      <c r="I78" s="86">
        <f>IF([1]项目总工作量!B$6="交易类",H78*1.5/22,IF([1]项目总工作量!B$6="数据分析类",H78*1.5*0.9/22,IF([1]项目总工作量!B$6="流程管理类",H78*1.5*0.8/22,IF([1]项目总工作量!B$6="渠道类",H78*1.5*0.7/22,FALSE))))</f>
        <v>0.27272727272727271</v>
      </c>
      <c r="J78" s="86" t="s">
        <v>44</v>
      </c>
    </row>
    <row r="79" spans="1:10" s="87" customFormat="1" ht="14" x14ac:dyDescent="0.15">
      <c r="A79" s="127"/>
      <c r="B79" s="127"/>
      <c r="C79" s="119"/>
      <c r="D79" s="154">
        <f t="shared" si="2"/>
        <v>0.27272727272727271</v>
      </c>
      <c r="E79" s="85"/>
      <c r="F79" s="98" t="s">
        <v>142</v>
      </c>
      <c r="G79" s="86" t="s">
        <v>66</v>
      </c>
      <c r="H79" s="86">
        <f t="shared" si="3"/>
        <v>4</v>
      </c>
      <c r="I79" s="86">
        <f>IF([1]项目总工作量!B$6="交易类",H79*1.5/22,IF([1]项目总工作量!B$6="数据分析类",H79*1.5*0.9/22,IF([1]项目总工作量!B$6="流程管理类",H79*1.5*0.8/22,IF([1]项目总工作量!B$6="渠道类",H79*1.5*0.7/22,FALSE))))</f>
        <v>0.27272727272727271</v>
      </c>
      <c r="J79" s="86" t="s">
        <v>44</v>
      </c>
    </row>
    <row r="80" spans="1:10" s="87" customFormat="1" ht="14" x14ac:dyDescent="0.15">
      <c r="A80" s="127"/>
      <c r="B80" s="127"/>
      <c r="C80" s="119"/>
      <c r="D80" s="154">
        <f t="shared" si="2"/>
        <v>0.27272727272727271</v>
      </c>
      <c r="E80" s="85"/>
      <c r="F80" s="98" t="s">
        <v>558</v>
      </c>
      <c r="G80" s="86" t="s">
        <v>66</v>
      </c>
      <c r="H80" s="86">
        <f t="shared" si="3"/>
        <v>4</v>
      </c>
      <c r="I80" s="86">
        <f>IF([1]项目总工作量!B$6="交易类",H80*1.5/22,IF([1]项目总工作量!B$6="数据分析类",H80*1.5*0.9/22,IF([1]项目总工作量!B$6="流程管理类",H80*1.5*0.8/22,IF([1]项目总工作量!B$6="渠道类",H80*1.5*0.7/22,FALSE))))</f>
        <v>0.27272727272727271</v>
      </c>
      <c r="J80" s="86" t="s">
        <v>44</v>
      </c>
    </row>
    <row r="81" spans="1:10" s="87" customFormat="1" ht="14" x14ac:dyDescent="0.15">
      <c r="A81" s="127"/>
      <c r="B81" s="127"/>
      <c r="C81" s="119"/>
      <c r="D81" s="154">
        <f t="shared" si="2"/>
        <v>0.27272727272727271</v>
      </c>
      <c r="E81" s="85"/>
      <c r="F81" s="98" t="s">
        <v>143</v>
      </c>
      <c r="G81" s="86" t="s">
        <v>66</v>
      </c>
      <c r="H81" s="86">
        <f t="shared" si="3"/>
        <v>4</v>
      </c>
      <c r="I81" s="86">
        <f>IF([1]项目总工作量!B$6="交易类",H81*1.5/22,IF([1]项目总工作量!B$6="数据分析类",H81*1.5*0.9/22,IF([1]项目总工作量!B$6="流程管理类",H81*1.5*0.8/22,IF([1]项目总工作量!B$6="渠道类",H81*1.5*0.7/22,FALSE))))</f>
        <v>0.27272727272727271</v>
      </c>
      <c r="J81" s="86" t="s">
        <v>44</v>
      </c>
    </row>
    <row r="82" spans="1:10" s="87" customFormat="1" ht="14" x14ac:dyDescent="0.15">
      <c r="A82" s="127"/>
      <c r="B82" s="127"/>
      <c r="C82" s="119"/>
      <c r="D82" s="154">
        <f t="shared" si="2"/>
        <v>0.27272727272727271</v>
      </c>
      <c r="E82" s="85"/>
      <c r="F82" s="98" t="s">
        <v>144</v>
      </c>
      <c r="G82" s="86" t="s">
        <v>66</v>
      </c>
      <c r="H82" s="86">
        <f t="shared" si="3"/>
        <v>4</v>
      </c>
      <c r="I82" s="86">
        <f>IF([1]项目总工作量!B$6="交易类",H82*1.5/22,IF([1]项目总工作量!B$6="数据分析类",H82*1.5*0.9/22,IF([1]项目总工作量!B$6="流程管理类",H82*1.5*0.8/22,IF([1]项目总工作量!B$6="渠道类",H82*1.5*0.7/22,FALSE))))</f>
        <v>0.27272727272727271</v>
      </c>
      <c r="J82" s="86" t="s">
        <v>44</v>
      </c>
    </row>
    <row r="83" spans="1:10" s="87" customFormat="1" ht="14" x14ac:dyDescent="0.15">
      <c r="A83" s="127"/>
      <c r="B83" s="127"/>
      <c r="C83" s="119"/>
      <c r="D83" s="154">
        <f t="shared" si="2"/>
        <v>0.27272727272727271</v>
      </c>
      <c r="E83" s="85"/>
      <c r="F83" s="98" t="s">
        <v>145</v>
      </c>
      <c r="G83" s="86" t="s">
        <v>66</v>
      </c>
      <c r="H83" s="86">
        <f t="shared" si="3"/>
        <v>4</v>
      </c>
      <c r="I83" s="86">
        <f>IF([1]项目总工作量!B$6="交易类",H83*1.5/22,IF([1]项目总工作量!B$6="数据分析类",H83*1.5*0.9/22,IF([1]项目总工作量!B$6="流程管理类",H83*1.5*0.8/22,IF([1]项目总工作量!B$6="渠道类",H83*1.5*0.7/22,FALSE))))</f>
        <v>0.27272727272727271</v>
      </c>
      <c r="J83" s="86" t="s">
        <v>44</v>
      </c>
    </row>
    <row r="84" spans="1:10" s="87" customFormat="1" ht="14" x14ac:dyDescent="0.15">
      <c r="A84" s="127"/>
      <c r="B84" s="127"/>
      <c r="C84" s="119"/>
      <c r="D84" s="154">
        <f t="shared" si="2"/>
        <v>0.27272727272727271</v>
      </c>
      <c r="E84" s="85"/>
      <c r="F84" s="98" t="s">
        <v>146</v>
      </c>
      <c r="G84" s="86" t="s">
        <v>66</v>
      </c>
      <c r="H84" s="86">
        <f t="shared" si="3"/>
        <v>4</v>
      </c>
      <c r="I84" s="86">
        <f>IF([1]项目总工作量!B$6="交易类",H84*1.5/22,IF([1]项目总工作量!B$6="数据分析类",H84*1.5*0.9/22,IF([1]项目总工作量!B$6="流程管理类",H84*1.5*0.8/22,IF([1]项目总工作量!B$6="渠道类",H84*1.5*0.7/22,FALSE))))</f>
        <v>0.27272727272727271</v>
      </c>
      <c r="J84" s="86" t="s">
        <v>44</v>
      </c>
    </row>
    <row r="85" spans="1:10" s="87" customFormat="1" ht="14" x14ac:dyDescent="0.15">
      <c r="A85" s="127"/>
      <c r="B85" s="127"/>
      <c r="C85" s="119"/>
      <c r="D85" s="154">
        <f t="shared" si="2"/>
        <v>0.27272727272727271</v>
      </c>
      <c r="E85" s="85"/>
      <c r="F85" s="98" t="s">
        <v>559</v>
      </c>
      <c r="G85" s="86" t="s">
        <v>66</v>
      </c>
      <c r="H85" s="86">
        <f t="shared" si="3"/>
        <v>4</v>
      </c>
      <c r="I85" s="86">
        <f>IF([1]项目总工作量!B$6="交易类",H85*1.5/22,IF([1]项目总工作量!B$6="数据分析类",H85*1.5*0.9/22,IF([1]项目总工作量!B$6="流程管理类",H85*1.5*0.8/22,IF([1]项目总工作量!B$6="渠道类",H85*1.5*0.7/22,FALSE))))</f>
        <v>0.27272727272727271</v>
      </c>
      <c r="J85" s="86" t="s">
        <v>44</v>
      </c>
    </row>
    <row r="86" spans="1:10" s="87" customFormat="1" ht="14" x14ac:dyDescent="0.15">
      <c r="A86" s="127"/>
      <c r="B86" s="127"/>
      <c r="C86" s="119"/>
      <c r="D86" s="154">
        <f t="shared" si="2"/>
        <v>0.27272727272727271</v>
      </c>
      <c r="E86" s="85"/>
      <c r="F86" s="98" t="s">
        <v>147</v>
      </c>
      <c r="G86" s="86" t="s">
        <v>66</v>
      </c>
      <c r="H86" s="86">
        <f t="shared" si="3"/>
        <v>4</v>
      </c>
      <c r="I86" s="86">
        <f>IF([1]项目总工作量!B$6="交易类",H86*1.5/22,IF([1]项目总工作量!B$6="数据分析类",H86*1.5*0.9/22,IF([1]项目总工作量!B$6="流程管理类",H86*1.5*0.8/22,IF([1]项目总工作量!B$6="渠道类",H86*1.5*0.7/22,FALSE))))</f>
        <v>0.27272727272727271</v>
      </c>
      <c r="J86" s="86" t="s">
        <v>44</v>
      </c>
    </row>
    <row r="87" spans="1:10" s="87" customFormat="1" ht="14" x14ac:dyDescent="0.15">
      <c r="A87" s="127"/>
      <c r="B87" s="127"/>
      <c r="C87" s="119"/>
      <c r="D87" s="154">
        <f t="shared" si="2"/>
        <v>0.27272727272727271</v>
      </c>
      <c r="E87" s="85"/>
      <c r="F87" s="98" t="s">
        <v>148</v>
      </c>
      <c r="G87" s="86" t="s">
        <v>66</v>
      </c>
      <c r="H87" s="86">
        <f t="shared" si="3"/>
        <v>4</v>
      </c>
      <c r="I87" s="86">
        <f>IF([1]项目总工作量!B$6="交易类",H87*1.5/22,IF([1]项目总工作量!B$6="数据分析类",H87*1.5*0.9/22,IF([1]项目总工作量!B$6="流程管理类",H87*1.5*0.8/22,IF([1]项目总工作量!B$6="渠道类",H87*1.5*0.7/22,FALSE))))</f>
        <v>0.27272727272727271</v>
      </c>
      <c r="J87" s="86" t="s">
        <v>44</v>
      </c>
    </row>
    <row r="88" spans="1:10" s="87" customFormat="1" ht="14" x14ac:dyDescent="0.15">
      <c r="A88" s="127"/>
      <c r="B88" s="127"/>
      <c r="C88" s="119"/>
      <c r="D88" s="154">
        <f t="shared" si="2"/>
        <v>0.27272727272727271</v>
      </c>
      <c r="E88" s="85"/>
      <c r="F88" s="98" t="s">
        <v>149</v>
      </c>
      <c r="G88" s="86" t="s">
        <v>66</v>
      </c>
      <c r="H88" s="86">
        <f t="shared" si="3"/>
        <v>4</v>
      </c>
      <c r="I88" s="86">
        <f>IF([1]项目总工作量!B$6="交易类",H88*1.5/22,IF([1]项目总工作量!B$6="数据分析类",H88*1.5*0.9/22,IF([1]项目总工作量!B$6="流程管理类",H88*1.5*0.8/22,IF([1]项目总工作量!B$6="渠道类",H88*1.5*0.7/22,FALSE))))</f>
        <v>0.27272727272727271</v>
      </c>
      <c r="J88" s="86" t="s">
        <v>44</v>
      </c>
    </row>
    <row r="89" spans="1:10" s="87" customFormat="1" ht="14" x14ac:dyDescent="0.15">
      <c r="A89" s="127"/>
      <c r="B89" s="127"/>
      <c r="C89" s="119"/>
      <c r="D89" s="154">
        <f t="shared" si="2"/>
        <v>0.27272727272727271</v>
      </c>
      <c r="E89" s="85"/>
      <c r="F89" s="98" t="s">
        <v>150</v>
      </c>
      <c r="G89" s="86" t="s">
        <v>66</v>
      </c>
      <c r="H89" s="86">
        <f t="shared" si="3"/>
        <v>4</v>
      </c>
      <c r="I89" s="86">
        <f>IF([1]项目总工作量!B$6="交易类",H89*1.5/22,IF([1]项目总工作量!B$6="数据分析类",H89*1.5*0.9/22,IF([1]项目总工作量!B$6="流程管理类",H89*1.5*0.8/22,IF([1]项目总工作量!B$6="渠道类",H89*1.5*0.7/22,FALSE))))</f>
        <v>0.27272727272727271</v>
      </c>
      <c r="J89" s="86" t="s">
        <v>44</v>
      </c>
    </row>
    <row r="90" spans="1:10" s="87" customFormat="1" ht="14" x14ac:dyDescent="0.15">
      <c r="A90" s="127"/>
      <c r="B90" s="127"/>
      <c r="C90" s="119"/>
      <c r="D90" s="154">
        <f t="shared" si="2"/>
        <v>0.27272727272727271</v>
      </c>
      <c r="E90" s="85"/>
      <c r="F90" s="98" t="s">
        <v>151</v>
      </c>
      <c r="G90" s="86" t="s">
        <v>66</v>
      </c>
      <c r="H90" s="86">
        <f t="shared" si="3"/>
        <v>4</v>
      </c>
      <c r="I90" s="86">
        <f>IF([1]项目总工作量!B$6="交易类",H90*1.5/22,IF([1]项目总工作量!B$6="数据分析类",H90*1.5*0.9/22,IF([1]项目总工作量!B$6="流程管理类",H90*1.5*0.8/22,IF([1]项目总工作量!B$6="渠道类",H90*1.5*0.7/22,FALSE))))</f>
        <v>0.27272727272727271</v>
      </c>
      <c r="J90" s="86" t="s">
        <v>44</v>
      </c>
    </row>
    <row r="91" spans="1:10" s="87" customFormat="1" ht="14" x14ac:dyDescent="0.15">
      <c r="A91" s="127"/>
      <c r="B91" s="127"/>
      <c r="C91" s="119"/>
      <c r="D91" s="154">
        <f t="shared" si="2"/>
        <v>0.27272727272727271</v>
      </c>
      <c r="E91" s="85"/>
      <c r="F91" s="98" t="s">
        <v>152</v>
      </c>
      <c r="G91" s="86" t="s">
        <v>66</v>
      </c>
      <c r="H91" s="86">
        <f t="shared" si="3"/>
        <v>4</v>
      </c>
      <c r="I91" s="86">
        <f>IF([1]项目总工作量!B$6="交易类",H91*1.5/22,IF([1]项目总工作量!B$6="数据分析类",H91*1.5*0.9/22,IF([1]项目总工作量!B$6="流程管理类",H91*1.5*0.8/22,IF([1]项目总工作量!B$6="渠道类",H91*1.5*0.7/22,FALSE))))</f>
        <v>0.27272727272727271</v>
      </c>
      <c r="J91" s="86" t="s">
        <v>44</v>
      </c>
    </row>
    <row r="92" spans="1:10" s="87" customFormat="1" ht="14" x14ac:dyDescent="0.15">
      <c r="A92" s="127"/>
      <c r="B92" s="127"/>
      <c r="C92" s="119"/>
      <c r="D92" s="154">
        <f t="shared" si="2"/>
        <v>0.27272727272727271</v>
      </c>
      <c r="E92" s="85"/>
      <c r="F92" s="98" t="s">
        <v>153</v>
      </c>
      <c r="G92" s="86" t="s">
        <v>66</v>
      </c>
      <c r="H92" s="86">
        <f t="shared" si="3"/>
        <v>4</v>
      </c>
      <c r="I92" s="86">
        <f>IF([1]项目总工作量!B$6="交易类",H92*1.5/22,IF([1]项目总工作量!B$6="数据分析类",H92*1.5*0.9/22,IF([1]项目总工作量!B$6="流程管理类",H92*1.5*0.8/22,IF([1]项目总工作量!B$6="渠道类",H92*1.5*0.7/22,FALSE))))</f>
        <v>0.27272727272727271</v>
      </c>
      <c r="J92" s="86" t="s">
        <v>44</v>
      </c>
    </row>
    <row r="93" spans="1:10" s="87" customFormat="1" ht="14" x14ac:dyDescent="0.15">
      <c r="A93" s="127"/>
      <c r="B93" s="127"/>
      <c r="C93" s="119"/>
      <c r="D93" s="154">
        <f t="shared" si="2"/>
        <v>0.27272727272727271</v>
      </c>
      <c r="E93" s="85"/>
      <c r="F93" s="98" t="s">
        <v>154</v>
      </c>
      <c r="G93" s="86" t="s">
        <v>66</v>
      </c>
      <c r="H93" s="86">
        <f t="shared" si="3"/>
        <v>4</v>
      </c>
      <c r="I93" s="86">
        <f>IF([1]项目总工作量!B$6="交易类",H93*1.5/22,IF([1]项目总工作量!B$6="数据分析类",H93*1.5*0.9/22,IF([1]项目总工作量!B$6="流程管理类",H93*1.5*0.8/22,IF([1]项目总工作量!B$6="渠道类",H93*1.5*0.7/22,FALSE))))</f>
        <v>0.27272727272727271</v>
      </c>
      <c r="J93" s="86" t="s">
        <v>44</v>
      </c>
    </row>
    <row r="94" spans="1:10" s="87" customFormat="1" ht="14" x14ac:dyDescent="0.15">
      <c r="A94" s="127"/>
      <c r="B94" s="127"/>
      <c r="C94" s="119"/>
      <c r="D94" s="154">
        <f t="shared" si="2"/>
        <v>0.27272727272727271</v>
      </c>
      <c r="E94" s="85"/>
      <c r="F94" s="98" t="s">
        <v>155</v>
      </c>
      <c r="G94" s="86" t="s">
        <v>66</v>
      </c>
      <c r="H94" s="86">
        <f t="shared" si="3"/>
        <v>4</v>
      </c>
      <c r="I94" s="86">
        <f>IF([1]项目总工作量!B$6="交易类",H94*1.5/22,IF([1]项目总工作量!B$6="数据分析类",H94*1.5*0.9/22,IF([1]项目总工作量!B$6="流程管理类",H94*1.5*0.8/22,IF([1]项目总工作量!B$6="渠道类",H94*1.5*0.7/22,FALSE))))</f>
        <v>0.27272727272727271</v>
      </c>
      <c r="J94" s="86" t="s">
        <v>44</v>
      </c>
    </row>
    <row r="95" spans="1:10" s="87" customFormat="1" ht="14" x14ac:dyDescent="0.15">
      <c r="A95" s="147">
        <v>3</v>
      </c>
      <c r="B95" s="144" t="s">
        <v>560</v>
      </c>
      <c r="C95" s="119" t="s">
        <v>561</v>
      </c>
      <c r="D95" s="154">
        <f t="shared" si="2"/>
        <v>0.27272727272727271</v>
      </c>
      <c r="E95" s="85"/>
      <c r="F95" s="98" t="s">
        <v>562</v>
      </c>
      <c r="G95" s="86" t="s">
        <v>66</v>
      </c>
      <c r="H95" s="86">
        <f t="shared" si="3"/>
        <v>4</v>
      </c>
      <c r="I95" s="86">
        <f>IF([1]项目总工作量!B$6="交易类",H95*1.5/22,IF([1]项目总工作量!B$6="数据分析类",H95*1.5*0.9/22,IF([1]项目总工作量!B$6="流程管理类",H95*1.5*0.8/22,IF([1]项目总工作量!B$6="渠道类",H95*1.5*0.7/22,FALSE))))</f>
        <v>0.27272727272727271</v>
      </c>
      <c r="J95" s="86" t="s">
        <v>44</v>
      </c>
    </row>
    <row r="96" spans="1:10" s="87" customFormat="1" ht="14" x14ac:dyDescent="0.15">
      <c r="A96" s="148"/>
      <c r="B96" s="145"/>
      <c r="C96" s="119"/>
      <c r="D96" s="154">
        <f t="shared" si="2"/>
        <v>0.27272727272727271</v>
      </c>
      <c r="E96" s="85"/>
      <c r="F96" s="98" t="s">
        <v>563</v>
      </c>
      <c r="G96" s="86" t="s">
        <v>66</v>
      </c>
      <c r="H96" s="86">
        <f t="shared" si="3"/>
        <v>4</v>
      </c>
      <c r="I96" s="86">
        <f>IF([1]项目总工作量!B$6="交易类",H96*1.5/22,IF([1]项目总工作量!B$6="数据分析类",H96*1.5*0.9/22,IF([1]项目总工作量!B$6="流程管理类",H96*1.5*0.8/22,IF([1]项目总工作量!B$6="渠道类",H96*1.5*0.7/22,FALSE))))</f>
        <v>0.27272727272727271</v>
      </c>
      <c r="J96" s="86" t="s">
        <v>44</v>
      </c>
    </row>
    <row r="97" spans="1:10" s="87" customFormat="1" ht="14" x14ac:dyDescent="0.15">
      <c r="A97" s="148"/>
      <c r="B97" s="145"/>
      <c r="C97" s="119"/>
      <c r="D97" s="154">
        <f t="shared" si="2"/>
        <v>0.27272727272727271</v>
      </c>
      <c r="E97" s="85"/>
      <c r="F97" s="98" t="s">
        <v>564</v>
      </c>
      <c r="G97" s="86" t="s">
        <v>66</v>
      </c>
      <c r="H97" s="86">
        <f t="shared" si="3"/>
        <v>4</v>
      </c>
      <c r="I97" s="86">
        <f>IF([1]项目总工作量!B$6="交易类",H97*1.5/22,IF([1]项目总工作量!B$6="数据分析类",H97*1.5*0.9/22,IF([1]项目总工作量!B$6="流程管理类",H97*1.5*0.8/22,IF([1]项目总工作量!B$6="渠道类",H97*1.5*0.7/22,FALSE))))</f>
        <v>0.27272727272727271</v>
      </c>
      <c r="J97" s="86" t="s">
        <v>44</v>
      </c>
    </row>
    <row r="98" spans="1:10" s="87" customFormat="1" ht="14" x14ac:dyDescent="0.15">
      <c r="A98" s="148"/>
      <c r="B98" s="145"/>
      <c r="C98" s="119"/>
      <c r="D98" s="154">
        <f t="shared" si="2"/>
        <v>0.27272727272727271</v>
      </c>
      <c r="E98" s="85"/>
      <c r="F98" s="98" t="s">
        <v>565</v>
      </c>
      <c r="G98" s="86" t="s">
        <v>66</v>
      </c>
      <c r="H98" s="86">
        <f t="shared" si="3"/>
        <v>4</v>
      </c>
      <c r="I98" s="86">
        <f>IF([1]项目总工作量!B$6="交易类",H98*1.5/22,IF([1]项目总工作量!B$6="数据分析类",H98*1.5*0.9/22,IF([1]项目总工作量!B$6="流程管理类",H98*1.5*0.8/22,IF([1]项目总工作量!B$6="渠道类",H98*1.5*0.7/22,FALSE))))</f>
        <v>0.27272727272727271</v>
      </c>
      <c r="J98" s="86" t="s">
        <v>44</v>
      </c>
    </row>
    <row r="99" spans="1:10" s="87" customFormat="1" ht="14" x14ac:dyDescent="0.15">
      <c r="A99" s="148"/>
      <c r="B99" s="145"/>
      <c r="C99" s="119"/>
      <c r="D99" s="154">
        <f t="shared" si="2"/>
        <v>0.27272727272727271</v>
      </c>
      <c r="E99" s="85"/>
      <c r="F99" s="98" t="s">
        <v>566</v>
      </c>
      <c r="G99" s="86" t="s">
        <v>66</v>
      </c>
      <c r="H99" s="86">
        <f t="shared" si="3"/>
        <v>4</v>
      </c>
      <c r="I99" s="86">
        <f>IF([1]项目总工作量!B$6="交易类",H99*1.5/22,IF([1]项目总工作量!B$6="数据分析类",H99*1.5*0.9/22,IF([1]项目总工作量!B$6="流程管理类",H99*1.5*0.8/22,IF([1]项目总工作量!B$6="渠道类",H99*1.5*0.7/22,FALSE))))</f>
        <v>0.27272727272727271</v>
      </c>
      <c r="J99" s="86" t="s">
        <v>44</v>
      </c>
    </row>
    <row r="100" spans="1:10" s="87" customFormat="1" ht="14" x14ac:dyDescent="0.15">
      <c r="A100" s="148"/>
      <c r="B100" s="145"/>
      <c r="C100" s="119"/>
      <c r="D100" s="154">
        <f t="shared" si="2"/>
        <v>0.27272727272727271</v>
      </c>
      <c r="E100" s="85"/>
      <c r="F100" s="98" t="s">
        <v>567</v>
      </c>
      <c r="G100" s="86" t="s">
        <v>66</v>
      </c>
      <c r="H100" s="86">
        <f t="shared" si="3"/>
        <v>4</v>
      </c>
      <c r="I100" s="86">
        <f>IF([1]项目总工作量!B$6="交易类",H100*1.5/22,IF([1]项目总工作量!B$6="数据分析类",H100*1.5*0.9/22,IF([1]项目总工作量!B$6="流程管理类",H100*1.5*0.8/22,IF([1]项目总工作量!B$6="渠道类",H100*1.5*0.7/22,FALSE))))</f>
        <v>0.27272727272727271</v>
      </c>
      <c r="J100" s="86" t="s">
        <v>44</v>
      </c>
    </row>
    <row r="101" spans="1:10" s="87" customFormat="1" ht="14" x14ac:dyDescent="0.15">
      <c r="A101" s="148"/>
      <c r="B101" s="145"/>
      <c r="C101" s="119"/>
      <c r="D101" s="154">
        <f t="shared" si="2"/>
        <v>0.27272727272727271</v>
      </c>
      <c r="E101" s="85"/>
      <c r="F101" s="98" t="s">
        <v>568</v>
      </c>
      <c r="G101" s="86" t="s">
        <v>66</v>
      </c>
      <c r="H101" s="86">
        <f t="shared" si="3"/>
        <v>4</v>
      </c>
      <c r="I101" s="86">
        <f>IF([1]项目总工作量!B$6="交易类",H101*1.5/22,IF([1]项目总工作量!B$6="数据分析类",H101*1.5*0.9/22,IF([1]项目总工作量!B$6="流程管理类",H101*1.5*0.8/22,IF([1]项目总工作量!B$6="渠道类",H101*1.5*0.7/22,FALSE))))</f>
        <v>0.27272727272727271</v>
      </c>
      <c r="J101" s="86" t="s">
        <v>44</v>
      </c>
    </row>
    <row r="102" spans="1:10" s="87" customFormat="1" ht="14" x14ac:dyDescent="0.15">
      <c r="A102" s="148"/>
      <c r="B102" s="145"/>
      <c r="C102" s="119"/>
      <c r="D102" s="154">
        <f t="shared" si="2"/>
        <v>0.27272727272727271</v>
      </c>
      <c r="E102" s="85"/>
      <c r="F102" s="98" t="s">
        <v>569</v>
      </c>
      <c r="G102" s="86" t="s">
        <v>66</v>
      </c>
      <c r="H102" s="86">
        <f t="shared" si="3"/>
        <v>4</v>
      </c>
      <c r="I102" s="86">
        <f>IF([1]项目总工作量!B$6="交易类",H102*1.5/22,IF([1]项目总工作量!B$6="数据分析类",H102*1.5*0.9/22,IF([1]项目总工作量!B$6="流程管理类",H102*1.5*0.8/22,IF([1]项目总工作量!B$6="渠道类",H102*1.5*0.7/22,FALSE))))</f>
        <v>0.27272727272727271</v>
      </c>
      <c r="J102" s="86" t="s">
        <v>44</v>
      </c>
    </row>
    <row r="103" spans="1:10" s="87" customFormat="1" ht="14" x14ac:dyDescent="0.15">
      <c r="A103" s="148"/>
      <c r="B103" s="145"/>
      <c r="C103" s="119"/>
      <c r="D103" s="154">
        <f t="shared" si="2"/>
        <v>0.27272727272727271</v>
      </c>
      <c r="E103" s="85"/>
      <c r="F103" s="98" t="s">
        <v>570</v>
      </c>
      <c r="G103" s="86" t="s">
        <v>66</v>
      </c>
      <c r="H103" s="86">
        <f t="shared" si="3"/>
        <v>4</v>
      </c>
      <c r="I103" s="86">
        <f>IF([1]项目总工作量!B$6="交易类",H103*1.5/22,IF([1]项目总工作量!B$6="数据分析类",H103*1.5*0.9/22,IF([1]项目总工作量!B$6="流程管理类",H103*1.5*0.8/22,IF([1]项目总工作量!B$6="渠道类",H103*1.5*0.7/22,FALSE))))</f>
        <v>0.27272727272727271</v>
      </c>
      <c r="J103" s="86" t="s">
        <v>44</v>
      </c>
    </row>
    <row r="104" spans="1:10" s="87" customFormat="1" ht="14" x14ac:dyDescent="0.15">
      <c r="A104" s="148"/>
      <c r="B104" s="145"/>
      <c r="C104" s="119"/>
      <c r="D104" s="154">
        <f t="shared" si="2"/>
        <v>0.27272727272727271</v>
      </c>
      <c r="E104" s="85"/>
      <c r="F104" s="98" t="s">
        <v>571</v>
      </c>
      <c r="G104" s="86" t="s">
        <v>66</v>
      </c>
      <c r="H104" s="86">
        <f t="shared" si="3"/>
        <v>4</v>
      </c>
      <c r="I104" s="86">
        <f>IF([1]项目总工作量!B$6="交易类",H104*1.5/22,IF([1]项目总工作量!B$6="数据分析类",H104*1.5*0.9/22,IF([1]项目总工作量!B$6="流程管理类",H104*1.5*0.8/22,IF([1]项目总工作量!B$6="渠道类",H104*1.5*0.7/22,FALSE))))</f>
        <v>0.27272727272727271</v>
      </c>
      <c r="J104" s="86" t="s">
        <v>44</v>
      </c>
    </row>
    <row r="105" spans="1:10" s="152" customFormat="1" ht="14" x14ac:dyDescent="0.15">
      <c r="A105" s="148"/>
      <c r="B105" s="145"/>
      <c r="C105" s="119"/>
      <c r="D105" s="154">
        <f t="shared" si="2"/>
        <v>0.27272727272727271</v>
      </c>
      <c r="E105" s="85"/>
      <c r="F105" s="98" t="s">
        <v>572</v>
      </c>
      <c r="G105" s="86" t="s">
        <v>66</v>
      </c>
      <c r="H105" s="86">
        <f t="shared" si="3"/>
        <v>4</v>
      </c>
      <c r="I105" s="86">
        <f>IF([1]项目总工作量!B$6="交易类",H105*1.5/22,IF([1]项目总工作量!B$6="数据分析类",H105*1.5*0.9/22,IF([1]项目总工作量!B$6="流程管理类",H105*1.5*0.8/22,IF([1]项目总工作量!B$6="渠道类",H105*1.5*0.7/22,FALSE))))</f>
        <v>0.27272727272727271</v>
      </c>
      <c r="J105" s="86" t="s">
        <v>44</v>
      </c>
    </row>
    <row r="106" spans="1:10" s="152" customFormat="1" ht="14" x14ac:dyDescent="0.15">
      <c r="A106" s="148"/>
      <c r="B106" s="145"/>
      <c r="C106" s="119"/>
      <c r="D106" s="154">
        <f t="shared" si="2"/>
        <v>0.27272727272727271</v>
      </c>
      <c r="E106" s="85"/>
      <c r="F106" s="98" t="s">
        <v>573</v>
      </c>
      <c r="G106" s="86" t="s">
        <v>66</v>
      </c>
      <c r="H106" s="86">
        <f t="shared" si="3"/>
        <v>4</v>
      </c>
      <c r="I106" s="86">
        <f>IF([1]项目总工作量!B$6="交易类",H106*1.5/22,IF([1]项目总工作量!B$6="数据分析类",H106*1.5*0.9/22,IF([1]项目总工作量!B$6="流程管理类",H106*1.5*0.8/22,IF([1]项目总工作量!B$6="渠道类",H106*1.5*0.7/22,FALSE))))</f>
        <v>0.27272727272727271</v>
      </c>
      <c r="J106" s="86" t="s">
        <v>44</v>
      </c>
    </row>
    <row r="107" spans="1:10" s="152" customFormat="1" ht="14" x14ac:dyDescent="0.15">
      <c r="A107" s="148"/>
      <c r="B107" s="145"/>
      <c r="C107" s="119"/>
      <c r="D107" s="154">
        <f t="shared" si="2"/>
        <v>0.27272727272727271</v>
      </c>
      <c r="E107" s="85"/>
      <c r="F107" s="98" t="s">
        <v>574</v>
      </c>
      <c r="G107" s="86" t="s">
        <v>66</v>
      </c>
      <c r="H107" s="86">
        <f t="shared" si="3"/>
        <v>4</v>
      </c>
      <c r="I107" s="86">
        <f>IF([1]项目总工作量!B$6="交易类",H107*1.5/22,IF([1]项目总工作量!B$6="数据分析类",H107*1.5*0.9/22,IF([1]项目总工作量!B$6="流程管理类",H107*1.5*0.8/22,IF([1]项目总工作量!B$6="渠道类",H107*1.5*0.7/22,FALSE))))</f>
        <v>0.27272727272727271</v>
      </c>
      <c r="J107" s="86" t="s">
        <v>44</v>
      </c>
    </row>
    <row r="108" spans="1:10" s="152" customFormat="1" ht="14" x14ac:dyDescent="0.15">
      <c r="A108" s="148"/>
      <c r="B108" s="145"/>
      <c r="C108" s="119"/>
      <c r="D108" s="154">
        <f t="shared" si="2"/>
        <v>0.27272727272727271</v>
      </c>
      <c r="E108" s="85"/>
      <c r="F108" s="98" t="s">
        <v>575</v>
      </c>
      <c r="G108" s="86" t="s">
        <v>66</v>
      </c>
      <c r="H108" s="86">
        <f t="shared" si="3"/>
        <v>4</v>
      </c>
      <c r="I108" s="86">
        <f>IF([1]项目总工作量!B$6="交易类",H108*1.5/22,IF([1]项目总工作量!B$6="数据分析类",H108*1.5*0.9/22,IF([1]项目总工作量!B$6="流程管理类",H108*1.5*0.8/22,IF([1]项目总工作量!B$6="渠道类",H108*1.5*0.7/22,FALSE))))</f>
        <v>0.27272727272727271</v>
      </c>
      <c r="J108" s="86" t="s">
        <v>44</v>
      </c>
    </row>
    <row r="109" spans="1:10" s="152" customFormat="1" ht="14" x14ac:dyDescent="0.15">
      <c r="A109" s="148"/>
      <c r="B109" s="145"/>
      <c r="C109" s="119"/>
      <c r="D109" s="154">
        <f t="shared" si="2"/>
        <v>0.27272727272727271</v>
      </c>
      <c r="E109" s="85"/>
      <c r="F109" s="98" t="s">
        <v>576</v>
      </c>
      <c r="G109" s="86" t="s">
        <v>66</v>
      </c>
      <c r="H109" s="86">
        <f t="shared" si="3"/>
        <v>4</v>
      </c>
      <c r="I109" s="86">
        <f>IF([1]项目总工作量!B$6="交易类",H109*1.5/22,IF([1]项目总工作量!B$6="数据分析类",H109*1.5*0.9/22,IF([1]项目总工作量!B$6="流程管理类",H109*1.5*0.8/22,IF([1]项目总工作量!B$6="渠道类",H109*1.5*0.7/22,FALSE))))</f>
        <v>0.27272727272727271</v>
      </c>
      <c r="J109" s="86" t="s">
        <v>44</v>
      </c>
    </row>
    <row r="110" spans="1:10" s="152" customFormat="1" ht="12.5" customHeight="1" x14ac:dyDescent="0.15">
      <c r="A110" s="148"/>
      <c r="B110" s="145"/>
      <c r="C110" s="141" t="s">
        <v>577</v>
      </c>
      <c r="D110" s="154">
        <f t="shared" si="2"/>
        <v>0.27272727272727271</v>
      </c>
      <c r="E110" s="85"/>
      <c r="F110" s="98" t="s">
        <v>578</v>
      </c>
      <c r="G110" s="86" t="s">
        <v>66</v>
      </c>
      <c r="H110" s="86">
        <f t="shared" si="3"/>
        <v>4</v>
      </c>
      <c r="I110" s="86">
        <f>IF([1]项目总工作量!B$6="交易类",H110*1.5/22,IF([1]项目总工作量!B$6="数据分析类",H110*1.5*0.9/22,IF([1]项目总工作量!B$6="流程管理类",H110*1.5*0.8/22,IF([1]项目总工作量!B$6="渠道类",H110*1.5*0.7/22,FALSE))))</f>
        <v>0.27272727272727271</v>
      </c>
      <c r="J110" s="86" t="s">
        <v>44</v>
      </c>
    </row>
    <row r="111" spans="1:10" s="152" customFormat="1" ht="12.5" customHeight="1" x14ac:dyDescent="0.15">
      <c r="A111" s="148"/>
      <c r="B111" s="145"/>
      <c r="C111" s="142"/>
      <c r="D111" s="154"/>
      <c r="E111" s="85"/>
      <c r="F111" s="98" t="s">
        <v>579</v>
      </c>
      <c r="G111" s="86" t="s">
        <v>66</v>
      </c>
      <c r="H111" s="86">
        <f t="shared" si="3"/>
        <v>4</v>
      </c>
      <c r="I111" s="86">
        <f>IF([1]项目总工作量!B$6="交易类",H111*1.5/22,IF([1]项目总工作量!B$6="数据分析类",H111*1.5*0.9/22,IF([1]项目总工作量!B$6="流程管理类",H111*1.5*0.8/22,IF([1]项目总工作量!B$6="渠道类",H111*1.5*0.7/22,FALSE))))</f>
        <v>0.27272727272727271</v>
      </c>
      <c r="J111" s="86" t="s">
        <v>44</v>
      </c>
    </row>
    <row r="112" spans="1:10" s="152" customFormat="1" ht="12.5" customHeight="1" x14ac:dyDescent="0.15">
      <c r="A112" s="148"/>
      <c r="B112" s="145"/>
      <c r="C112" s="142"/>
      <c r="D112" s="154">
        <f t="shared" si="2"/>
        <v>0.27272727272727271</v>
      </c>
      <c r="E112" s="85"/>
      <c r="F112" s="98" t="s">
        <v>580</v>
      </c>
      <c r="G112" s="86" t="s">
        <v>66</v>
      </c>
      <c r="H112" s="86">
        <f t="shared" si="3"/>
        <v>4</v>
      </c>
      <c r="I112" s="86">
        <f>IF([1]项目总工作量!B$6="交易类",H112*1.5/22,IF([1]项目总工作量!B$6="数据分析类",H112*1.5*0.9/22,IF([1]项目总工作量!B$6="流程管理类",H112*1.5*0.8/22,IF([1]项目总工作量!B$6="渠道类",H112*1.5*0.7/22,FALSE))))</f>
        <v>0.27272727272727271</v>
      </c>
      <c r="J112" s="86" t="s">
        <v>44</v>
      </c>
    </row>
    <row r="113" spans="1:10" s="152" customFormat="1" ht="12.5" customHeight="1" x14ac:dyDescent="0.15">
      <c r="A113" s="148"/>
      <c r="B113" s="145"/>
      <c r="C113" s="143"/>
      <c r="D113" s="154">
        <f t="shared" si="2"/>
        <v>0.27272727272727271</v>
      </c>
      <c r="E113" s="85"/>
      <c r="F113" s="98" t="s">
        <v>581</v>
      </c>
      <c r="G113" s="86" t="s">
        <v>66</v>
      </c>
      <c r="H113" s="86">
        <f t="shared" si="3"/>
        <v>4</v>
      </c>
      <c r="I113" s="86">
        <f>IF([1]项目总工作量!B$6="交易类",H113*1.5/22,IF([1]项目总工作量!B$6="数据分析类",H113*1.5*0.9/22,IF([1]项目总工作量!B$6="流程管理类",H113*1.5*0.8/22,IF([1]项目总工作量!B$6="渠道类",H113*1.5*0.7/22,FALSE))))</f>
        <v>0.27272727272727271</v>
      </c>
      <c r="J113" s="86" t="s">
        <v>44</v>
      </c>
    </row>
    <row r="114" spans="1:10" s="152" customFormat="1" ht="12.5" customHeight="1" x14ac:dyDescent="0.15">
      <c r="A114" s="148"/>
      <c r="B114" s="145"/>
      <c r="C114" s="141" t="s">
        <v>582</v>
      </c>
      <c r="D114" s="154">
        <f t="shared" si="2"/>
        <v>0.27272727272727271</v>
      </c>
      <c r="E114" s="85">
        <v>1</v>
      </c>
      <c r="F114" s="98" t="s">
        <v>583</v>
      </c>
      <c r="G114" s="86" t="s">
        <v>66</v>
      </c>
      <c r="H114" s="86">
        <f t="shared" si="3"/>
        <v>4</v>
      </c>
      <c r="I114" s="86">
        <f>IF([1]项目总工作量!B$6="交易类",H114*1.5/22,IF([1]项目总工作量!B$6="数据分析类",H114*1.5*0.9/22,IF([1]项目总工作量!B$6="流程管理类",H114*1.5*0.8/22,IF([1]项目总工作量!B$6="渠道类",H114*1.5*0.7/22,FALSE))))</f>
        <v>0.27272727272727271</v>
      </c>
      <c r="J114" s="86" t="s">
        <v>44</v>
      </c>
    </row>
    <row r="115" spans="1:10" s="152" customFormat="1" ht="12.5" customHeight="1" x14ac:dyDescent="0.15">
      <c r="A115" s="148"/>
      <c r="B115" s="145"/>
      <c r="C115" s="142"/>
      <c r="D115" s="154">
        <f t="shared" si="2"/>
        <v>0.27272727272727271</v>
      </c>
      <c r="E115" s="85"/>
      <c r="F115" s="98" t="s">
        <v>584</v>
      </c>
      <c r="G115" s="86" t="s">
        <v>66</v>
      </c>
      <c r="H115" s="86">
        <f t="shared" si="3"/>
        <v>4</v>
      </c>
      <c r="I115" s="86">
        <f>IF([1]项目总工作量!B$6="交易类",H115*1.5/22,IF([1]项目总工作量!B$6="数据分析类",H115*1.5*0.9/22,IF([1]项目总工作量!B$6="流程管理类",H115*1.5*0.8/22,IF([1]项目总工作量!B$6="渠道类",H115*1.5*0.7/22,FALSE))))</f>
        <v>0.27272727272727271</v>
      </c>
      <c r="J115" s="86" t="s">
        <v>44</v>
      </c>
    </row>
    <row r="116" spans="1:10" s="152" customFormat="1" ht="12.5" customHeight="1" x14ac:dyDescent="0.15">
      <c r="A116" s="148"/>
      <c r="B116" s="145"/>
      <c r="C116" s="143"/>
      <c r="D116" s="154">
        <f t="shared" si="2"/>
        <v>0.27272727272727271</v>
      </c>
      <c r="E116" s="85"/>
      <c r="F116" s="98" t="s">
        <v>585</v>
      </c>
      <c r="G116" s="86" t="s">
        <v>66</v>
      </c>
      <c r="H116" s="86">
        <f t="shared" si="3"/>
        <v>4</v>
      </c>
      <c r="I116" s="86">
        <f>IF([1]项目总工作量!B$6="交易类",H116*1.5/22,IF([1]项目总工作量!B$6="数据分析类",H116*1.5*0.9/22,IF([1]项目总工作量!B$6="流程管理类",H116*1.5*0.8/22,IF([1]项目总工作量!B$6="渠道类",H116*1.5*0.7/22,FALSE))))</f>
        <v>0.27272727272727271</v>
      </c>
      <c r="J116" s="86" t="s">
        <v>44</v>
      </c>
    </row>
    <row r="117" spans="1:10" s="152" customFormat="1" ht="14" x14ac:dyDescent="0.15">
      <c r="A117" s="148"/>
      <c r="B117" s="145"/>
      <c r="C117" s="97" t="s">
        <v>586</v>
      </c>
      <c r="D117" s="154">
        <f t="shared" si="2"/>
        <v>0.27272727272727271</v>
      </c>
      <c r="E117" s="85">
        <v>5</v>
      </c>
      <c r="F117" s="98" t="s">
        <v>587</v>
      </c>
      <c r="G117" s="86" t="s">
        <v>66</v>
      </c>
      <c r="H117" s="86">
        <f t="shared" si="3"/>
        <v>4</v>
      </c>
      <c r="I117" s="86">
        <f>IF([1]项目总工作量!B$6="交易类",H117*1.5/22,IF([1]项目总工作量!B$6="数据分析类",H117*1.5*0.9/22,IF([1]项目总工作量!B$6="流程管理类",H117*1.5*0.8/22,IF([1]项目总工作量!B$6="渠道类",H117*1.5*0.7/22,FALSE))))</f>
        <v>0.27272727272727271</v>
      </c>
      <c r="J117" s="86" t="s">
        <v>44</v>
      </c>
    </row>
    <row r="118" spans="1:10" s="152" customFormat="1" ht="14" x14ac:dyDescent="0.15">
      <c r="A118" s="148"/>
      <c r="B118" s="145"/>
      <c r="C118" s="119" t="s">
        <v>588</v>
      </c>
      <c r="D118" s="154">
        <f t="shared" si="2"/>
        <v>0.27272727272727271</v>
      </c>
      <c r="E118" s="85">
        <v>2</v>
      </c>
      <c r="F118" s="98" t="s">
        <v>589</v>
      </c>
      <c r="G118" s="86" t="s">
        <v>66</v>
      </c>
      <c r="H118" s="86">
        <f t="shared" si="3"/>
        <v>4</v>
      </c>
      <c r="I118" s="86">
        <f>IF([1]项目总工作量!B$6="交易类",H118*1.5/22,IF([1]项目总工作量!B$6="数据分析类",H118*1.5*0.9/22,IF([1]项目总工作量!B$6="流程管理类",H118*1.5*0.8/22,IF([1]项目总工作量!B$6="渠道类",H118*1.5*0.7/22,FALSE))))</f>
        <v>0.27272727272727271</v>
      </c>
      <c r="J118" s="86" t="s">
        <v>44</v>
      </c>
    </row>
    <row r="119" spans="1:10" s="152" customFormat="1" ht="14" x14ac:dyDescent="0.15">
      <c r="A119" s="148"/>
      <c r="B119" s="145"/>
      <c r="C119" s="119"/>
      <c r="D119" s="154">
        <f t="shared" si="2"/>
        <v>0.27272727272727271</v>
      </c>
      <c r="E119" s="85"/>
      <c r="F119" s="98" t="s">
        <v>590</v>
      </c>
      <c r="G119" s="86" t="s">
        <v>66</v>
      </c>
      <c r="H119" s="86">
        <f t="shared" si="3"/>
        <v>4</v>
      </c>
      <c r="I119" s="86">
        <f>IF([1]项目总工作量!B$6="交易类",H119*1.5/22,IF([1]项目总工作量!B$6="数据分析类",H119*1.5*0.9/22,IF([1]项目总工作量!B$6="流程管理类",H119*1.5*0.8/22,IF([1]项目总工作量!B$6="渠道类",H119*1.5*0.7/22,FALSE))))</f>
        <v>0.27272727272727271</v>
      </c>
      <c r="J119" s="86" t="s">
        <v>44</v>
      </c>
    </row>
    <row r="120" spans="1:10" s="152" customFormat="1" ht="14" x14ac:dyDescent="0.15">
      <c r="A120" s="148"/>
      <c r="B120" s="145"/>
      <c r="C120" s="156" t="s">
        <v>591</v>
      </c>
      <c r="D120" s="154">
        <f t="shared" si="2"/>
        <v>0.27272727272727271</v>
      </c>
      <c r="E120" s="85"/>
      <c r="F120" s="98" t="s">
        <v>592</v>
      </c>
      <c r="G120" s="86" t="s">
        <v>66</v>
      </c>
      <c r="H120" s="86">
        <f t="shared" si="3"/>
        <v>4</v>
      </c>
      <c r="I120" s="86">
        <f>IF([1]项目总工作量!B$6="交易类",H120*1.5/22,IF([1]项目总工作量!B$6="数据分析类",H120*1.5*0.9/22,IF([1]项目总工作量!B$6="流程管理类",H120*1.5*0.8/22,IF([1]项目总工作量!B$6="渠道类",H120*1.5*0.7/22,FALSE))))</f>
        <v>0.27272727272727271</v>
      </c>
      <c r="J120" s="86" t="s">
        <v>44</v>
      </c>
    </row>
    <row r="121" spans="1:10" s="152" customFormat="1" ht="14" x14ac:dyDescent="0.15">
      <c r="A121" s="148"/>
      <c r="B121" s="145"/>
      <c r="C121" s="156"/>
      <c r="D121" s="154">
        <f t="shared" si="2"/>
        <v>0.27272727272727271</v>
      </c>
      <c r="E121" s="85"/>
      <c r="F121" s="98" t="s">
        <v>593</v>
      </c>
      <c r="G121" s="86" t="s">
        <v>66</v>
      </c>
      <c r="H121" s="86">
        <f t="shared" si="3"/>
        <v>4</v>
      </c>
      <c r="I121" s="86">
        <f>IF([1]项目总工作量!B$6="交易类",H121*1.5/22,IF([1]项目总工作量!B$6="数据分析类",H121*1.5*0.9/22,IF([1]项目总工作量!B$6="流程管理类",H121*1.5*0.8/22,IF([1]项目总工作量!B$6="渠道类",H121*1.5*0.7/22,FALSE))))</f>
        <v>0.27272727272727271</v>
      </c>
      <c r="J121" s="86" t="s">
        <v>44</v>
      </c>
    </row>
    <row r="122" spans="1:10" s="152" customFormat="1" ht="14" x14ac:dyDescent="0.15">
      <c r="A122" s="148"/>
      <c r="B122" s="145"/>
      <c r="C122" s="156"/>
      <c r="D122" s="154">
        <f t="shared" si="2"/>
        <v>0.27272727272727271</v>
      </c>
      <c r="E122" s="85"/>
      <c r="F122" s="98" t="s">
        <v>594</v>
      </c>
      <c r="G122" s="86" t="s">
        <v>66</v>
      </c>
      <c r="H122" s="86">
        <f t="shared" si="3"/>
        <v>4</v>
      </c>
      <c r="I122" s="86">
        <f>IF([1]项目总工作量!B$6="交易类",H122*1.5/22,IF([1]项目总工作量!B$6="数据分析类",H122*1.5*0.9/22,IF([1]项目总工作量!B$6="流程管理类",H122*1.5*0.8/22,IF([1]项目总工作量!B$6="渠道类",H122*1.5*0.7/22,FALSE))))</f>
        <v>0.27272727272727271</v>
      </c>
      <c r="J122" s="86" t="s">
        <v>44</v>
      </c>
    </row>
    <row r="123" spans="1:10" s="152" customFormat="1" ht="14" x14ac:dyDescent="0.15">
      <c r="A123" s="148"/>
      <c r="B123" s="145"/>
      <c r="C123" s="156"/>
      <c r="D123" s="154">
        <f t="shared" si="2"/>
        <v>0.27272727272727271</v>
      </c>
      <c r="E123" s="85"/>
      <c r="F123" s="98" t="s">
        <v>72</v>
      </c>
      <c r="G123" s="86" t="s">
        <v>66</v>
      </c>
      <c r="H123" s="86">
        <f t="shared" si="3"/>
        <v>4</v>
      </c>
      <c r="I123" s="86">
        <f>IF([1]项目总工作量!B$6="交易类",H123*1.5/22,IF([1]项目总工作量!B$6="数据分析类",H123*1.5*0.9/22,IF([1]项目总工作量!B$6="流程管理类",H123*1.5*0.8/22,IF([1]项目总工作量!B$6="渠道类",H123*1.5*0.7/22,FALSE))))</f>
        <v>0.27272727272727271</v>
      </c>
      <c r="J123" s="86" t="s">
        <v>44</v>
      </c>
    </row>
    <row r="124" spans="1:10" s="152" customFormat="1" ht="14" x14ac:dyDescent="0.15">
      <c r="A124" s="148"/>
      <c r="B124" s="145"/>
      <c r="C124" s="156"/>
      <c r="D124" s="154">
        <f t="shared" si="2"/>
        <v>0.27272727272727271</v>
      </c>
      <c r="E124" s="85"/>
      <c r="F124" s="98" t="s">
        <v>73</v>
      </c>
      <c r="G124" s="86" t="s">
        <v>66</v>
      </c>
      <c r="H124" s="86">
        <f t="shared" si="3"/>
        <v>4</v>
      </c>
      <c r="I124" s="86">
        <f>IF([1]项目总工作量!B$6="交易类",H124*1.5/22,IF([1]项目总工作量!B$6="数据分析类",H124*1.5*0.9/22,IF([1]项目总工作量!B$6="流程管理类",H124*1.5*0.8/22,IF([1]项目总工作量!B$6="渠道类",H124*1.5*0.7/22,FALSE))))</f>
        <v>0.27272727272727271</v>
      </c>
      <c r="J124" s="86" t="s">
        <v>44</v>
      </c>
    </row>
    <row r="125" spans="1:10" s="152" customFormat="1" ht="14" x14ac:dyDescent="0.15">
      <c r="A125" s="148"/>
      <c r="B125" s="145"/>
      <c r="C125" s="156"/>
      <c r="D125" s="154">
        <f t="shared" si="2"/>
        <v>0.27272727272727271</v>
      </c>
      <c r="E125" s="85"/>
      <c r="F125" s="98" t="s">
        <v>74</v>
      </c>
      <c r="G125" s="86" t="s">
        <v>66</v>
      </c>
      <c r="H125" s="86">
        <f t="shared" si="3"/>
        <v>4</v>
      </c>
      <c r="I125" s="86">
        <f>IF([1]项目总工作量!B$6="交易类",H125*1.5/22,IF([1]项目总工作量!B$6="数据分析类",H125*1.5*0.9/22,IF([1]项目总工作量!B$6="流程管理类",H125*1.5*0.8/22,IF([1]项目总工作量!B$6="渠道类",H125*1.5*0.7/22,FALSE))))</f>
        <v>0.27272727272727271</v>
      </c>
      <c r="J125" s="86" t="s">
        <v>44</v>
      </c>
    </row>
    <row r="126" spans="1:10" s="152" customFormat="1" ht="14" x14ac:dyDescent="0.15">
      <c r="A126" s="148"/>
      <c r="B126" s="145"/>
      <c r="C126" s="156"/>
      <c r="D126" s="154">
        <f t="shared" si="2"/>
        <v>0.27272727272727271</v>
      </c>
      <c r="E126" s="85"/>
      <c r="F126" s="98" t="s">
        <v>75</v>
      </c>
      <c r="G126" s="86" t="s">
        <v>66</v>
      </c>
      <c r="H126" s="86">
        <f t="shared" si="3"/>
        <v>4</v>
      </c>
      <c r="I126" s="86">
        <f>IF([1]项目总工作量!B$6="交易类",H126*1.5/22,IF([1]项目总工作量!B$6="数据分析类",H126*1.5*0.9/22,IF([1]项目总工作量!B$6="流程管理类",H126*1.5*0.8/22,IF([1]项目总工作量!B$6="渠道类",H126*1.5*0.7/22,FALSE))))</f>
        <v>0.27272727272727271</v>
      </c>
      <c r="J126" s="86" t="s">
        <v>44</v>
      </c>
    </row>
    <row r="127" spans="1:10" s="152" customFormat="1" ht="14" x14ac:dyDescent="0.15">
      <c r="A127" s="148"/>
      <c r="B127" s="145"/>
      <c r="C127" s="156"/>
      <c r="D127" s="154">
        <f t="shared" si="2"/>
        <v>0.27272727272727271</v>
      </c>
      <c r="E127" s="85"/>
      <c r="F127" s="98" t="s">
        <v>76</v>
      </c>
      <c r="G127" s="86" t="s">
        <v>66</v>
      </c>
      <c r="H127" s="86">
        <f t="shared" si="3"/>
        <v>4</v>
      </c>
      <c r="I127" s="86">
        <f>IF([1]项目总工作量!B$6="交易类",H127*1.5/22,IF([1]项目总工作量!B$6="数据分析类",H127*1.5*0.9/22,IF([1]项目总工作量!B$6="流程管理类",H127*1.5*0.8/22,IF([1]项目总工作量!B$6="渠道类",H127*1.5*0.7/22,FALSE))))</f>
        <v>0.27272727272727271</v>
      </c>
      <c r="J127" s="86" t="s">
        <v>44</v>
      </c>
    </row>
    <row r="128" spans="1:10" s="152" customFormat="1" ht="14" x14ac:dyDescent="0.15">
      <c r="A128" s="148"/>
      <c r="B128" s="145"/>
      <c r="C128" s="156"/>
      <c r="D128" s="154">
        <f t="shared" si="2"/>
        <v>0.27272727272727271</v>
      </c>
      <c r="E128" s="85"/>
      <c r="F128" s="98" t="s">
        <v>595</v>
      </c>
      <c r="G128" s="86" t="s">
        <v>66</v>
      </c>
      <c r="H128" s="86">
        <f t="shared" si="3"/>
        <v>4</v>
      </c>
      <c r="I128" s="86">
        <f>IF([1]项目总工作量!B$6="交易类",H128*1.5/22,IF([1]项目总工作量!B$6="数据分析类",H128*1.5*0.9/22,IF([1]项目总工作量!B$6="流程管理类",H128*1.5*0.8/22,IF([1]项目总工作量!B$6="渠道类",H128*1.5*0.7/22,FALSE))))</f>
        <v>0.27272727272727271</v>
      </c>
      <c r="J128" s="86" t="s">
        <v>44</v>
      </c>
    </row>
    <row r="129" spans="1:10" s="152" customFormat="1" ht="14" x14ac:dyDescent="0.15">
      <c r="A129" s="148"/>
      <c r="B129" s="145"/>
      <c r="C129" s="156"/>
      <c r="D129" s="154">
        <f t="shared" si="2"/>
        <v>0.27272727272727271</v>
      </c>
      <c r="E129" s="85"/>
      <c r="F129" s="98" t="s">
        <v>596</v>
      </c>
      <c r="G129" s="86" t="s">
        <v>66</v>
      </c>
      <c r="H129" s="86">
        <f t="shared" si="3"/>
        <v>4</v>
      </c>
      <c r="I129" s="86">
        <f>IF([1]项目总工作量!B$6="交易类",H129*1.5/22,IF([1]项目总工作量!B$6="数据分析类",H129*1.5*0.9/22,IF([1]项目总工作量!B$6="流程管理类",H129*1.5*0.8/22,IF([1]项目总工作量!B$6="渠道类",H129*1.5*0.7/22,FALSE))))</f>
        <v>0.27272727272727271</v>
      </c>
      <c r="J129" s="86" t="s">
        <v>44</v>
      </c>
    </row>
    <row r="130" spans="1:10" s="152" customFormat="1" ht="14" x14ac:dyDescent="0.15">
      <c r="A130" s="148"/>
      <c r="B130" s="145"/>
      <c r="C130" s="156"/>
      <c r="D130" s="154">
        <f t="shared" si="2"/>
        <v>0.27272727272727271</v>
      </c>
      <c r="E130" s="85"/>
      <c r="F130" s="98" t="s">
        <v>77</v>
      </c>
      <c r="G130" s="86" t="s">
        <v>66</v>
      </c>
      <c r="H130" s="86">
        <f>IF(G130="EI",4,IF(G130="EO",5,IF(G130="EQ",4,0)))</f>
        <v>4</v>
      </c>
      <c r="I130" s="86">
        <f>IF([1]项目总工作量!B$6="交易类",H130*1.5/22,IF([1]项目总工作量!B$6="数据分析类",H130*1.5*0.9/22,IF([1]项目总工作量!B$6="流程管理类",H130*1.5*0.8/22,IF([1]项目总工作量!B$6="渠道类",H130*1.5*0.7/22,FALSE))))</f>
        <v>0.27272727272727271</v>
      </c>
      <c r="J130" s="86" t="s">
        <v>44</v>
      </c>
    </row>
    <row r="131" spans="1:10" s="152" customFormat="1" ht="14" x14ac:dyDescent="0.15">
      <c r="A131" s="148"/>
      <c r="B131" s="145"/>
      <c r="C131" s="156"/>
      <c r="D131" s="154">
        <f t="shared" si="2"/>
        <v>0.27272727272727271</v>
      </c>
      <c r="E131" s="85"/>
      <c r="F131" s="98" t="s">
        <v>597</v>
      </c>
      <c r="G131" s="86" t="s">
        <v>66</v>
      </c>
      <c r="H131" s="86">
        <f t="shared" si="3"/>
        <v>4</v>
      </c>
      <c r="I131" s="86">
        <f>IF([1]项目总工作量!B$6="交易类",H131*1.5/22,IF([1]项目总工作量!B$6="数据分析类",H131*1.5*0.9/22,IF([1]项目总工作量!B$6="流程管理类",H131*1.5*0.8/22,IF([1]项目总工作量!B$6="渠道类",H131*1.5*0.7/22,FALSE))))</f>
        <v>0.27272727272727271</v>
      </c>
      <c r="J131" s="86" t="s">
        <v>44</v>
      </c>
    </row>
    <row r="132" spans="1:10" s="152" customFormat="1" ht="14" x14ac:dyDescent="0.15">
      <c r="A132" s="148"/>
      <c r="B132" s="145"/>
      <c r="C132" s="156"/>
      <c r="D132" s="154">
        <f t="shared" ref="D132:D174" si="4">I132</f>
        <v>0.27272727272727271</v>
      </c>
      <c r="E132" s="85"/>
      <c r="F132" s="98" t="s">
        <v>598</v>
      </c>
      <c r="G132" s="86" t="s">
        <v>66</v>
      </c>
      <c r="H132" s="86">
        <f t="shared" ref="H132:H195" si="5">IF(G132="EI",4,IF(G132="EO",5,IF(G132="EQ",4,0)))</f>
        <v>4</v>
      </c>
      <c r="I132" s="86">
        <f>IF([1]项目总工作量!B$6="交易类",H132*1.5/22,IF([1]项目总工作量!B$6="数据分析类",H132*1.5*0.9/22,IF([1]项目总工作量!B$6="流程管理类",H132*1.5*0.8/22,IF([1]项目总工作量!B$6="渠道类",H132*1.5*0.7/22,FALSE))))</f>
        <v>0.27272727272727271</v>
      </c>
      <c r="J132" s="86" t="s">
        <v>44</v>
      </c>
    </row>
    <row r="133" spans="1:10" s="152" customFormat="1" ht="14" x14ac:dyDescent="0.15">
      <c r="A133" s="148"/>
      <c r="B133" s="145"/>
      <c r="C133" s="156"/>
      <c r="D133" s="154">
        <f t="shared" si="4"/>
        <v>0.27272727272727271</v>
      </c>
      <c r="E133" s="85"/>
      <c r="F133" s="98" t="s">
        <v>599</v>
      </c>
      <c r="G133" s="86" t="s">
        <v>66</v>
      </c>
      <c r="H133" s="86">
        <f t="shared" si="5"/>
        <v>4</v>
      </c>
      <c r="I133" s="86">
        <f>IF([1]项目总工作量!B$6="交易类",H133*1.5/22,IF([1]项目总工作量!B$6="数据分析类",H133*1.5*0.9/22,IF([1]项目总工作量!B$6="流程管理类",H133*1.5*0.8/22,IF([1]项目总工作量!B$6="渠道类",H133*1.5*0.7/22,FALSE))))</f>
        <v>0.27272727272727271</v>
      </c>
      <c r="J133" s="86" t="s">
        <v>44</v>
      </c>
    </row>
    <row r="134" spans="1:10" s="152" customFormat="1" ht="14" x14ac:dyDescent="0.15">
      <c r="A134" s="148"/>
      <c r="B134" s="145"/>
      <c r="C134" s="156"/>
      <c r="D134" s="154">
        <f t="shared" si="4"/>
        <v>0.27272727272727271</v>
      </c>
      <c r="E134" s="85">
        <v>1</v>
      </c>
      <c r="F134" s="98" t="s">
        <v>600</v>
      </c>
      <c r="G134" s="86" t="s">
        <v>66</v>
      </c>
      <c r="H134" s="86">
        <f t="shared" si="5"/>
        <v>4</v>
      </c>
      <c r="I134" s="86">
        <f>IF([1]项目总工作量!B$6="交易类",H134*1.5/22,IF([1]项目总工作量!B$6="数据分析类",H134*1.5*0.9/22,IF([1]项目总工作量!B$6="流程管理类",H134*1.5*0.8/22,IF([1]项目总工作量!B$6="渠道类",H134*1.5*0.7/22,FALSE))))</f>
        <v>0.27272727272727271</v>
      </c>
      <c r="J134" s="86" t="s">
        <v>44</v>
      </c>
    </row>
    <row r="135" spans="1:10" s="152" customFormat="1" ht="14" x14ac:dyDescent="0.15">
      <c r="A135" s="148"/>
      <c r="B135" s="145"/>
      <c r="C135" s="156"/>
      <c r="D135" s="154">
        <f t="shared" si="4"/>
        <v>0.27272727272727271</v>
      </c>
      <c r="E135" s="85">
        <v>0.25</v>
      </c>
      <c r="F135" s="98" t="s">
        <v>601</v>
      </c>
      <c r="G135" s="86" t="s">
        <v>66</v>
      </c>
      <c r="H135" s="86">
        <f t="shared" si="5"/>
        <v>4</v>
      </c>
      <c r="I135" s="86">
        <f>IF([1]项目总工作量!B$6="交易类",H135*1.5/22,IF([1]项目总工作量!B$6="数据分析类",H135*1.5*0.9/22,IF([1]项目总工作量!B$6="流程管理类",H135*1.5*0.8/22,IF([1]项目总工作量!B$6="渠道类",H135*1.5*0.7/22,FALSE))))</f>
        <v>0.27272727272727271</v>
      </c>
      <c r="J135" s="86" t="s">
        <v>44</v>
      </c>
    </row>
    <row r="136" spans="1:10" s="152" customFormat="1" ht="14" x14ac:dyDescent="0.15">
      <c r="A136" s="148"/>
      <c r="B136" s="145"/>
      <c r="C136" s="156"/>
      <c r="D136" s="154">
        <f t="shared" si="4"/>
        <v>0.27272727272727271</v>
      </c>
      <c r="E136" s="85"/>
      <c r="F136" s="98" t="s">
        <v>602</v>
      </c>
      <c r="G136" s="86" t="s">
        <v>66</v>
      </c>
      <c r="H136" s="86">
        <f t="shared" si="5"/>
        <v>4</v>
      </c>
      <c r="I136" s="86">
        <f>IF([1]项目总工作量!B$6="交易类",H136*1.5/22,IF([1]项目总工作量!B$6="数据分析类",H136*1.5*0.9/22,IF([1]项目总工作量!B$6="流程管理类",H136*1.5*0.8/22,IF([1]项目总工作量!B$6="渠道类",H136*1.5*0.7/22,FALSE))))</f>
        <v>0.27272727272727271</v>
      </c>
      <c r="J136" s="86" t="s">
        <v>44</v>
      </c>
    </row>
    <row r="137" spans="1:10" s="152" customFormat="1" ht="14" x14ac:dyDescent="0.15">
      <c r="A137" s="148"/>
      <c r="B137" s="145"/>
      <c r="C137" s="156"/>
      <c r="D137" s="154">
        <f t="shared" si="4"/>
        <v>0.27272727272727271</v>
      </c>
      <c r="E137" s="85"/>
      <c r="F137" s="98" t="s">
        <v>603</v>
      </c>
      <c r="G137" s="86" t="s">
        <v>66</v>
      </c>
      <c r="H137" s="86">
        <f t="shared" si="5"/>
        <v>4</v>
      </c>
      <c r="I137" s="86">
        <f>IF([1]项目总工作量!B$6="交易类",H137*1.5/22,IF([1]项目总工作量!B$6="数据分析类",H137*1.5*0.9/22,IF([1]项目总工作量!B$6="流程管理类",H137*1.5*0.8/22,IF([1]项目总工作量!B$6="渠道类",H137*1.5*0.7/22,FALSE))))</f>
        <v>0.27272727272727271</v>
      </c>
      <c r="J137" s="86" t="s">
        <v>44</v>
      </c>
    </row>
    <row r="138" spans="1:10" s="152" customFormat="1" ht="14" x14ac:dyDescent="0.15">
      <c r="A138" s="148"/>
      <c r="B138" s="145"/>
      <c r="C138" s="156"/>
      <c r="D138" s="154">
        <f t="shared" si="4"/>
        <v>0.27272727272727271</v>
      </c>
      <c r="E138" s="85"/>
      <c r="F138" s="98" t="s">
        <v>604</v>
      </c>
      <c r="G138" s="86" t="s">
        <v>66</v>
      </c>
      <c r="H138" s="86">
        <f t="shared" si="5"/>
        <v>4</v>
      </c>
      <c r="I138" s="86">
        <f>IF([1]项目总工作量!B$6="交易类",H138*1.5/22,IF([1]项目总工作量!B$6="数据分析类",H138*1.5*0.9/22,IF([1]项目总工作量!B$6="流程管理类",H138*1.5*0.8/22,IF([1]项目总工作量!B$6="渠道类",H138*1.5*0.7/22,FALSE))))</f>
        <v>0.27272727272727271</v>
      </c>
      <c r="J138" s="86" t="s">
        <v>44</v>
      </c>
    </row>
    <row r="139" spans="1:10" s="152" customFormat="1" ht="14" x14ac:dyDescent="0.15">
      <c r="A139" s="148"/>
      <c r="B139" s="145"/>
      <c r="C139" s="156"/>
      <c r="D139" s="154">
        <f t="shared" si="4"/>
        <v>0.27272727272727271</v>
      </c>
      <c r="E139" s="85"/>
      <c r="F139" s="98" t="s">
        <v>605</v>
      </c>
      <c r="G139" s="86" t="s">
        <v>66</v>
      </c>
      <c r="H139" s="86">
        <f t="shared" si="5"/>
        <v>4</v>
      </c>
      <c r="I139" s="86">
        <f>IF([1]项目总工作量!B$6="交易类",H139*1.5/22,IF([1]项目总工作量!B$6="数据分析类",H139*1.5*0.9/22,IF([1]项目总工作量!B$6="流程管理类",H139*1.5*0.8/22,IF([1]项目总工作量!B$6="渠道类",H139*1.5*0.7/22,FALSE))))</f>
        <v>0.27272727272727271</v>
      </c>
      <c r="J139" s="86" t="s">
        <v>44</v>
      </c>
    </row>
    <row r="140" spans="1:10" s="152" customFormat="1" ht="14" x14ac:dyDescent="0.15">
      <c r="A140" s="148"/>
      <c r="B140" s="145"/>
      <c r="C140" s="156"/>
      <c r="D140" s="154">
        <f t="shared" si="4"/>
        <v>0.27272727272727271</v>
      </c>
      <c r="E140" s="85"/>
      <c r="F140" s="98" t="s">
        <v>606</v>
      </c>
      <c r="G140" s="86" t="s">
        <v>66</v>
      </c>
      <c r="H140" s="86">
        <f t="shared" si="5"/>
        <v>4</v>
      </c>
      <c r="I140" s="86">
        <f>IF([1]项目总工作量!B$6="交易类",H140*1.5/22,IF([1]项目总工作量!B$6="数据分析类",H140*1.5*0.9/22,IF([1]项目总工作量!B$6="流程管理类",H140*1.5*0.8/22,IF([1]项目总工作量!B$6="渠道类",H140*1.5*0.7/22,FALSE))))</f>
        <v>0.27272727272727271</v>
      </c>
      <c r="J140" s="86" t="s">
        <v>44</v>
      </c>
    </row>
    <row r="141" spans="1:10" s="152" customFormat="1" ht="14" x14ac:dyDescent="0.15">
      <c r="A141" s="148"/>
      <c r="B141" s="145"/>
      <c r="C141" s="156"/>
      <c r="D141" s="154">
        <f t="shared" si="4"/>
        <v>0.27272727272727271</v>
      </c>
      <c r="E141" s="85"/>
      <c r="F141" s="98" t="s">
        <v>607</v>
      </c>
      <c r="G141" s="86" t="s">
        <v>66</v>
      </c>
      <c r="H141" s="86">
        <f t="shared" si="5"/>
        <v>4</v>
      </c>
      <c r="I141" s="86">
        <f>IF([1]项目总工作量!B$6="交易类",H141*1.5/22,IF([1]项目总工作量!B$6="数据分析类",H141*1.5*0.9/22,IF([1]项目总工作量!B$6="流程管理类",H141*1.5*0.8/22,IF([1]项目总工作量!B$6="渠道类",H141*1.5*0.7/22,FALSE))))</f>
        <v>0.27272727272727271</v>
      </c>
      <c r="J141" s="86" t="s">
        <v>44</v>
      </c>
    </row>
    <row r="142" spans="1:10" s="152" customFormat="1" ht="14" x14ac:dyDescent="0.15">
      <c r="A142" s="148"/>
      <c r="B142" s="145"/>
      <c r="C142" s="156"/>
      <c r="D142" s="154">
        <f t="shared" si="4"/>
        <v>0.27272727272727271</v>
      </c>
      <c r="E142" s="85"/>
      <c r="F142" s="98" t="s">
        <v>608</v>
      </c>
      <c r="G142" s="86" t="s">
        <v>66</v>
      </c>
      <c r="H142" s="86">
        <f t="shared" si="5"/>
        <v>4</v>
      </c>
      <c r="I142" s="86">
        <f>IF([1]项目总工作量!B$6="交易类",H142*1.5/22,IF([1]项目总工作量!B$6="数据分析类",H142*1.5*0.9/22,IF([1]项目总工作量!B$6="流程管理类",H142*1.5*0.8/22,IF([1]项目总工作量!B$6="渠道类",H142*1.5*0.7/22,FALSE))))</f>
        <v>0.27272727272727271</v>
      </c>
      <c r="J142" s="86" t="s">
        <v>44</v>
      </c>
    </row>
    <row r="143" spans="1:10" s="152" customFormat="1" ht="14" x14ac:dyDescent="0.15">
      <c r="A143" s="148"/>
      <c r="B143" s="145"/>
      <c r="C143" s="156"/>
      <c r="D143" s="154">
        <f t="shared" si="4"/>
        <v>0.27272727272727271</v>
      </c>
      <c r="E143" s="85"/>
      <c r="F143" s="98" t="s">
        <v>609</v>
      </c>
      <c r="G143" s="86" t="s">
        <v>66</v>
      </c>
      <c r="H143" s="86">
        <f t="shared" si="5"/>
        <v>4</v>
      </c>
      <c r="I143" s="86">
        <f>IF([1]项目总工作量!B$6="交易类",H143*1.5/22,IF([1]项目总工作量!B$6="数据分析类",H143*1.5*0.9/22,IF([1]项目总工作量!B$6="流程管理类",H143*1.5*0.8/22,IF([1]项目总工作量!B$6="渠道类",H143*1.5*0.7/22,FALSE))))</f>
        <v>0.27272727272727271</v>
      </c>
      <c r="J143" s="86" t="s">
        <v>44</v>
      </c>
    </row>
    <row r="144" spans="1:10" s="152" customFormat="1" ht="14" x14ac:dyDescent="0.15">
      <c r="A144" s="148"/>
      <c r="B144" s="145"/>
      <c r="C144" s="156"/>
      <c r="D144" s="154">
        <f t="shared" si="4"/>
        <v>0.27272727272727271</v>
      </c>
      <c r="E144" s="85"/>
      <c r="F144" s="98" t="s">
        <v>610</v>
      </c>
      <c r="G144" s="86" t="s">
        <v>66</v>
      </c>
      <c r="H144" s="86">
        <f t="shared" si="5"/>
        <v>4</v>
      </c>
      <c r="I144" s="86">
        <f>IF([1]项目总工作量!B$6="交易类",H144*1.5/22,IF([1]项目总工作量!B$6="数据分析类",H144*1.5*0.9/22,IF([1]项目总工作量!B$6="流程管理类",H144*1.5*0.8/22,IF([1]项目总工作量!B$6="渠道类",H144*1.5*0.7/22,FALSE))))</f>
        <v>0.27272727272727271</v>
      </c>
      <c r="J144" s="86" t="s">
        <v>44</v>
      </c>
    </row>
    <row r="145" spans="1:10" s="152" customFormat="1" ht="14" x14ac:dyDescent="0.15">
      <c r="A145" s="148"/>
      <c r="B145" s="145"/>
      <c r="C145" s="156"/>
      <c r="D145" s="154">
        <f t="shared" si="4"/>
        <v>0.27272727272727271</v>
      </c>
      <c r="E145" s="85"/>
      <c r="F145" s="98" t="s">
        <v>611</v>
      </c>
      <c r="G145" s="86" t="s">
        <v>66</v>
      </c>
      <c r="H145" s="86">
        <f t="shared" si="5"/>
        <v>4</v>
      </c>
      <c r="I145" s="86">
        <f>IF([1]项目总工作量!B$6="交易类",H145*1.5/22,IF([1]项目总工作量!B$6="数据分析类",H145*1.5*0.9/22,IF([1]项目总工作量!B$6="流程管理类",H145*1.5*0.8/22,IF([1]项目总工作量!B$6="渠道类",H145*1.5*0.7/22,FALSE))))</f>
        <v>0.27272727272727271</v>
      </c>
      <c r="J145" s="86" t="s">
        <v>44</v>
      </c>
    </row>
    <row r="146" spans="1:10" s="152" customFormat="1" ht="14" x14ac:dyDescent="0.15">
      <c r="A146" s="148"/>
      <c r="B146" s="145"/>
      <c r="C146" s="156"/>
      <c r="D146" s="154">
        <f t="shared" si="4"/>
        <v>0.27272727272727271</v>
      </c>
      <c r="E146" s="85"/>
      <c r="F146" s="98" t="s">
        <v>612</v>
      </c>
      <c r="G146" s="86" t="s">
        <v>66</v>
      </c>
      <c r="H146" s="86">
        <f t="shared" si="5"/>
        <v>4</v>
      </c>
      <c r="I146" s="86">
        <f>IF([1]项目总工作量!B$6="交易类",H146*1.5/22,IF([1]项目总工作量!B$6="数据分析类",H146*1.5*0.9/22,IF([1]项目总工作量!B$6="流程管理类",H146*1.5*0.8/22,IF([1]项目总工作量!B$6="渠道类",H146*1.5*0.7/22,FALSE))))</f>
        <v>0.27272727272727271</v>
      </c>
      <c r="J146" s="86" t="s">
        <v>44</v>
      </c>
    </row>
    <row r="147" spans="1:10" s="152" customFormat="1" ht="14" x14ac:dyDescent="0.15">
      <c r="A147" s="148"/>
      <c r="B147" s="145"/>
      <c r="C147" s="156"/>
      <c r="D147" s="154">
        <f t="shared" si="4"/>
        <v>0.27272727272727271</v>
      </c>
      <c r="E147" s="85"/>
      <c r="F147" s="98" t="s">
        <v>613</v>
      </c>
      <c r="G147" s="86" t="s">
        <v>66</v>
      </c>
      <c r="H147" s="86">
        <f t="shared" si="5"/>
        <v>4</v>
      </c>
      <c r="I147" s="86">
        <f>IF([1]项目总工作量!B$6="交易类",H147*1.5/22,IF([1]项目总工作量!B$6="数据分析类",H147*1.5*0.9/22,IF([1]项目总工作量!B$6="流程管理类",H147*1.5*0.8/22,IF([1]项目总工作量!B$6="渠道类",H147*1.5*0.7/22,FALSE))))</f>
        <v>0.27272727272727271</v>
      </c>
      <c r="J147" s="86" t="s">
        <v>44</v>
      </c>
    </row>
    <row r="148" spans="1:10" s="152" customFormat="1" ht="14" x14ac:dyDescent="0.15">
      <c r="A148" s="148"/>
      <c r="B148" s="145"/>
      <c r="C148" s="156"/>
      <c r="D148" s="154">
        <f t="shared" si="4"/>
        <v>0.27272727272727271</v>
      </c>
      <c r="E148" s="85"/>
      <c r="F148" s="98" t="s">
        <v>614</v>
      </c>
      <c r="G148" s="86" t="s">
        <v>66</v>
      </c>
      <c r="H148" s="86">
        <f t="shared" si="5"/>
        <v>4</v>
      </c>
      <c r="I148" s="86">
        <f>IF([1]项目总工作量!B$6="交易类",H148*1.5/22,IF([1]项目总工作量!B$6="数据分析类",H148*1.5*0.9/22,IF([1]项目总工作量!B$6="流程管理类",H148*1.5*0.8/22,IF([1]项目总工作量!B$6="渠道类",H148*1.5*0.7/22,FALSE))))</f>
        <v>0.27272727272727271</v>
      </c>
      <c r="J148" s="86" t="s">
        <v>44</v>
      </c>
    </row>
    <row r="149" spans="1:10" s="152" customFormat="1" ht="14" x14ac:dyDescent="0.15">
      <c r="A149" s="148"/>
      <c r="B149" s="145"/>
      <c r="C149" s="156"/>
      <c r="D149" s="154">
        <f t="shared" si="4"/>
        <v>0.27272727272727271</v>
      </c>
      <c r="E149" s="85"/>
      <c r="F149" s="98" t="s">
        <v>615</v>
      </c>
      <c r="G149" s="86" t="s">
        <v>66</v>
      </c>
      <c r="H149" s="86">
        <f t="shared" si="5"/>
        <v>4</v>
      </c>
      <c r="I149" s="86">
        <f>IF([1]项目总工作量!B$6="交易类",H149*1.5/22,IF([1]项目总工作量!B$6="数据分析类",H149*1.5*0.9/22,IF([1]项目总工作量!B$6="流程管理类",H149*1.5*0.8/22,IF([1]项目总工作量!B$6="渠道类",H149*1.5*0.7/22,FALSE))))</f>
        <v>0.27272727272727271</v>
      </c>
      <c r="J149" s="86" t="s">
        <v>44</v>
      </c>
    </row>
    <row r="150" spans="1:10" s="152" customFormat="1" ht="14" x14ac:dyDescent="0.15">
      <c r="A150" s="148"/>
      <c r="B150" s="145"/>
      <c r="C150" s="156"/>
      <c r="D150" s="154">
        <f t="shared" si="4"/>
        <v>0.27272727272727271</v>
      </c>
      <c r="E150" s="85"/>
      <c r="F150" s="98" t="s">
        <v>616</v>
      </c>
      <c r="G150" s="86" t="s">
        <v>66</v>
      </c>
      <c r="H150" s="86">
        <f t="shared" si="5"/>
        <v>4</v>
      </c>
      <c r="I150" s="86">
        <f>IF([1]项目总工作量!B$6="交易类",H150*1.5/22,IF([1]项目总工作量!B$6="数据分析类",H150*1.5*0.9/22,IF([1]项目总工作量!B$6="流程管理类",H150*1.5*0.8/22,IF([1]项目总工作量!B$6="渠道类",H150*1.5*0.7/22,FALSE))))</f>
        <v>0.27272727272727271</v>
      </c>
      <c r="J150" s="86" t="s">
        <v>44</v>
      </c>
    </row>
    <row r="151" spans="1:10" s="152" customFormat="1" ht="14" x14ac:dyDescent="0.15">
      <c r="A151" s="148"/>
      <c r="B151" s="145"/>
      <c r="C151" s="156"/>
      <c r="D151" s="154">
        <f t="shared" si="4"/>
        <v>0.27272727272727271</v>
      </c>
      <c r="E151" s="85"/>
      <c r="F151" s="98" t="s">
        <v>617</v>
      </c>
      <c r="G151" s="86" t="s">
        <v>66</v>
      </c>
      <c r="H151" s="86">
        <f t="shared" si="5"/>
        <v>4</v>
      </c>
      <c r="I151" s="86">
        <f>IF([1]项目总工作量!B$6="交易类",H151*1.5/22,IF([1]项目总工作量!B$6="数据分析类",H151*1.5*0.9/22,IF([1]项目总工作量!B$6="流程管理类",H151*1.5*0.8/22,IF([1]项目总工作量!B$6="渠道类",H151*1.5*0.7/22,FALSE))))</f>
        <v>0.27272727272727271</v>
      </c>
      <c r="J151" s="86" t="s">
        <v>44</v>
      </c>
    </row>
    <row r="152" spans="1:10" s="152" customFormat="1" ht="14" x14ac:dyDescent="0.15">
      <c r="A152" s="148"/>
      <c r="B152" s="145"/>
      <c r="C152" s="156"/>
      <c r="D152" s="154">
        <f t="shared" si="4"/>
        <v>0.27272727272727271</v>
      </c>
      <c r="E152" s="85"/>
      <c r="F152" s="98" t="s">
        <v>618</v>
      </c>
      <c r="G152" s="86" t="s">
        <v>66</v>
      </c>
      <c r="H152" s="86">
        <f t="shared" si="5"/>
        <v>4</v>
      </c>
      <c r="I152" s="86">
        <f>IF([1]项目总工作量!B$6="交易类",H152*1.5/22,IF([1]项目总工作量!B$6="数据分析类",H152*1.5*0.9/22,IF([1]项目总工作量!B$6="流程管理类",H152*1.5*0.8/22,IF([1]项目总工作量!B$6="渠道类",H152*1.5*0.7/22,FALSE))))</f>
        <v>0.27272727272727271</v>
      </c>
      <c r="J152" s="86" t="s">
        <v>44</v>
      </c>
    </row>
    <row r="153" spans="1:10" s="152" customFormat="1" ht="14" x14ac:dyDescent="0.15">
      <c r="A153" s="148"/>
      <c r="B153" s="145"/>
      <c r="C153" s="156"/>
      <c r="D153" s="154">
        <f t="shared" si="4"/>
        <v>0.27272727272727271</v>
      </c>
      <c r="E153" s="85"/>
      <c r="F153" s="98" t="s">
        <v>619</v>
      </c>
      <c r="G153" s="86" t="s">
        <v>66</v>
      </c>
      <c r="H153" s="86">
        <f t="shared" si="5"/>
        <v>4</v>
      </c>
      <c r="I153" s="86">
        <f>IF([1]项目总工作量!B$6="交易类",H153*1.5/22,IF([1]项目总工作量!B$6="数据分析类",H153*1.5*0.9/22,IF([1]项目总工作量!B$6="流程管理类",H153*1.5*0.8/22,IF([1]项目总工作量!B$6="渠道类",H153*1.5*0.7/22,FALSE))))</f>
        <v>0.27272727272727271</v>
      </c>
      <c r="J153" s="86" t="s">
        <v>44</v>
      </c>
    </row>
    <row r="154" spans="1:10" s="152" customFormat="1" ht="14" x14ac:dyDescent="0.15">
      <c r="A154" s="148"/>
      <c r="B154" s="145"/>
      <c r="C154" s="156"/>
      <c r="D154" s="154">
        <f t="shared" si="4"/>
        <v>0.27272727272727271</v>
      </c>
      <c r="E154" s="85">
        <v>1</v>
      </c>
      <c r="F154" s="98" t="s">
        <v>70</v>
      </c>
      <c r="G154" s="86" t="s">
        <v>66</v>
      </c>
      <c r="H154" s="86">
        <f t="shared" si="5"/>
        <v>4</v>
      </c>
      <c r="I154" s="86">
        <f>IF([1]项目总工作量!B$6="交易类",H154*1.5/22,IF([1]项目总工作量!B$6="数据分析类",H154*1.5*0.9/22,IF([1]项目总工作量!B$6="流程管理类",H154*1.5*0.8/22,IF([1]项目总工作量!B$6="渠道类",H154*1.5*0.7/22,FALSE))))</f>
        <v>0.27272727272727271</v>
      </c>
      <c r="J154" s="86" t="s">
        <v>44</v>
      </c>
    </row>
    <row r="155" spans="1:10" s="152" customFormat="1" ht="14" x14ac:dyDescent="0.15">
      <c r="A155" s="148"/>
      <c r="B155" s="145"/>
      <c r="C155" s="156"/>
      <c r="D155" s="154">
        <f t="shared" si="4"/>
        <v>0.27272727272727271</v>
      </c>
      <c r="E155" s="85"/>
      <c r="F155" s="98" t="s">
        <v>71</v>
      </c>
      <c r="G155" s="86" t="s">
        <v>66</v>
      </c>
      <c r="H155" s="86">
        <f t="shared" si="5"/>
        <v>4</v>
      </c>
      <c r="I155" s="86">
        <f>IF([1]项目总工作量!B$6="交易类",H155*1.5/22,IF([1]项目总工作量!B$6="数据分析类",H155*1.5*0.9/22,IF([1]项目总工作量!B$6="流程管理类",H155*1.5*0.8/22,IF([1]项目总工作量!B$6="渠道类",H155*1.5*0.7/22,FALSE))))</f>
        <v>0.27272727272727271</v>
      </c>
      <c r="J155" s="86" t="s">
        <v>44</v>
      </c>
    </row>
    <row r="156" spans="1:10" s="152" customFormat="1" ht="14" x14ac:dyDescent="0.15">
      <c r="A156" s="148"/>
      <c r="B156" s="145"/>
      <c r="C156" s="156"/>
      <c r="D156" s="154">
        <f t="shared" si="4"/>
        <v>0.27272727272727271</v>
      </c>
      <c r="E156" s="85"/>
      <c r="F156" s="98" t="s">
        <v>620</v>
      </c>
      <c r="G156" s="86" t="s">
        <v>66</v>
      </c>
      <c r="H156" s="86">
        <f t="shared" si="5"/>
        <v>4</v>
      </c>
      <c r="I156" s="86">
        <f>IF([1]项目总工作量!B$6="交易类",H156*1.5/22,IF([1]项目总工作量!B$6="数据分析类",H156*1.5*0.9/22,IF([1]项目总工作量!B$6="流程管理类",H156*1.5*0.8/22,IF([1]项目总工作量!B$6="渠道类",H156*1.5*0.7/22,FALSE))))</f>
        <v>0.27272727272727271</v>
      </c>
      <c r="J156" s="86" t="s">
        <v>44</v>
      </c>
    </row>
    <row r="157" spans="1:10" s="152" customFormat="1" ht="14" x14ac:dyDescent="0.15">
      <c r="A157" s="148"/>
      <c r="B157" s="145"/>
      <c r="C157" s="156"/>
      <c r="D157" s="154">
        <f t="shared" si="4"/>
        <v>0.27272727272727271</v>
      </c>
      <c r="E157" s="85"/>
      <c r="F157" s="98" t="s">
        <v>621</v>
      </c>
      <c r="G157" s="86" t="s">
        <v>66</v>
      </c>
      <c r="H157" s="86">
        <f t="shared" si="5"/>
        <v>4</v>
      </c>
      <c r="I157" s="86">
        <f>IF([1]项目总工作量!B$6="交易类",H157*1.5/22,IF([1]项目总工作量!B$6="数据分析类",H157*1.5*0.9/22,IF([1]项目总工作量!B$6="流程管理类",H157*1.5*0.8/22,IF([1]项目总工作量!B$6="渠道类",H157*1.5*0.7/22,FALSE))))</f>
        <v>0.27272727272727271</v>
      </c>
      <c r="J157" s="86" t="s">
        <v>44</v>
      </c>
    </row>
    <row r="158" spans="1:10" s="152" customFormat="1" ht="14" x14ac:dyDescent="0.15">
      <c r="A158" s="148"/>
      <c r="B158" s="145"/>
      <c r="C158" s="156"/>
      <c r="D158" s="154">
        <f t="shared" si="4"/>
        <v>0.27272727272727271</v>
      </c>
      <c r="E158" s="85"/>
      <c r="F158" s="98" t="s">
        <v>622</v>
      </c>
      <c r="G158" s="86" t="s">
        <v>66</v>
      </c>
      <c r="H158" s="86">
        <f t="shared" si="5"/>
        <v>4</v>
      </c>
      <c r="I158" s="86">
        <f>IF([1]项目总工作量!B$6="交易类",H158*1.5/22,IF([1]项目总工作量!B$6="数据分析类",H158*1.5*0.9/22,IF([1]项目总工作量!B$6="流程管理类",H158*1.5*0.8/22,IF([1]项目总工作量!B$6="渠道类",H158*1.5*0.7/22,FALSE))))</f>
        <v>0.27272727272727271</v>
      </c>
      <c r="J158" s="86" t="s">
        <v>44</v>
      </c>
    </row>
    <row r="159" spans="1:10" s="152" customFormat="1" ht="14" x14ac:dyDescent="0.15">
      <c r="A159" s="148"/>
      <c r="B159" s="145"/>
      <c r="C159" s="156"/>
      <c r="D159" s="154">
        <f>I160</f>
        <v>0.27272727272727271</v>
      </c>
      <c r="E159" s="85"/>
      <c r="F159" s="98" t="s">
        <v>623</v>
      </c>
      <c r="G159" s="86" t="s">
        <v>66</v>
      </c>
      <c r="H159" s="86">
        <f t="shared" si="5"/>
        <v>4</v>
      </c>
      <c r="I159" s="86">
        <f>IF([1]项目总工作量!B$6="交易类",H159*1.5/22,IF([1]项目总工作量!B$6="数据分析类",H159*1.5*0.9/22,IF([1]项目总工作量!B$6="流程管理类",H159*1.5*0.8/22,IF([1]项目总工作量!B$6="渠道类",H159*1.5*0.7/22,FALSE))))</f>
        <v>0.27272727272727271</v>
      </c>
      <c r="J159" s="86" t="s">
        <v>44</v>
      </c>
    </row>
    <row r="160" spans="1:10" s="152" customFormat="1" ht="14" x14ac:dyDescent="0.15">
      <c r="A160" s="148"/>
      <c r="B160" s="145"/>
      <c r="C160" s="156"/>
      <c r="D160" s="154">
        <f>I161</f>
        <v>0.27272727272727271</v>
      </c>
      <c r="E160" s="85"/>
      <c r="F160" s="98" t="s">
        <v>624</v>
      </c>
      <c r="G160" s="86" t="s">
        <v>66</v>
      </c>
      <c r="H160" s="86">
        <f t="shared" si="5"/>
        <v>4</v>
      </c>
      <c r="I160" s="86">
        <f>IF([1]项目总工作量!B$6="交易类",H160*1.5/22,IF([1]项目总工作量!B$6="数据分析类",H160*1.5*0.9/22,IF([1]项目总工作量!B$6="流程管理类",H160*1.5*0.8/22,IF([1]项目总工作量!B$6="渠道类",H160*1.5*0.7/22,FALSE))))</f>
        <v>0.27272727272727271</v>
      </c>
      <c r="J160" s="86" t="s">
        <v>44</v>
      </c>
    </row>
    <row r="161" spans="1:10" s="152" customFormat="1" ht="14" x14ac:dyDescent="0.15">
      <c r="A161" s="148"/>
      <c r="B161" s="145"/>
      <c r="C161" s="156"/>
      <c r="D161" s="154">
        <f t="shared" si="4"/>
        <v>0.27272727272727271</v>
      </c>
      <c r="E161" s="85"/>
      <c r="F161" s="98" t="s">
        <v>78</v>
      </c>
      <c r="G161" s="86" t="s">
        <v>66</v>
      </c>
      <c r="H161" s="86">
        <f t="shared" si="5"/>
        <v>4</v>
      </c>
      <c r="I161" s="86">
        <f>IF([1]项目总工作量!B$6="交易类",H161*1.5/22,IF([1]项目总工作量!B$6="数据分析类",H161*1.5*0.9/22,IF([1]项目总工作量!B$6="流程管理类",H161*1.5*0.8/22,IF([1]项目总工作量!B$6="渠道类",H161*1.5*0.7/22,FALSE))))</f>
        <v>0.27272727272727271</v>
      </c>
      <c r="J161" s="86" t="s">
        <v>44</v>
      </c>
    </row>
    <row r="162" spans="1:10" s="152" customFormat="1" ht="14" x14ac:dyDescent="0.15">
      <c r="A162" s="148"/>
      <c r="B162" s="145"/>
      <c r="C162" s="156"/>
      <c r="D162" s="154">
        <f t="shared" si="4"/>
        <v>0.27272727272727271</v>
      </c>
      <c r="E162" s="85"/>
      <c r="F162" s="98" t="s">
        <v>625</v>
      </c>
      <c r="G162" s="86" t="s">
        <v>66</v>
      </c>
      <c r="H162" s="86">
        <f t="shared" si="5"/>
        <v>4</v>
      </c>
      <c r="I162" s="86">
        <f>IF([1]项目总工作量!B$6="交易类",H162*1.5/22,IF([1]项目总工作量!B$6="数据分析类",H162*1.5*0.9/22,IF([1]项目总工作量!B$6="流程管理类",H162*1.5*0.8/22,IF([1]项目总工作量!B$6="渠道类",H162*1.5*0.7/22,FALSE))))</f>
        <v>0.27272727272727271</v>
      </c>
      <c r="J162" s="86" t="s">
        <v>44</v>
      </c>
    </row>
    <row r="163" spans="1:10" s="152" customFormat="1" ht="14" x14ac:dyDescent="0.15">
      <c r="A163" s="148"/>
      <c r="B163" s="145"/>
      <c r="C163" s="156"/>
      <c r="D163" s="154">
        <f t="shared" si="4"/>
        <v>0.27272727272727271</v>
      </c>
      <c r="E163" s="85"/>
      <c r="F163" s="98" t="s">
        <v>79</v>
      </c>
      <c r="G163" s="86" t="s">
        <v>66</v>
      </c>
      <c r="H163" s="86">
        <f t="shared" si="5"/>
        <v>4</v>
      </c>
      <c r="I163" s="86">
        <f>IF([1]项目总工作量!B$6="交易类",H163*1.5/22,IF([1]项目总工作量!B$6="数据分析类",H163*1.5*0.9/22,IF([1]项目总工作量!B$6="流程管理类",H163*1.5*0.8/22,IF([1]项目总工作量!B$6="渠道类",H163*1.5*0.7/22,FALSE))))</f>
        <v>0.27272727272727271</v>
      </c>
      <c r="J163" s="86" t="s">
        <v>44</v>
      </c>
    </row>
    <row r="164" spans="1:10" s="152" customFormat="1" ht="14" x14ac:dyDescent="0.15">
      <c r="A164" s="148"/>
      <c r="B164" s="145"/>
      <c r="C164" s="156"/>
      <c r="D164" s="154">
        <f t="shared" si="4"/>
        <v>0.27272727272727271</v>
      </c>
      <c r="E164" s="85"/>
      <c r="F164" s="98" t="s">
        <v>626</v>
      </c>
      <c r="G164" s="86" t="s">
        <v>66</v>
      </c>
      <c r="H164" s="86">
        <f t="shared" si="5"/>
        <v>4</v>
      </c>
      <c r="I164" s="86">
        <f>IF([1]项目总工作量!B$6="交易类",H164*1.5/22,IF([1]项目总工作量!B$6="数据分析类",H164*1.5*0.9/22,IF([1]项目总工作量!B$6="流程管理类",H164*1.5*0.8/22,IF([1]项目总工作量!B$6="渠道类",H164*1.5*0.7/22,FALSE))))</f>
        <v>0.27272727272727271</v>
      </c>
      <c r="J164" s="86" t="s">
        <v>44</v>
      </c>
    </row>
    <row r="165" spans="1:10" s="152" customFormat="1" ht="14" x14ac:dyDescent="0.15">
      <c r="A165" s="148"/>
      <c r="B165" s="145"/>
      <c r="C165" s="156"/>
      <c r="D165" s="154">
        <f t="shared" si="4"/>
        <v>0.27272727272727271</v>
      </c>
      <c r="E165" s="85"/>
      <c r="F165" s="98" t="s">
        <v>627</v>
      </c>
      <c r="G165" s="86" t="s">
        <v>66</v>
      </c>
      <c r="H165" s="86">
        <f t="shared" si="5"/>
        <v>4</v>
      </c>
      <c r="I165" s="86">
        <f>IF([1]项目总工作量!B$6="交易类",H165*1.5/22,IF([1]项目总工作量!B$6="数据分析类",H165*1.5*0.9/22,IF([1]项目总工作量!B$6="流程管理类",H165*1.5*0.8/22,IF([1]项目总工作量!B$6="渠道类",H165*1.5*0.7/22,FALSE))))</f>
        <v>0.27272727272727271</v>
      </c>
      <c r="J165" s="86" t="s">
        <v>44</v>
      </c>
    </row>
    <row r="166" spans="1:10" s="152" customFormat="1" ht="14" x14ac:dyDescent="0.15">
      <c r="A166" s="148"/>
      <c r="B166" s="145"/>
      <c r="C166" s="156"/>
      <c r="D166" s="154">
        <f t="shared" si="4"/>
        <v>0.27272727272727271</v>
      </c>
      <c r="E166" s="85"/>
      <c r="F166" s="98" t="s">
        <v>628</v>
      </c>
      <c r="G166" s="86" t="s">
        <v>66</v>
      </c>
      <c r="H166" s="86">
        <f t="shared" si="5"/>
        <v>4</v>
      </c>
      <c r="I166" s="86">
        <f>IF([1]项目总工作量!B$6="交易类",H166*1.5/22,IF([1]项目总工作量!B$6="数据分析类",H166*1.5*0.9/22,IF([1]项目总工作量!B$6="流程管理类",H166*1.5*0.8/22,IF([1]项目总工作量!B$6="渠道类",H166*1.5*0.7/22,FALSE))))</f>
        <v>0.27272727272727271</v>
      </c>
      <c r="J166" s="86" t="s">
        <v>44</v>
      </c>
    </row>
    <row r="167" spans="1:10" s="152" customFormat="1" ht="14" x14ac:dyDescent="0.15">
      <c r="A167" s="148"/>
      <c r="B167" s="145"/>
      <c r="C167" s="156"/>
      <c r="D167" s="154">
        <f t="shared" si="4"/>
        <v>0.27272727272727271</v>
      </c>
      <c r="E167" s="85"/>
      <c r="F167" s="98" t="s">
        <v>629</v>
      </c>
      <c r="G167" s="86" t="s">
        <v>66</v>
      </c>
      <c r="H167" s="86">
        <f t="shared" si="5"/>
        <v>4</v>
      </c>
      <c r="I167" s="86">
        <f>IF([1]项目总工作量!B$6="交易类",H167*1.5/22,IF([1]项目总工作量!B$6="数据分析类",H167*1.5*0.9/22,IF([1]项目总工作量!B$6="流程管理类",H167*1.5*0.8/22,IF([1]项目总工作量!B$6="渠道类",H167*1.5*0.7/22,FALSE))))</f>
        <v>0.27272727272727271</v>
      </c>
      <c r="J167" s="86" t="s">
        <v>44</v>
      </c>
    </row>
    <row r="168" spans="1:10" s="152" customFormat="1" ht="14" x14ac:dyDescent="0.15">
      <c r="A168" s="148"/>
      <c r="B168" s="145"/>
      <c r="C168" s="156"/>
      <c r="D168" s="154">
        <f t="shared" si="4"/>
        <v>0.27272727272727271</v>
      </c>
      <c r="E168" s="85"/>
      <c r="F168" s="98" t="s">
        <v>630</v>
      </c>
      <c r="G168" s="86" t="s">
        <v>66</v>
      </c>
      <c r="H168" s="86">
        <f t="shared" si="5"/>
        <v>4</v>
      </c>
      <c r="I168" s="86">
        <f>IF([1]项目总工作量!B$6="交易类",H168*1.5/22,IF([1]项目总工作量!B$6="数据分析类",H168*1.5*0.9/22,IF([1]项目总工作量!B$6="流程管理类",H168*1.5*0.8/22,IF([1]项目总工作量!B$6="渠道类",H168*1.5*0.7/22,FALSE))))</f>
        <v>0.27272727272727271</v>
      </c>
      <c r="J168" s="86" t="s">
        <v>44</v>
      </c>
    </row>
    <row r="169" spans="1:10" s="152" customFormat="1" ht="14" x14ac:dyDescent="0.15">
      <c r="A169" s="148"/>
      <c r="B169" s="145"/>
      <c r="C169" s="156"/>
      <c r="D169" s="154">
        <f t="shared" si="4"/>
        <v>0.27272727272727271</v>
      </c>
      <c r="E169" s="85"/>
      <c r="F169" s="98" t="s">
        <v>631</v>
      </c>
      <c r="G169" s="86" t="s">
        <v>66</v>
      </c>
      <c r="H169" s="86">
        <f t="shared" si="5"/>
        <v>4</v>
      </c>
      <c r="I169" s="86">
        <f>IF([1]项目总工作量!B$6="交易类",H169*1.5/22,IF([1]项目总工作量!B$6="数据分析类",H169*1.5*0.9/22,IF([1]项目总工作量!B$6="流程管理类",H169*1.5*0.8/22,IF([1]项目总工作量!B$6="渠道类",H169*1.5*0.7/22,FALSE))))</f>
        <v>0.27272727272727271</v>
      </c>
      <c r="J169" s="86" t="s">
        <v>44</v>
      </c>
    </row>
    <row r="170" spans="1:10" s="152" customFormat="1" ht="14" x14ac:dyDescent="0.15">
      <c r="A170" s="148"/>
      <c r="B170" s="145"/>
      <c r="C170" s="156"/>
      <c r="D170" s="154">
        <f t="shared" si="4"/>
        <v>0.27272727272727271</v>
      </c>
      <c r="E170" s="85"/>
      <c r="F170" s="98" t="s">
        <v>632</v>
      </c>
      <c r="G170" s="86" t="s">
        <v>66</v>
      </c>
      <c r="H170" s="86">
        <f t="shared" si="5"/>
        <v>4</v>
      </c>
      <c r="I170" s="86">
        <f>IF([1]项目总工作量!B$6="交易类",H170*1.5/22,IF([1]项目总工作量!B$6="数据分析类",H170*1.5*0.9/22,IF([1]项目总工作量!B$6="流程管理类",H170*1.5*0.8/22,IF([1]项目总工作量!B$6="渠道类",H170*1.5*0.7/22,FALSE))))</f>
        <v>0.27272727272727271</v>
      </c>
      <c r="J170" s="86" t="s">
        <v>44</v>
      </c>
    </row>
    <row r="171" spans="1:10" s="152" customFormat="1" ht="14" x14ac:dyDescent="0.15">
      <c r="A171" s="148"/>
      <c r="B171" s="145"/>
      <c r="C171" s="156"/>
      <c r="D171" s="154">
        <f t="shared" si="4"/>
        <v>0.27272727272727271</v>
      </c>
      <c r="E171" s="85"/>
      <c r="F171" s="98" t="s">
        <v>633</v>
      </c>
      <c r="G171" s="86" t="s">
        <v>66</v>
      </c>
      <c r="H171" s="86">
        <f t="shared" si="5"/>
        <v>4</v>
      </c>
      <c r="I171" s="86">
        <f>IF([1]项目总工作量!B$6="交易类",H171*1.5/22,IF([1]项目总工作量!B$6="数据分析类",H171*1.5*0.9/22,IF([1]项目总工作量!B$6="流程管理类",H171*1.5*0.8/22,IF([1]项目总工作量!B$6="渠道类",H171*1.5*0.7/22,FALSE))))</f>
        <v>0.27272727272727271</v>
      </c>
      <c r="J171" s="86" t="s">
        <v>44</v>
      </c>
    </row>
    <row r="172" spans="1:10" s="152" customFormat="1" ht="14" x14ac:dyDescent="0.15">
      <c r="A172" s="148"/>
      <c r="B172" s="145"/>
      <c r="C172" s="156"/>
      <c r="D172" s="154">
        <f t="shared" si="4"/>
        <v>0.27272727272727271</v>
      </c>
      <c r="E172" s="85"/>
      <c r="F172" s="98" t="s">
        <v>634</v>
      </c>
      <c r="G172" s="86" t="s">
        <v>66</v>
      </c>
      <c r="H172" s="86">
        <f t="shared" si="5"/>
        <v>4</v>
      </c>
      <c r="I172" s="86">
        <f>IF([1]项目总工作量!B$6="交易类",H172*1.5/22,IF([1]项目总工作量!B$6="数据分析类",H172*1.5*0.9/22,IF([1]项目总工作量!B$6="流程管理类",H172*1.5*0.8/22,IF([1]项目总工作量!B$6="渠道类",H172*1.5*0.7/22,FALSE))))</f>
        <v>0.27272727272727271</v>
      </c>
      <c r="J172" s="86" t="s">
        <v>44</v>
      </c>
    </row>
    <row r="173" spans="1:10" s="152" customFormat="1" ht="14" x14ac:dyDescent="0.15">
      <c r="A173" s="148"/>
      <c r="B173" s="145"/>
      <c r="C173" s="156"/>
      <c r="D173" s="154">
        <f t="shared" si="4"/>
        <v>0.27272727272727271</v>
      </c>
      <c r="E173" s="85"/>
      <c r="F173" s="98" t="s">
        <v>80</v>
      </c>
      <c r="G173" s="86" t="s">
        <v>66</v>
      </c>
      <c r="H173" s="86">
        <f t="shared" si="5"/>
        <v>4</v>
      </c>
      <c r="I173" s="86">
        <f>IF([1]项目总工作量!B$6="交易类",H173*1.5/22,IF([1]项目总工作量!B$6="数据分析类",H173*1.5*0.9/22,IF([1]项目总工作量!B$6="流程管理类",H173*1.5*0.8/22,IF([1]项目总工作量!B$6="渠道类",H173*1.5*0.7/22,FALSE))))</f>
        <v>0.27272727272727271</v>
      </c>
      <c r="J173" s="86" t="s">
        <v>44</v>
      </c>
    </row>
    <row r="174" spans="1:10" s="152" customFormat="1" ht="14" x14ac:dyDescent="0.15">
      <c r="A174" s="148"/>
      <c r="B174" s="145"/>
      <c r="C174" s="156"/>
      <c r="D174" s="154">
        <f t="shared" si="4"/>
        <v>0.27272727272727271</v>
      </c>
      <c r="E174" s="85"/>
      <c r="F174" s="98" t="s">
        <v>635</v>
      </c>
      <c r="G174" s="86" t="s">
        <v>66</v>
      </c>
      <c r="H174" s="86">
        <f t="shared" si="5"/>
        <v>4</v>
      </c>
      <c r="I174" s="86">
        <f>IF([1]项目总工作量!B$6="交易类",H174*1.5/22,IF([1]项目总工作量!B$6="数据分析类",H174*1.5*0.9/22,IF([1]项目总工作量!B$6="流程管理类",H174*1.5*0.8/22,IF([1]项目总工作量!B$6="渠道类",H174*1.5*0.7/22,FALSE))))</f>
        <v>0.27272727272727271</v>
      </c>
      <c r="J174" s="86" t="s">
        <v>44</v>
      </c>
    </row>
    <row r="175" spans="1:10" s="153" customFormat="1" ht="15.5" customHeight="1" x14ac:dyDescent="0.15">
      <c r="A175" s="148"/>
      <c r="B175" s="145"/>
      <c r="C175" s="157" t="s">
        <v>328</v>
      </c>
      <c r="D175" s="158">
        <f t="shared" ref="D175:D261" si="6">I175</f>
        <v>0.27272727272727271</v>
      </c>
      <c r="E175" s="159"/>
      <c r="F175" s="160" t="s">
        <v>329</v>
      </c>
      <c r="G175" s="161" t="s">
        <v>66</v>
      </c>
      <c r="H175" s="86">
        <f t="shared" si="5"/>
        <v>4</v>
      </c>
      <c r="I175" s="86">
        <f>IF([1]项目总工作量!B$6="交易类",H175*1.5/22,IF([1]项目总工作量!B$6="数据分析类",H175*1.5*0.9/22,IF([1]项目总工作量!B$6="流程管理类",H175*1.5*0.8/22,IF([1]项目总工作量!B$6="渠道类",H175*1.5*0.7/22,FALSE))))</f>
        <v>0.27272727272727271</v>
      </c>
      <c r="J175" s="86" t="s">
        <v>44</v>
      </c>
    </row>
    <row r="176" spans="1:10" s="153" customFormat="1" ht="16" customHeight="1" x14ac:dyDescent="0.15">
      <c r="A176" s="148"/>
      <c r="B176" s="145"/>
      <c r="C176" s="162"/>
      <c r="D176" s="158">
        <f t="shared" si="6"/>
        <v>0.27272727272727271</v>
      </c>
      <c r="E176" s="159"/>
      <c r="F176" s="160" t="s">
        <v>330</v>
      </c>
      <c r="G176" s="161" t="s">
        <v>66</v>
      </c>
      <c r="H176" s="86">
        <f t="shared" si="5"/>
        <v>4</v>
      </c>
      <c r="I176" s="86">
        <f>IF([1]项目总工作量!B$6="交易类",H176*1.5/22,IF([1]项目总工作量!B$6="数据分析类",H176*1.5*0.9/22,IF([1]项目总工作量!B$6="流程管理类",H176*1.5*0.8/22,IF([1]项目总工作量!B$6="渠道类",H176*1.5*0.7/22,FALSE))))</f>
        <v>0.27272727272727271</v>
      </c>
      <c r="J176" s="86" t="s">
        <v>44</v>
      </c>
    </row>
    <row r="177" spans="1:10" s="153" customFormat="1" ht="17" customHeight="1" x14ac:dyDescent="0.15">
      <c r="A177" s="148"/>
      <c r="B177" s="145"/>
      <c r="C177" s="162"/>
      <c r="D177" s="158">
        <f t="shared" si="6"/>
        <v>0.27272727272727271</v>
      </c>
      <c r="E177" s="159"/>
      <c r="F177" s="160" t="s">
        <v>331</v>
      </c>
      <c r="G177" s="161" t="s">
        <v>66</v>
      </c>
      <c r="H177" s="86">
        <f t="shared" si="5"/>
        <v>4</v>
      </c>
      <c r="I177" s="86">
        <f>IF([1]项目总工作量!B$6="交易类",H177*1.5/22,IF([1]项目总工作量!B$6="数据分析类",H177*1.5*0.9/22,IF([1]项目总工作量!B$6="流程管理类",H177*1.5*0.8/22,IF([1]项目总工作量!B$6="渠道类",H177*1.5*0.7/22,FALSE))))</f>
        <v>0.27272727272727271</v>
      </c>
      <c r="J177" s="86" t="s">
        <v>44</v>
      </c>
    </row>
    <row r="178" spans="1:10" s="153" customFormat="1" ht="17" customHeight="1" x14ac:dyDescent="0.15">
      <c r="A178" s="148"/>
      <c r="B178" s="145"/>
      <c r="C178" s="162"/>
      <c r="D178" s="158">
        <f t="shared" si="6"/>
        <v>0.27272727272727271</v>
      </c>
      <c r="E178" s="159"/>
      <c r="F178" s="163" t="s">
        <v>332</v>
      </c>
      <c r="G178" s="161" t="s">
        <v>66</v>
      </c>
      <c r="H178" s="86">
        <f t="shared" si="5"/>
        <v>4</v>
      </c>
      <c r="I178" s="86">
        <f>IF([1]项目总工作量!B$6="交易类",H178*1.5/22,IF([1]项目总工作量!B$6="数据分析类",H178*1.5*0.9/22,IF([1]项目总工作量!B$6="流程管理类",H178*1.5*0.8/22,IF([1]项目总工作量!B$6="渠道类",H178*1.5*0.7/22,FALSE))))</f>
        <v>0.27272727272727271</v>
      </c>
      <c r="J178" s="86" t="s">
        <v>44</v>
      </c>
    </row>
    <row r="179" spans="1:10" s="153" customFormat="1" ht="17" customHeight="1" x14ac:dyDescent="0.15">
      <c r="A179" s="148"/>
      <c r="B179" s="145"/>
      <c r="C179" s="162"/>
      <c r="D179" s="158">
        <f t="shared" si="6"/>
        <v>0.27272727272727271</v>
      </c>
      <c r="E179" s="159"/>
      <c r="F179" s="160" t="s">
        <v>333</v>
      </c>
      <c r="G179" s="161" t="s">
        <v>66</v>
      </c>
      <c r="H179" s="86">
        <f t="shared" si="5"/>
        <v>4</v>
      </c>
      <c r="I179" s="86">
        <f>IF([1]项目总工作量!B$6="交易类",H179*1.5/22,IF([1]项目总工作量!B$6="数据分析类",H179*1.5*0.9/22,IF([1]项目总工作量!B$6="流程管理类",H179*1.5*0.8/22,IF([1]项目总工作量!B$6="渠道类",H179*1.5*0.7/22,FALSE))))</f>
        <v>0.27272727272727271</v>
      </c>
      <c r="J179" s="86" t="s">
        <v>44</v>
      </c>
    </row>
    <row r="180" spans="1:10" s="153" customFormat="1" ht="17" customHeight="1" x14ac:dyDescent="0.15">
      <c r="A180" s="148"/>
      <c r="B180" s="145"/>
      <c r="C180" s="162"/>
      <c r="D180" s="158">
        <f t="shared" si="6"/>
        <v>0.27272727272727271</v>
      </c>
      <c r="E180" s="159"/>
      <c r="F180" s="160" t="s">
        <v>334</v>
      </c>
      <c r="G180" s="161" t="s">
        <v>66</v>
      </c>
      <c r="H180" s="86">
        <f t="shared" si="5"/>
        <v>4</v>
      </c>
      <c r="I180" s="86">
        <f>IF([1]项目总工作量!B$6="交易类",H180*1.5/22,IF([1]项目总工作量!B$6="数据分析类",H180*1.5*0.9/22,IF([1]项目总工作量!B$6="流程管理类",H180*1.5*0.8/22,IF([1]项目总工作量!B$6="渠道类",H180*1.5*0.7/22,FALSE))))</f>
        <v>0.27272727272727271</v>
      </c>
      <c r="J180" s="86" t="s">
        <v>44</v>
      </c>
    </row>
    <row r="181" spans="1:10" s="153" customFormat="1" ht="17" customHeight="1" x14ac:dyDescent="0.15">
      <c r="A181" s="148"/>
      <c r="B181" s="145"/>
      <c r="C181" s="162"/>
      <c r="D181" s="158">
        <f t="shared" si="6"/>
        <v>0.27272727272727271</v>
      </c>
      <c r="E181" s="159"/>
      <c r="F181" s="160" t="s">
        <v>335</v>
      </c>
      <c r="G181" s="161" t="s">
        <v>66</v>
      </c>
      <c r="H181" s="86">
        <f t="shared" si="5"/>
        <v>4</v>
      </c>
      <c r="I181" s="86">
        <f>IF([1]项目总工作量!B$6="交易类",H181*1.5/22,IF([1]项目总工作量!B$6="数据分析类",H181*1.5*0.9/22,IF([1]项目总工作量!B$6="流程管理类",H181*1.5*0.8/22,IF([1]项目总工作量!B$6="渠道类",H181*1.5*0.7/22,FALSE))))</f>
        <v>0.27272727272727271</v>
      </c>
      <c r="J181" s="86" t="s">
        <v>44</v>
      </c>
    </row>
    <row r="182" spans="1:10" s="153" customFormat="1" ht="17" customHeight="1" x14ac:dyDescent="0.15">
      <c r="A182" s="148"/>
      <c r="B182" s="145"/>
      <c r="C182" s="162"/>
      <c r="D182" s="158">
        <f t="shared" si="6"/>
        <v>0.27272727272727271</v>
      </c>
      <c r="E182" s="159"/>
      <c r="F182" s="160" t="s">
        <v>336</v>
      </c>
      <c r="G182" s="161" t="s">
        <v>66</v>
      </c>
      <c r="H182" s="86">
        <f t="shared" si="5"/>
        <v>4</v>
      </c>
      <c r="I182" s="86">
        <f>IF([1]项目总工作量!B$6="交易类",H182*1.5/22,IF([1]项目总工作量!B$6="数据分析类",H182*1.5*0.9/22,IF([1]项目总工作量!B$6="流程管理类",H182*1.5*0.8/22,IF([1]项目总工作量!B$6="渠道类",H182*1.5*0.7/22,FALSE))))</f>
        <v>0.27272727272727271</v>
      </c>
      <c r="J182" s="86" t="s">
        <v>44</v>
      </c>
    </row>
    <row r="183" spans="1:10" s="153" customFormat="1" ht="17" customHeight="1" x14ac:dyDescent="0.15">
      <c r="A183" s="148"/>
      <c r="B183" s="145"/>
      <c r="C183" s="162"/>
      <c r="D183" s="158">
        <f t="shared" si="6"/>
        <v>0.27272727272727271</v>
      </c>
      <c r="E183" s="159"/>
      <c r="F183" s="160" t="s">
        <v>337</v>
      </c>
      <c r="G183" s="161" t="s">
        <v>66</v>
      </c>
      <c r="H183" s="86">
        <f t="shared" si="5"/>
        <v>4</v>
      </c>
      <c r="I183" s="86">
        <f>IF([1]项目总工作量!B$6="交易类",H183*1.5/22,IF([1]项目总工作量!B$6="数据分析类",H183*1.5*0.9/22,IF([1]项目总工作量!B$6="流程管理类",H183*1.5*0.8/22,IF([1]项目总工作量!B$6="渠道类",H183*1.5*0.7/22,FALSE))))</f>
        <v>0.27272727272727271</v>
      </c>
      <c r="J183" s="86" t="s">
        <v>44</v>
      </c>
    </row>
    <row r="184" spans="1:10" s="153" customFormat="1" ht="17" customHeight="1" x14ac:dyDescent="0.15">
      <c r="A184" s="148"/>
      <c r="B184" s="145"/>
      <c r="C184" s="162"/>
      <c r="D184" s="158">
        <f t="shared" si="6"/>
        <v>0.27272727272727271</v>
      </c>
      <c r="E184" s="159"/>
      <c r="F184" s="160" t="s">
        <v>338</v>
      </c>
      <c r="G184" s="161" t="s">
        <v>66</v>
      </c>
      <c r="H184" s="86">
        <f t="shared" si="5"/>
        <v>4</v>
      </c>
      <c r="I184" s="86">
        <f>IF([1]项目总工作量!B$6="交易类",H184*1.5/22,IF([1]项目总工作量!B$6="数据分析类",H184*1.5*0.9/22,IF([1]项目总工作量!B$6="流程管理类",H184*1.5*0.8/22,IF([1]项目总工作量!B$6="渠道类",H184*1.5*0.7/22,FALSE))))</f>
        <v>0.27272727272727271</v>
      </c>
      <c r="J184" s="86" t="s">
        <v>44</v>
      </c>
    </row>
    <row r="185" spans="1:10" s="153" customFormat="1" ht="17" customHeight="1" x14ac:dyDescent="0.15">
      <c r="A185" s="148"/>
      <c r="B185" s="145"/>
      <c r="C185" s="162"/>
      <c r="D185" s="158">
        <f t="shared" si="6"/>
        <v>0.27272727272727271</v>
      </c>
      <c r="E185" s="159"/>
      <c r="F185" s="160" t="s">
        <v>339</v>
      </c>
      <c r="G185" s="161" t="s">
        <v>66</v>
      </c>
      <c r="H185" s="86">
        <f t="shared" si="5"/>
        <v>4</v>
      </c>
      <c r="I185" s="86">
        <f>IF([1]项目总工作量!B$6="交易类",H185*1.5/22,IF([1]项目总工作量!B$6="数据分析类",H185*1.5*0.9/22,IF([1]项目总工作量!B$6="流程管理类",H185*1.5*0.8/22,IF([1]项目总工作量!B$6="渠道类",H185*1.5*0.7/22,FALSE))))</f>
        <v>0.27272727272727271</v>
      </c>
      <c r="J185" s="86" t="s">
        <v>44</v>
      </c>
    </row>
    <row r="186" spans="1:10" s="153" customFormat="1" ht="17" customHeight="1" x14ac:dyDescent="0.15">
      <c r="A186" s="148"/>
      <c r="B186" s="145"/>
      <c r="C186" s="162"/>
      <c r="D186" s="158">
        <f t="shared" si="6"/>
        <v>0.27272727272727271</v>
      </c>
      <c r="E186" s="159"/>
      <c r="F186" s="160" t="s">
        <v>340</v>
      </c>
      <c r="G186" s="161" t="s">
        <v>66</v>
      </c>
      <c r="H186" s="86">
        <f t="shared" si="5"/>
        <v>4</v>
      </c>
      <c r="I186" s="86">
        <f>IF([1]项目总工作量!B$6="交易类",H186*1.5/22,IF([1]项目总工作量!B$6="数据分析类",H186*1.5*0.9/22,IF([1]项目总工作量!B$6="流程管理类",H186*1.5*0.8/22,IF([1]项目总工作量!B$6="渠道类",H186*1.5*0.7/22,FALSE))))</f>
        <v>0.27272727272727271</v>
      </c>
      <c r="J186" s="86" t="s">
        <v>44</v>
      </c>
    </row>
    <row r="187" spans="1:10" s="153" customFormat="1" ht="17" customHeight="1" x14ac:dyDescent="0.15">
      <c r="A187" s="148"/>
      <c r="B187" s="145"/>
      <c r="C187" s="162"/>
      <c r="D187" s="158">
        <f t="shared" si="6"/>
        <v>0.27272727272727271</v>
      </c>
      <c r="E187" s="159"/>
      <c r="F187" s="160" t="s">
        <v>341</v>
      </c>
      <c r="G187" s="161" t="s">
        <v>66</v>
      </c>
      <c r="H187" s="86">
        <f t="shared" si="5"/>
        <v>4</v>
      </c>
      <c r="I187" s="86">
        <f>IF([1]项目总工作量!B$6="交易类",H187*1.5/22,IF([1]项目总工作量!B$6="数据分析类",H187*1.5*0.9/22,IF([1]项目总工作量!B$6="流程管理类",H187*1.5*0.8/22,IF([1]项目总工作量!B$6="渠道类",H187*1.5*0.7/22,FALSE))))</f>
        <v>0.27272727272727271</v>
      </c>
      <c r="J187" s="86" t="s">
        <v>44</v>
      </c>
    </row>
    <row r="188" spans="1:10" s="153" customFormat="1" ht="17" customHeight="1" x14ac:dyDescent="0.15">
      <c r="A188" s="148"/>
      <c r="B188" s="145"/>
      <c r="C188" s="162"/>
      <c r="D188" s="158">
        <f t="shared" si="6"/>
        <v>0.27272727272727271</v>
      </c>
      <c r="E188" s="159"/>
      <c r="F188" s="160" t="s">
        <v>342</v>
      </c>
      <c r="G188" s="161" t="s">
        <v>66</v>
      </c>
      <c r="H188" s="86">
        <f t="shared" si="5"/>
        <v>4</v>
      </c>
      <c r="I188" s="86">
        <f>IF([1]项目总工作量!B$6="交易类",H188*1.5/22,IF([1]项目总工作量!B$6="数据分析类",H188*1.5*0.9/22,IF([1]项目总工作量!B$6="流程管理类",H188*1.5*0.8/22,IF([1]项目总工作量!B$6="渠道类",H188*1.5*0.7/22,FALSE))))</f>
        <v>0.27272727272727271</v>
      </c>
      <c r="J188" s="86" t="s">
        <v>44</v>
      </c>
    </row>
    <row r="189" spans="1:10" s="153" customFormat="1" ht="17" customHeight="1" x14ac:dyDescent="0.15">
      <c r="A189" s="148"/>
      <c r="B189" s="145"/>
      <c r="C189" s="162"/>
      <c r="D189" s="158">
        <f t="shared" si="6"/>
        <v>0.27272727272727271</v>
      </c>
      <c r="E189" s="159"/>
      <c r="F189" s="160" t="s">
        <v>343</v>
      </c>
      <c r="G189" s="161" t="s">
        <v>66</v>
      </c>
      <c r="H189" s="86">
        <f t="shared" si="5"/>
        <v>4</v>
      </c>
      <c r="I189" s="86">
        <f>IF([1]项目总工作量!B$6="交易类",H189*1.5/22,IF([1]项目总工作量!B$6="数据分析类",H189*1.5*0.9/22,IF([1]项目总工作量!B$6="流程管理类",H189*1.5*0.8/22,IF([1]项目总工作量!B$6="渠道类",H189*1.5*0.7/22,FALSE))))</f>
        <v>0.27272727272727271</v>
      </c>
      <c r="J189" s="86" t="s">
        <v>44</v>
      </c>
    </row>
    <row r="190" spans="1:10" s="153" customFormat="1" ht="17" customHeight="1" x14ac:dyDescent="0.15">
      <c r="A190" s="148"/>
      <c r="B190" s="145"/>
      <c r="C190" s="162"/>
      <c r="D190" s="158">
        <f t="shared" si="6"/>
        <v>0.27272727272727271</v>
      </c>
      <c r="E190" s="159"/>
      <c r="F190" s="160" t="s">
        <v>473</v>
      </c>
      <c r="G190" s="164" t="s">
        <v>66</v>
      </c>
      <c r="H190" s="86">
        <f t="shared" si="5"/>
        <v>4</v>
      </c>
      <c r="I190" s="86">
        <f>IF([1]项目总工作量!B$6="交易类",H190*1.5/22,IF([1]项目总工作量!B$6="数据分析类",H190*1.5*0.9/22,IF([1]项目总工作量!B$6="流程管理类",H190*1.5*0.8/22,IF([1]项目总工作量!B$6="渠道类",H190*1.5*0.7/22,FALSE))))</f>
        <v>0.27272727272727271</v>
      </c>
      <c r="J190" s="86" t="s">
        <v>44</v>
      </c>
    </row>
    <row r="191" spans="1:10" s="153" customFormat="1" ht="17" customHeight="1" x14ac:dyDescent="0.15">
      <c r="A191" s="148"/>
      <c r="B191" s="145"/>
      <c r="C191" s="162"/>
      <c r="D191" s="158">
        <f t="shared" si="6"/>
        <v>0.27272727272727271</v>
      </c>
      <c r="E191" s="159"/>
      <c r="F191" s="160" t="s">
        <v>474</v>
      </c>
      <c r="G191" s="164" t="s">
        <v>66</v>
      </c>
      <c r="H191" s="86">
        <f t="shared" si="5"/>
        <v>4</v>
      </c>
      <c r="I191" s="86">
        <f>IF([1]项目总工作量!B$6="交易类",H191*1.5/22,IF([1]项目总工作量!B$6="数据分析类",H191*1.5*0.9/22,IF([1]项目总工作量!B$6="流程管理类",H191*1.5*0.8/22,IF([1]项目总工作量!B$6="渠道类",H191*1.5*0.7/22,FALSE))))</f>
        <v>0.27272727272727271</v>
      </c>
      <c r="J191" s="86" t="s">
        <v>44</v>
      </c>
    </row>
    <row r="192" spans="1:10" s="153" customFormat="1" ht="17" customHeight="1" x14ac:dyDescent="0.15">
      <c r="A192" s="148"/>
      <c r="B192" s="145"/>
      <c r="C192" s="162"/>
      <c r="D192" s="158">
        <f t="shared" si="6"/>
        <v>0.27272727272727271</v>
      </c>
      <c r="E192" s="159"/>
      <c r="F192" s="160" t="s">
        <v>475</v>
      </c>
      <c r="G192" s="164" t="s">
        <v>66</v>
      </c>
      <c r="H192" s="86">
        <f t="shared" si="5"/>
        <v>4</v>
      </c>
      <c r="I192" s="86">
        <f>IF([1]项目总工作量!B$6="交易类",H192*1.5/22,IF([1]项目总工作量!B$6="数据分析类",H192*1.5*0.9/22,IF([1]项目总工作量!B$6="流程管理类",H192*1.5*0.8/22,IF([1]项目总工作量!B$6="渠道类",H192*1.5*0.7/22,FALSE))))</f>
        <v>0.27272727272727271</v>
      </c>
      <c r="J192" s="86" t="s">
        <v>44</v>
      </c>
    </row>
    <row r="193" spans="1:10" s="153" customFormat="1" ht="16" customHeight="1" x14ac:dyDescent="0.15">
      <c r="A193" s="148"/>
      <c r="B193" s="145"/>
      <c r="C193" s="167" t="s">
        <v>344</v>
      </c>
      <c r="D193" s="158">
        <f t="shared" si="6"/>
        <v>0.27272727272727271</v>
      </c>
      <c r="E193" s="159"/>
      <c r="F193" s="160" t="s">
        <v>345</v>
      </c>
      <c r="G193" s="161" t="s">
        <v>66</v>
      </c>
      <c r="H193" s="86">
        <f t="shared" si="5"/>
        <v>4</v>
      </c>
      <c r="I193" s="86">
        <f>IF([1]项目总工作量!B$6="交易类",H193*1.5/22,IF([1]项目总工作量!B$6="数据分析类",H193*1.5*0.9/22,IF([1]项目总工作量!B$6="流程管理类",H193*1.5*0.8/22,IF([1]项目总工作量!B$6="渠道类",H193*1.5*0.7/22,FALSE))))</f>
        <v>0.27272727272727271</v>
      </c>
      <c r="J193" s="86" t="s">
        <v>44</v>
      </c>
    </row>
    <row r="194" spans="1:10" s="153" customFormat="1" ht="16" customHeight="1" x14ac:dyDescent="0.15">
      <c r="A194" s="148"/>
      <c r="B194" s="145"/>
      <c r="C194" s="168"/>
      <c r="D194" s="158">
        <f t="shared" si="6"/>
        <v>0.27272727272727271</v>
      </c>
      <c r="E194" s="159"/>
      <c r="F194" s="160" t="s">
        <v>476</v>
      </c>
      <c r="G194" s="161" t="s">
        <v>66</v>
      </c>
      <c r="H194" s="86">
        <f t="shared" si="5"/>
        <v>4</v>
      </c>
      <c r="I194" s="86">
        <f>IF([1]项目总工作量!B$6="交易类",H194*1.5/22,IF([1]项目总工作量!B$6="数据分析类",H194*1.5*0.9/22,IF([1]项目总工作量!B$6="流程管理类",H194*1.5*0.8/22,IF([1]项目总工作量!B$6="渠道类",H194*1.5*0.7/22,FALSE))))</f>
        <v>0.27272727272727271</v>
      </c>
      <c r="J194" s="86" t="s">
        <v>44</v>
      </c>
    </row>
    <row r="195" spans="1:10" s="153" customFormat="1" ht="17" customHeight="1" x14ac:dyDescent="0.15">
      <c r="A195" s="148"/>
      <c r="B195" s="145"/>
      <c r="C195" s="168"/>
      <c r="D195" s="158">
        <f t="shared" si="6"/>
        <v>0.27272727272727271</v>
      </c>
      <c r="E195" s="159"/>
      <c r="F195" s="160" t="s">
        <v>346</v>
      </c>
      <c r="G195" s="161" t="s">
        <v>66</v>
      </c>
      <c r="H195" s="86">
        <f t="shared" si="5"/>
        <v>4</v>
      </c>
      <c r="I195" s="86">
        <f>IF([1]项目总工作量!B$6="交易类",H195*1.5/22,IF([1]项目总工作量!B$6="数据分析类",H195*1.5*0.9/22,IF([1]项目总工作量!B$6="流程管理类",H195*1.5*0.8/22,IF([1]项目总工作量!B$6="渠道类",H195*1.5*0.7/22,FALSE))))</f>
        <v>0.27272727272727271</v>
      </c>
      <c r="J195" s="86" t="s">
        <v>44</v>
      </c>
    </row>
    <row r="196" spans="1:10" s="153" customFormat="1" ht="16" customHeight="1" x14ac:dyDescent="0.15">
      <c r="A196" s="148"/>
      <c r="B196" s="145"/>
      <c r="C196" s="168"/>
      <c r="D196" s="158">
        <f t="shared" si="6"/>
        <v>0.27272727272727271</v>
      </c>
      <c r="E196" s="159"/>
      <c r="F196" s="160" t="s">
        <v>347</v>
      </c>
      <c r="G196" s="161" t="s">
        <v>66</v>
      </c>
      <c r="H196" s="86">
        <f t="shared" ref="H196:H259" si="7">IF(G196="EI",4,IF(G196="EO",5,IF(G196="EQ",4,0)))</f>
        <v>4</v>
      </c>
      <c r="I196" s="86">
        <f>IF([1]项目总工作量!B$6="交易类",H196*1.5/22,IF([1]项目总工作量!B$6="数据分析类",H196*1.5*0.9/22,IF([1]项目总工作量!B$6="流程管理类",H196*1.5*0.8/22,IF([1]项目总工作量!B$6="渠道类",H196*1.5*0.7/22,FALSE))))</f>
        <v>0.27272727272727271</v>
      </c>
      <c r="J196" s="86" t="s">
        <v>44</v>
      </c>
    </row>
    <row r="197" spans="1:10" s="153" customFormat="1" ht="16" customHeight="1" x14ac:dyDescent="0.15">
      <c r="A197" s="148"/>
      <c r="B197" s="145"/>
      <c r="C197" s="168"/>
      <c r="D197" s="158">
        <f t="shared" si="6"/>
        <v>0.27272727272727271</v>
      </c>
      <c r="E197" s="159"/>
      <c r="F197" s="160" t="s">
        <v>348</v>
      </c>
      <c r="G197" s="161" t="s">
        <v>66</v>
      </c>
      <c r="H197" s="86">
        <f t="shared" si="7"/>
        <v>4</v>
      </c>
      <c r="I197" s="86">
        <f>IF([1]项目总工作量!B$6="交易类",H197*1.5/22,IF([1]项目总工作量!B$6="数据分析类",H197*1.5*0.9/22,IF([1]项目总工作量!B$6="流程管理类",H197*1.5*0.8/22,IF([1]项目总工作量!B$6="渠道类",H197*1.5*0.7/22,FALSE))))</f>
        <v>0.27272727272727271</v>
      </c>
      <c r="J197" s="86" t="s">
        <v>44</v>
      </c>
    </row>
    <row r="198" spans="1:10" s="153" customFormat="1" ht="16" customHeight="1" x14ac:dyDescent="0.15">
      <c r="A198" s="148"/>
      <c r="B198" s="145"/>
      <c r="C198" s="168"/>
      <c r="D198" s="158">
        <f t="shared" si="6"/>
        <v>0.27272727272727271</v>
      </c>
      <c r="E198" s="159"/>
      <c r="F198" s="160" t="s">
        <v>477</v>
      </c>
      <c r="G198" s="161" t="s">
        <v>66</v>
      </c>
      <c r="H198" s="86">
        <f t="shared" si="7"/>
        <v>4</v>
      </c>
      <c r="I198" s="86">
        <f>IF([1]项目总工作量!B$6="交易类",H198*1.5/22,IF([1]项目总工作量!B$6="数据分析类",H198*1.5*0.9/22,IF([1]项目总工作量!B$6="流程管理类",H198*1.5*0.8/22,IF([1]项目总工作量!B$6="渠道类",H198*1.5*0.7/22,FALSE))))</f>
        <v>0.27272727272727271</v>
      </c>
      <c r="J198" s="86" t="s">
        <v>44</v>
      </c>
    </row>
    <row r="199" spans="1:10" s="153" customFormat="1" ht="16" customHeight="1" x14ac:dyDescent="0.15">
      <c r="A199" s="148"/>
      <c r="B199" s="145"/>
      <c r="C199" s="168"/>
      <c r="D199" s="158">
        <f t="shared" si="6"/>
        <v>0.27272727272727271</v>
      </c>
      <c r="E199" s="159"/>
      <c r="F199" s="160" t="s">
        <v>349</v>
      </c>
      <c r="G199" s="161" t="s">
        <v>66</v>
      </c>
      <c r="H199" s="86">
        <f t="shared" si="7"/>
        <v>4</v>
      </c>
      <c r="I199" s="86">
        <f>IF([1]项目总工作量!B$6="交易类",H199*1.5/22,IF([1]项目总工作量!B$6="数据分析类",H199*1.5*0.9/22,IF([1]项目总工作量!B$6="流程管理类",H199*1.5*0.8/22,IF([1]项目总工作量!B$6="渠道类",H199*1.5*0.7/22,FALSE))))</f>
        <v>0.27272727272727271</v>
      </c>
      <c r="J199" s="86" t="s">
        <v>44</v>
      </c>
    </row>
    <row r="200" spans="1:10" s="153" customFormat="1" ht="16" customHeight="1" x14ac:dyDescent="0.15">
      <c r="A200" s="148"/>
      <c r="B200" s="145"/>
      <c r="C200" s="168"/>
      <c r="D200" s="158">
        <f t="shared" si="6"/>
        <v>0.27272727272727271</v>
      </c>
      <c r="E200" s="159"/>
      <c r="F200" s="160" t="s">
        <v>350</v>
      </c>
      <c r="G200" s="161" t="s">
        <v>66</v>
      </c>
      <c r="H200" s="86">
        <f t="shared" si="7"/>
        <v>4</v>
      </c>
      <c r="I200" s="86">
        <f>IF([1]项目总工作量!B$6="交易类",H200*1.5/22,IF([1]项目总工作量!B$6="数据分析类",H200*1.5*0.9/22,IF([1]项目总工作量!B$6="流程管理类",H200*1.5*0.8/22,IF([1]项目总工作量!B$6="渠道类",H200*1.5*0.7/22,FALSE))))</f>
        <v>0.27272727272727271</v>
      </c>
      <c r="J200" s="86" t="s">
        <v>44</v>
      </c>
    </row>
    <row r="201" spans="1:10" s="153" customFormat="1" ht="16" customHeight="1" x14ac:dyDescent="0.15">
      <c r="A201" s="148"/>
      <c r="B201" s="145"/>
      <c r="C201" s="168"/>
      <c r="D201" s="158">
        <f t="shared" si="6"/>
        <v>0.27272727272727271</v>
      </c>
      <c r="E201" s="159"/>
      <c r="F201" s="160" t="s">
        <v>351</v>
      </c>
      <c r="G201" s="161" t="s">
        <v>66</v>
      </c>
      <c r="H201" s="86">
        <f t="shared" si="7"/>
        <v>4</v>
      </c>
      <c r="I201" s="86">
        <f>IF([1]项目总工作量!B$6="交易类",H201*1.5/22,IF([1]项目总工作量!B$6="数据分析类",H201*1.5*0.9/22,IF([1]项目总工作量!B$6="流程管理类",H201*1.5*0.8/22,IF([1]项目总工作量!B$6="渠道类",H201*1.5*0.7/22,FALSE))))</f>
        <v>0.27272727272727271</v>
      </c>
      <c r="J201" s="86" t="s">
        <v>44</v>
      </c>
    </row>
    <row r="202" spans="1:10" s="153" customFormat="1" ht="16" customHeight="1" x14ac:dyDescent="0.15">
      <c r="A202" s="148"/>
      <c r="B202" s="145"/>
      <c r="C202" s="168"/>
      <c r="D202" s="158">
        <f t="shared" si="6"/>
        <v>0.27272727272727271</v>
      </c>
      <c r="E202" s="159"/>
      <c r="F202" s="160" t="s">
        <v>352</v>
      </c>
      <c r="G202" s="161" t="s">
        <v>66</v>
      </c>
      <c r="H202" s="86">
        <f t="shared" si="7"/>
        <v>4</v>
      </c>
      <c r="I202" s="86">
        <f>IF([1]项目总工作量!B$6="交易类",H202*1.5/22,IF([1]项目总工作量!B$6="数据分析类",H202*1.5*0.9/22,IF([1]项目总工作量!B$6="流程管理类",H202*1.5*0.8/22,IF([1]项目总工作量!B$6="渠道类",H202*1.5*0.7/22,FALSE))))</f>
        <v>0.27272727272727271</v>
      </c>
      <c r="J202" s="86" t="s">
        <v>44</v>
      </c>
    </row>
    <row r="203" spans="1:10" s="153" customFormat="1" ht="16" customHeight="1" x14ac:dyDescent="0.15">
      <c r="A203" s="148"/>
      <c r="B203" s="145"/>
      <c r="C203" s="168"/>
      <c r="D203" s="158">
        <f t="shared" si="6"/>
        <v>0.27272727272727271</v>
      </c>
      <c r="E203" s="159"/>
      <c r="F203" s="160" t="s">
        <v>353</v>
      </c>
      <c r="G203" s="161" t="s">
        <v>66</v>
      </c>
      <c r="H203" s="86">
        <f t="shared" si="7"/>
        <v>4</v>
      </c>
      <c r="I203" s="86">
        <f>IF([1]项目总工作量!B$6="交易类",H203*1.5/22,IF([1]项目总工作量!B$6="数据分析类",H203*1.5*0.9/22,IF([1]项目总工作量!B$6="流程管理类",H203*1.5*0.8/22,IF([1]项目总工作量!B$6="渠道类",H203*1.5*0.7/22,FALSE))))</f>
        <v>0.27272727272727271</v>
      </c>
      <c r="J203" s="86" t="s">
        <v>44</v>
      </c>
    </row>
    <row r="204" spans="1:10" s="153" customFormat="1" ht="17" customHeight="1" x14ac:dyDescent="0.15">
      <c r="A204" s="148"/>
      <c r="B204" s="145"/>
      <c r="C204" s="168"/>
      <c r="D204" s="158">
        <f t="shared" si="6"/>
        <v>0.27272727272727271</v>
      </c>
      <c r="E204" s="159"/>
      <c r="F204" s="160" t="s">
        <v>354</v>
      </c>
      <c r="G204" s="161" t="s">
        <v>66</v>
      </c>
      <c r="H204" s="86">
        <f t="shared" si="7"/>
        <v>4</v>
      </c>
      <c r="I204" s="86">
        <f>IF([1]项目总工作量!B$6="交易类",H204*1.5/22,IF([1]项目总工作量!B$6="数据分析类",H204*1.5*0.9/22,IF([1]项目总工作量!B$6="流程管理类",H204*1.5*0.8/22,IF([1]项目总工作量!B$6="渠道类",H204*1.5*0.7/22,FALSE))))</f>
        <v>0.27272727272727271</v>
      </c>
      <c r="J204" s="86" t="s">
        <v>44</v>
      </c>
    </row>
    <row r="205" spans="1:10" s="153" customFormat="1" ht="17" customHeight="1" x14ac:dyDescent="0.15">
      <c r="A205" s="148"/>
      <c r="B205" s="145"/>
      <c r="C205" s="168"/>
      <c r="D205" s="158">
        <f t="shared" si="6"/>
        <v>0.27272727272727271</v>
      </c>
      <c r="E205" s="159"/>
      <c r="F205" s="160" t="s">
        <v>355</v>
      </c>
      <c r="G205" s="161" t="s">
        <v>66</v>
      </c>
      <c r="H205" s="86">
        <f t="shared" si="7"/>
        <v>4</v>
      </c>
      <c r="I205" s="86">
        <f>IF([1]项目总工作量!B$6="交易类",H205*1.5/22,IF([1]项目总工作量!B$6="数据分析类",H205*1.5*0.9/22,IF([1]项目总工作量!B$6="流程管理类",H205*1.5*0.8/22,IF([1]项目总工作量!B$6="渠道类",H205*1.5*0.7/22,FALSE))))</f>
        <v>0.27272727272727271</v>
      </c>
      <c r="J205" s="86" t="s">
        <v>44</v>
      </c>
    </row>
    <row r="206" spans="1:10" s="153" customFormat="1" ht="17" customHeight="1" x14ac:dyDescent="0.15">
      <c r="A206" s="148"/>
      <c r="B206" s="145"/>
      <c r="C206" s="168"/>
      <c r="D206" s="158">
        <f t="shared" si="6"/>
        <v>0.27272727272727271</v>
      </c>
      <c r="E206" s="159"/>
      <c r="F206" s="160" t="s">
        <v>478</v>
      </c>
      <c r="G206" s="161" t="s">
        <v>66</v>
      </c>
      <c r="H206" s="86">
        <f t="shared" si="7"/>
        <v>4</v>
      </c>
      <c r="I206" s="86">
        <f>IF([1]项目总工作量!B$6="交易类",H206*1.5/22,IF([1]项目总工作量!B$6="数据分析类",H206*1.5*0.9/22,IF([1]项目总工作量!B$6="流程管理类",H206*1.5*0.8/22,IF([1]项目总工作量!B$6="渠道类",H206*1.5*0.7/22,FALSE))))</f>
        <v>0.27272727272727271</v>
      </c>
      <c r="J206" s="86" t="s">
        <v>44</v>
      </c>
    </row>
    <row r="207" spans="1:10" s="153" customFormat="1" ht="17" customHeight="1" x14ac:dyDescent="0.15">
      <c r="A207" s="148"/>
      <c r="B207" s="145"/>
      <c r="C207" s="168"/>
      <c r="D207" s="158">
        <f t="shared" si="6"/>
        <v>0.27272727272727271</v>
      </c>
      <c r="E207" s="159"/>
      <c r="F207" s="160" t="s">
        <v>356</v>
      </c>
      <c r="G207" s="161" t="s">
        <v>66</v>
      </c>
      <c r="H207" s="86">
        <f t="shared" si="7"/>
        <v>4</v>
      </c>
      <c r="I207" s="86">
        <f>IF([1]项目总工作量!B$6="交易类",H207*1.5/22,IF([1]项目总工作量!B$6="数据分析类",H207*1.5*0.9/22,IF([1]项目总工作量!B$6="流程管理类",H207*1.5*0.8/22,IF([1]项目总工作量!B$6="渠道类",H207*1.5*0.7/22,FALSE))))</f>
        <v>0.27272727272727271</v>
      </c>
      <c r="J207" s="86" t="s">
        <v>44</v>
      </c>
    </row>
    <row r="208" spans="1:10" s="153" customFormat="1" ht="17" customHeight="1" x14ac:dyDescent="0.15">
      <c r="A208" s="148"/>
      <c r="B208" s="145"/>
      <c r="C208" s="168"/>
      <c r="D208" s="158">
        <f t="shared" si="6"/>
        <v>0.27272727272727271</v>
      </c>
      <c r="E208" s="159"/>
      <c r="F208" s="160" t="s">
        <v>357</v>
      </c>
      <c r="G208" s="161" t="s">
        <v>66</v>
      </c>
      <c r="H208" s="86">
        <f t="shared" si="7"/>
        <v>4</v>
      </c>
      <c r="I208" s="86">
        <f>IF([1]项目总工作量!B$6="交易类",H208*1.5/22,IF([1]项目总工作量!B$6="数据分析类",H208*1.5*0.9/22,IF([1]项目总工作量!B$6="流程管理类",H208*1.5*0.8/22,IF([1]项目总工作量!B$6="渠道类",H208*1.5*0.7/22,FALSE))))</f>
        <v>0.27272727272727271</v>
      </c>
      <c r="J208" s="86" t="s">
        <v>44</v>
      </c>
    </row>
    <row r="209" spans="1:10" s="153" customFormat="1" ht="17" customHeight="1" x14ac:dyDescent="0.15">
      <c r="A209" s="148"/>
      <c r="B209" s="145"/>
      <c r="C209" s="168"/>
      <c r="D209" s="158">
        <f t="shared" si="6"/>
        <v>0.27272727272727271</v>
      </c>
      <c r="E209" s="159"/>
      <c r="F209" s="160" t="s">
        <v>358</v>
      </c>
      <c r="G209" s="161" t="s">
        <v>66</v>
      </c>
      <c r="H209" s="86">
        <f t="shared" si="7"/>
        <v>4</v>
      </c>
      <c r="I209" s="86">
        <f>IF([1]项目总工作量!B$6="交易类",H209*1.5/22,IF([1]项目总工作量!B$6="数据分析类",H209*1.5*0.9/22,IF([1]项目总工作量!B$6="流程管理类",H209*1.5*0.8/22,IF([1]项目总工作量!B$6="渠道类",H209*1.5*0.7/22,FALSE))))</f>
        <v>0.27272727272727271</v>
      </c>
      <c r="J209" s="86" t="s">
        <v>44</v>
      </c>
    </row>
    <row r="210" spans="1:10" s="153" customFormat="1" ht="17" customHeight="1" x14ac:dyDescent="0.15">
      <c r="A210" s="148"/>
      <c r="B210" s="145"/>
      <c r="C210" s="168"/>
      <c r="D210" s="158">
        <f t="shared" si="6"/>
        <v>0.27272727272727271</v>
      </c>
      <c r="E210" s="159"/>
      <c r="F210" s="160" t="s">
        <v>479</v>
      </c>
      <c r="G210" s="161" t="s">
        <v>66</v>
      </c>
      <c r="H210" s="86">
        <f t="shared" si="7"/>
        <v>4</v>
      </c>
      <c r="I210" s="86">
        <f>IF([1]项目总工作量!B$6="交易类",H210*1.5/22,IF([1]项目总工作量!B$6="数据分析类",H210*1.5*0.9/22,IF([1]项目总工作量!B$6="流程管理类",H210*1.5*0.8/22,IF([1]项目总工作量!B$6="渠道类",H210*1.5*0.7/22,FALSE))))</f>
        <v>0.27272727272727271</v>
      </c>
      <c r="J210" s="86" t="s">
        <v>44</v>
      </c>
    </row>
    <row r="211" spans="1:10" s="153" customFormat="1" ht="17" customHeight="1" x14ac:dyDescent="0.15">
      <c r="A211" s="148"/>
      <c r="B211" s="145"/>
      <c r="C211" s="168"/>
      <c r="D211" s="158">
        <f t="shared" si="6"/>
        <v>0.27272727272727271</v>
      </c>
      <c r="E211" s="159"/>
      <c r="F211" s="160" t="s">
        <v>359</v>
      </c>
      <c r="G211" s="161" t="s">
        <v>66</v>
      </c>
      <c r="H211" s="86">
        <f t="shared" si="7"/>
        <v>4</v>
      </c>
      <c r="I211" s="86">
        <f>IF([1]项目总工作量!B$6="交易类",H211*1.5/22,IF([1]项目总工作量!B$6="数据分析类",H211*1.5*0.9/22,IF([1]项目总工作量!B$6="流程管理类",H211*1.5*0.8/22,IF([1]项目总工作量!B$6="渠道类",H211*1.5*0.7/22,FALSE))))</f>
        <v>0.27272727272727271</v>
      </c>
      <c r="J211" s="86" t="s">
        <v>44</v>
      </c>
    </row>
    <row r="212" spans="1:10" s="153" customFormat="1" ht="17" customHeight="1" x14ac:dyDescent="0.15">
      <c r="A212" s="148"/>
      <c r="B212" s="145"/>
      <c r="C212" s="168"/>
      <c r="D212" s="158">
        <f t="shared" si="6"/>
        <v>0.27272727272727271</v>
      </c>
      <c r="E212" s="159"/>
      <c r="F212" s="160" t="s">
        <v>360</v>
      </c>
      <c r="G212" s="161" t="s">
        <v>66</v>
      </c>
      <c r="H212" s="86">
        <f t="shared" si="7"/>
        <v>4</v>
      </c>
      <c r="I212" s="86">
        <f>IF([1]项目总工作量!B$6="交易类",H212*1.5/22,IF([1]项目总工作量!B$6="数据分析类",H212*1.5*0.9/22,IF([1]项目总工作量!B$6="流程管理类",H212*1.5*0.8/22,IF([1]项目总工作量!B$6="渠道类",H212*1.5*0.7/22,FALSE))))</f>
        <v>0.27272727272727271</v>
      </c>
      <c r="J212" s="86" t="s">
        <v>44</v>
      </c>
    </row>
    <row r="213" spans="1:10" s="153" customFormat="1" ht="17" customHeight="1" x14ac:dyDescent="0.15">
      <c r="A213" s="148"/>
      <c r="B213" s="145"/>
      <c r="C213" s="168"/>
      <c r="D213" s="158">
        <f t="shared" si="6"/>
        <v>0.27272727272727271</v>
      </c>
      <c r="E213" s="159"/>
      <c r="F213" s="160" t="s">
        <v>361</v>
      </c>
      <c r="G213" s="161" t="s">
        <v>66</v>
      </c>
      <c r="H213" s="86">
        <f t="shared" si="7"/>
        <v>4</v>
      </c>
      <c r="I213" s="86">
        <f>IF([1]项目总工作量!B$6="交易类",H213*1.5/22,IF([1]项目总工作量!B$6="数据分析类",H213*1.5*0.9/22,IF([1]项目总工作量!B$6="流程管理类",H213*1.5*0.8/22,IF([1]项目总工作量!B$6="渠道类",H213*1.5*0.7/22,FALSE))))</f>
        <v>0.27272727272727271</v>
      </c>
      <c r="J213" s="86" t="s">
        <v>44</v>
      </c>
    </row>
    <row r="214" spans="1:10" s="153" customFormat="1" ht="17" customHeight="1" x14ac:dyDescent="0.15">
      <c r="A214" s="148"/>
      <c r="B214" s="145"/>
      <c r="C214" s="168"/>
      <c r="D214" s="158">
        <f t="shared" si="6"/>
        <v>0.27272727272727271</v>
      </c>
      <c r="E214" s="159"/>
      <c r="F214" s="160" t="s">
        <v>480</v>
      </c>
      <c r="G214" s="161" t="s">
        <v>66</v>
      </c>
      <c r="H214" s="86">
        <f t="shared" si="7"/>
        <v>4</v>
      </c>
      <c r="I214" s="86">
        <f>IF([1]项目总工作量!B$6="交易类",H214*1.5/22,IF([1]项目总工作量!B$6="数据分析类",H214*1.5*0.9/22,IF([1]项目总工作量!B$6="流程管理类",H214*1.5*0.8/22,IF([1]项目总工作量!B$6="渠道类",H214*1.5*0.7/22,FALSE))))</f>
        <v>0.27272727272727271</v>
      </c>
      <c r="J214" s="86" t="s">
        <v>44</v>
      </c>
    </row>
    <row r="215" spans="1:10" s="153" customFormat="1" ht="17" customHeight="1" x14ac:dyDescent="0.15">
      <c r="A215" s="148"/>
      <c r="B215" s="145"/>
      <c r="C215" s="168"/>
      <c r="D215" s="158">
        <f t="shared" si="6"/>
        <v>0.27272727272727271</v>
      </c>
      <c r="E215" s="159"/>
      <c r="F215" s="160" t="s">
        <v>362</v>
      </c>
      <c r="G215" s="161" t="s">
        <v>66</v>
      </c>
      <c r="H215" s="86">
        <f t="shared" si="7"/>
        <v>4</v>
      </c>
      <c r="I215" s="86">
        <f>IF([1]项目总工作量!B$6="交易类",H215*1.5/22,IF([1]项目总工作量!B$6="数据分析类",H215*1.5*0.9/22,IF([1]项目总工作量!B$6="流程管理类",H215*1.5*0.8/22,IF([1]项目总工作量!B$6="渠道类",H215*1.5*0.7/22,FALSE))))</f>
        <v>0.27272727272727271</v>
      </c>
      <c r="J215" s="86" t="s">
        <v>44</v>
      </c>
    </row>
    <row r="216" spans="1:10" s="153" customFormat="1" ht="17" customHeight="1" x14ac:dyDescent="0.15">
      <c r="A216" s="148"/>
      <c r="B216" s="145"/>
      <c r="C216" s="168"/>
      <c r="D216" s="158">
        <f t="shared" si="6"/>
        <v>0.27272727272727271</v>
      </c>
      <c r="E216" s="159"/>
      <c r="F216" s="160" t="s">
        <v>363</v>
      </c>
      <c r="G216" s="161" t="s">
        <v>66</v>
      </c>
      <c r="H216" s="86">
        <f t="shared" si="7"/>
        <v>4</v>
      </c>
      <c r="I216" s="86">
        <f>IF([1]项目总工作量!B$6="交易类",H216*1.5/22,IF([1]项目总工作量!B$6="数据分析类",H216*1.5*0.9/22,IF([1]项目总工作量!B$6="流程管理类",H216*1.5*0.8/22,IF([1]项目总工作量!B$6="渠道类",H216*1.5*0.7/22,FALSE))))</f>
        <v>0.27272727272727271</v>
      </c>
      <c r="J216" s="86" t="s">
        <v>44</v>
      </c>
    </row>
    <row r="217" spans="1:10" s="153" customFormat="1" ht="17" customHeight="1" x14ac:dyDescent="0.15">
      <c r="A217" s="148"/>
      <c r="B217" s="145"/>
      <c r="C217" s="168"/>
      <c r="D217" s="158">
        <f t="shared" si="6"/>
        <v>0.27272727272727271</v>
      </c>
      <c r="E217" s="159"/>
      <c r="F217" s="160" t="s">
        <v>364</v>
      </c>
      <c r="G217" s="161" t="s">
        <v>66</v>
      </c>
      <c r="H217" s="86">
        <f t="shared" si="7"/>
        <v>4</v>
      </c>
      <c r="I217" s="86">
        <f>IF([1]项目总工作量!B$6="交易类",H217*1.5/22,IF([1]项目总工作量!B$6="数据分析类",H217*1.5*0.9/22,IF([1]项目总工作量!B$6="流程管理类",H217*1.5*0.8/22,IF([1]项目总工作量!B$6="渠道类",H217*1.5*0.7/22,FALSE))))</f>
        <v>0.27272727272727271</v>
      </c>
      <c r="J217" s="86" t="s">
        <v>44</v>
      </c>
    </row>
    <row r="218" spans="1:10" s="153" customFormat="1" ht="17" customHeight="1" x14ac:dyDescent="0.15">
      <c r="A218" s="148"/>
      <c r="B218" s="145"/>
      <c r="C218" s="168"/>
      <c r="D218" s="158">
        <f t="shared" si="6"/>
        <v>0.27272727272727271</v>
      </c>
      <c r="E218" s="159"/>
      <c r="F218" s="160" t="s">
        <v>364</v>
      </c>
      <c r="G218" s="161" t="s">
        <v>66</v>
      </c>
      <c r="H218" s="86">
        <f t="shared" si="7"/>
        <v>4</v>
      </c>
      <c r="I218" s="86">
        <f>IF([1]项目总工作量!B$6="交易类",H218*1.5/22,IF([1]项目总工作量!B$6="数据分析类",H218*1.5*0.9/22,IF([1]项目总工作量!B$6="流程管理类",H218*1.5*0.8/22,IF([1]项目总工作量!B$6="渠道类",H218*1.5*0.7/22,FALSE))))</f>
        <v>0.27272727272727271</v>
      </c>
      <c r="J218" s="86" t="s">
        <v>44</v>
      </c>
    </row>
    <row r="219" spans="1:10" s="153" customFormat="1" ht="17" customHeight="1" x14ac:dyDescent="0.15">
      <c r="A219" s="148"/>
      <c r="B219" s="145"/>
      <c r="C219" s="168"/>
      <c r="D219" s="158">
        <f t="shared" si="6"/>
        <v>0.27272727272727271</v>
      </c>
      <c r="E219" s="159"/>
      <c r="F219" s="160" t="s">
        <v>365</v>
      </c>
      <c r="G219" s="161" t="s">
        <v>66</v>
      </c>
      <c r="H219" s="86">
        <f t="shared" si="7"/>
        <v>4</v>
      </c>
      <c r="I219" s="86">
        <f>IF([1]项目总工作量!B$6="交易类",H219*1.5/22,IF([1]项目总工作量!B$6="数据分析类",H219*1.5*0.9/22,IF([1]项目总工作量!B$6="流程管理类",H219*1.5*0.8/22,IF([1]项目总工作量!B$6="渠道类",H219*1.5*0.7/22,FALSE))))</f>
        <v>0.27272727272727271</v>
      </c>
      <c r="J219" s="86" t="s">
        <v>44</v>
      </c>
    </row>
    <row r="220" spans="1:10" s="153" customFormat="1" ht="17" customHeight="1" x14ac:dyDescent="0.15">
      <c r="A220" s="148"/>
      <c r="B220" s="145"/>
      <c r="C220" s="168"/>
      <c r="D220" s="158">
        <f t="shared" si="6"/>
        <v>0.27272727272727271</v>
      </c>
      <c r="E220" s="159"/>
      <c r="F220" s="160" t="s">
        <v>366</v>
      </c>
      <c r="G220" s="161" t="s">
        <v>66</v>
      </c>
      <c r="H220" s="86">
        <f t="shared" si="7"/>
        <v>4</v>
      </c>
      <c r="I220" s="86">
        <f>IF([1]项目总工作量!B$6="交易类",H220*1.5/22,IF([1]项目总工作量!B$6="数据分析类",H220*1.5*0.9/22,IF([1]项目总工作量!B$6="流程管理类",H220*1.5*0.8/22,IF([1]项目总工作量!B$6="渠道类",H220*1.5*0.7/22,FALSE))))</f>
        <v>0.27272727272727271</v>
      </c>
      <c r="J220" s="86" t="s">
        <v>44</v>
      </c>
    </row>
    <row r="221" spans="1:10" s="153" customFormat="1" ht="17" customHeight="1" x14ac:dyDescent="0.15">
      <c r="A221" s="148"/>
      <c r="B221" s="145"/>
      <c r="C221" s="168"/>
      <c r="D221" s="158">
        <f t="shared" si="6"/>
        <v>0.27272727272727271</v>
      </c>
      <c r="E221" s="159"/>
      <c r="F221" s="160" t="s">
        <v>367</v>
      </c>
      <c r="G221" s="161" t="s">
        <v>66</v>
      </c>
      <c r="H221" s="86">
        <f t="shared" si="7"/>
        <v>4</v>
      </c>
      <c r="I221" s="86">
        <f>IF([1]项目总工作量!B$6="交易类",H221*1.5/22,IF([1]项目总工作量!B$6="数据分析类",H221*1.5*0.9/22,IF([1]项目总工作量!B$6="流程管理类",H221*1.5*0.8/22,IF([1]项目总工作量!B$6="渠道类",H221*1.5*0.7/22,FALSE))))</f>
        <v>0.27272727272727271</v>
      </c>
      <c r="J221" s="86" t="s">
        <v>44</v>
      </c>
    </row>
    <row r="222" spans="1:10" s="153" customFormat="1" ht="17" customHeight="1" x14ac:dyDescent="0.15">
      <c r="A222" s="148"/>
      <c r="B222" s="145"/>
      <c r="C222" s="168"/>
      <c r="D222" s="158">
        <f t="shared" si="6"/>
        <v>0.27272727272727271</v>
      </c>
      <c r="E222" s="159"/>
      <c r="F222" s="160" t="s">
        <v>367</v>
      </c>
      <c r="G222" s="161" t="s">
        <v>66</v>
      </c>
      <c r="H222" s="86">
        <f t="shared" si="7"/>
        <v>4</v>
      </c>
      <c r="I222" s="86">
        <f>IF([1]项目总工作量!B$6="交易类",H222*1.5/22,IF([1]项目总工作量!B$6="数据分析类",H222*1.5*0.9/22,IF([1]项目总工作量!B$6="流程管理类",H222*1.5*0.8/22,IF([1]项目总工作量!B$6="渠道类",H222*1.5*0.7/22,FALSE))))</f>
        <v>0.27272727272727271</v>
      </c>
      <c r="J222" s="86" t="s">
        <v>44</v>
      </c>
    </row>
    <row r="223" spans="1:10" s="153" customFormat="1" ht="17" customHeight="1" x14ac:dyDescent="0.15">
      <c r="A223" s="148"/>
      <c r="B223" s="145"/>
      <c r="C223" s="168"/>
      <c r="D223" s="158">
        <f t="shared" si="6"/>
        <v>0.27272727272727271</v>
      </c>
      <c r="E223" s="159"/>
      <c r="F223" s="160" t="s">
        <v>368</v>
      </c>
      <c r="G223" s="161" t="s">
        <v>66</v>
      </c>
      <c r="H223" s="86">
        <f t="shared" si="7"/>
        <v>4</v>
      </c>
      <c r="I223" s="86">
        <f>IF([1]项目总工作量!B$6="交易类",H223*1.5/22,IF([1]项目总工作量!B$6="数据分析类",H223*1.5*0.9/22,IF([1]项目总工作量!B$6="流程管理类",H223*1.5*0.8/22,IF([1]项目总工作量!B$6="渠道类",H223*1.5*0.7/22,FALSE))))</f>
        <v>0.27272727272727271</v>
      </c>
      <c r="J223" s="86" t="s">
        <v>44</v>
      </c>
    </row>
    <row r="224" spans="1:10" s="153" customFormat="1" ht="17" customHeight="1" x14ac:dyDescent="0.15">
      <c r="A224" s="148"/>
      <c r="B224" s="145"/>
      <c r="C224" s="168"/>
      <c r="D224" s="158">
        <f t="shared" si="6"/>
        <v>0.27272727272727271</v>
      </c>
      <c r="E224" s="159"/>
      <c r="F224" s="160" t="s">
        <v>369</v>
      </c>
      <c r="G224" s="161" t="s">
        <v>66</v>
      </c>
      <c r="H224" s="86">
        <f t="shared" si="7"/>
        <v>4</v>
      </c>
      <c r="I224" s="86">
        <f>IF([1]项目总工作量!B$6="交易类",H224*1.5/22,IF([1]项目总工作量!B$6="数据分析类",H224*1.5*0.9/22,IF([1]项目总工作量!B$6="流程管理类",H224*1.5*0.8/22,IF([1]项目总工作量!B$6="渠道类",H224*1.5*0.7/22,FALSE))))</f>
        <v>0.27272727272727271</v>
      </c>
      <c r="J224" s="86" t="s">
        <v>44</v>
      </c>
    </row>
    <row r="225" spans="1:10" s="153" customFormat="1" ht="17" customHeight="1" x14ac:dyDescent="0.15">
      <c r="A225" s="148"/>
      <c r="B225" s="145"/>
      <c r="C225" s="168"/>
      <c r="D225" s="158">
        <f t="shared" si="6"/>
        <v>0.27272727272727271</v>
      </c>
      <c r="E225" s="159"/>
      <c r="F225" s="160" t="s">
        <v>370</v>
      </c>
      <c r="G225" s="161" t="s">
        <v>66</v>
      </c>
      <c r="H225" s="86">
        <f t="shared" si="7"/>
        <v>4</v>
      </c>
      <c r="I225" s="86">
        <f>IF([1]项目总工作量!B$6="交易类",H225*1.5/22,IF([1]项目总工作量!B$6="数据分析类",H225*1.5*0.9/22,IF([1]项目总工作量!B$6="流程管理类",H225*1.5*0.8/22,IF([1]项目总工作量!B$6="渠道类",H225*1.5*0.7/22,FALSE))))</f>
        <v>0.27272727272727271</v>
      </c>
      <c r="J225" s="86" t="s">
        <v>44</v>
      </c>
    </row>
    <row r="226" spans="1:10" s="153" customFormat="1" ht="17" customHeight="1" x14ac:dyDescent="0.15">
      <c r="A226" s="148"/>
      <c r="B226" s="145"/>
      <c r="C226" s="168"/>
      <c r="D226" s="158">
        <f t="shared" si="6"/>
        <v>0.27272727272727271</v>
      </c>
      <c r="E226" s="159"/>
      <c r="F226" s="160" t="s">
        <v>371</v>
      </c>
      <c r="G226" s="161" t="s">
        <v>66</v>
      </c>
      <c r="H226" s="86">
        <f t="shared" si="7"/>
        <v>4</v>
      </c>
      <c r="I226" s="86">
        <f>IF([1]项目总工作量!B$6="交易类",H226*1.5/22,IF([1]项目总工作量!B$6="数据分析类",H226*1.5*0.9/22,IF([1]项目总工作量!B$6="流程管理类",H226*1.5*0.8/22,IF([1]项目总工作量!B$6="渠道类",H226*1.5*0.7/22,FALSE))))</f>
        <v>0.27272727272727271</v>
      </c>
      <c r="J226" s="86" t="s">
        <v>44</v>
      </c>
    </row>
    <row r="227" spans="1:10" s="153" customFormat="1" ht="17" customHeight="1" x14ac:dyDescent="0.15">
      <c r="A227" s="148"/>
      <c r="B227" s="145"/>
      <c r="C227" s="168"/>
      <c r="D227" s="158">
        <f t="shared" si="6"/>
        <v>0.27272727272727271</v>
      </c>
      <c r="E227" s="159"/>
      <c r="F227" s="160" t="s">
        <v>372</v>
      </c>
      <c r="G227" s="161" t="s">
        <v>66</v>
      </c>
      <c r="H227" s="86">
        <f t="shared" si="7"/>
        <v>4</v>
      </c>
      <c r="I227" s="86">
        <f>IF([1]项目总工作量!B$6="交易类",H227*1.5/22,IF([1]项目总工作量!B$6="数据分析类",H227*1.5*0.9/22,IF([1]项目总工作量!B$6="流程管理类",H227*1.5*0.8/22,IF([1]项目总工作量!B$6="渠道类",H227*1.5*0.7/22,FALSE))))</f>
        <v>0.27272727272727271</v>
      </c>
      <c r="J227" s="86" t="s">
        <v>44</v>
      </c>
    </row>
    <row r="228" spans="1:10" s="153" customFormat="1" ht="17" customHeight="1" x14ac:dyDescent="0.15">
      <c r="A228" s="148"/>
      <c r="B228" s="145"/>
      <c r="C228" s="168"/>
      <c r="D228" s="158">
        <f t="shared" si="6"/>
        <v>0.27272727272727271</v>
      </c>
      <c r="E228" s="159"/>
      <c r="F228" s="160" t="s">
        <v>373</v>
      </c>
      <c r="G228" s="161" t="s">
        <v>66</v>
      </c>
      <c r="H228" s="86">
        <f t="shared" si="7"/>
        <v>4</v>
      </c>
      <c r="I228" s="86">
        <f>IF([1]项目总工作量!B$6="交易类",H228*1.5/22,IF([1]项目总工作量!B$6="数据分析类",H228*1.5*0.9/22,IF([1]项目总工作量!B$6="流程管理类",H228*1.5*0.8/22,IF([1]项目总工作量!B$6="渠道类",H228*1.5*0.7/22,FALSE))))</f>
        <v>0.27272727272727271</v>
      </c>
      <c r="J228" s="86" t="s">
        <v>44</v>
      </c>
    </row>
    <row r="229" spans="1:10" s="153" customFormat="1" ht="17" customHeight="1" x14ac:dyDescent="0.15">
      <c r="A229" s="148"/>
      <c r="B229" s="145"/>
      <c r="C229" s="168"/>
      <c r="D229" s="158">
        <f t="shared" si="6"/>
        <v>0.27272727272727271</v>
      </c>
      <c r="E229" s="159"/>
      <c r="F229" s="160" t="s">
        <v>374</v>
      </c>
      <c r="G229" s="161" t="s">
        <v>66</v>
      </c>
      <c r="H229" s="86">
        <f t="shared" si="7"/>
        <v>4</v>
      </c>
      <c r="I229" s="86">
        <f>IF([1]项目总工作量!B$6="交易类",H229*1.5/22,IF([1]项目总工作量!B$6="数据分析类",H229*1.5*0.9/22,IF([1]项目总工作量!B$6="流程管理类",H229*1.5*0.8/22,IF([1]项目总工作量!B$6="渠道类",H229*1.5*0.7/22,FALSE))))</f>
        <v>0.27272727272727271</v>
      </c>
      <c r="J229" s="86" t="s">
        <v>44</v>
      </c>
    </row>
    <row r="230" spans="1:10" s="153" customFormat="1" ht="17" customHeight="1" x14ac:dyDescent="0.15">
      <c r="A230" s="148"/>
      <c r="B230" s="145"/>
      <c r="C230" s="168"/>
      <c r="D230" s="158">
        <f t="shared" si="6"/>
        <v>0.27272727272727271</v>
      </c>
      <c r="E230" s="159"/>
      <c r="F230" s="160" t="s">
        <v>375</v>
      </c>
      <c r="G230" s="161" t="s">
        <v>66</v>
      </c>
      <c r="H230" s="86">
        <f t="shared" si="7"/>
        <v>4</v>
      </c>
      <c r="I230" s="86">
        <f>IF([1]项目总工作量!B$6="交易类",H230*1.5/22,IF([1]项目总工作量!B$6="数据分析类",H230*1.5*0.9/22,IF([1]项目总工作量!B$6="流程管理类",H230*1.5*0.8/22,IF([1]项目总工作量!B$6="渠道类",H230*1.5*0.7/22,FALSE))))</f>
        <v>0.27272727272727271</v>
      </c>
      <c r="J230" s="86" t="s">
        <v>44</v>
      </c>
    </row>
    <row r="231" spans="1:10" s="153" customFormat="1" ht="17" customHeight="1" x14ac:dyDescent="0.15">
      <c r="A231" s="148"/>
      <c r="B231" s="145"/>
      <c r="C231" s="168"/>
      <c r="D231" s="158">
        <f t="shared" si="6"/>
        <v>0.27272727272727271</v>
      </c>
      <c r="E231" s="159"/>
      <c r="F231" s="160" t="s">
        <v>481</v>
      </c>
      <c r="G231" s="161" t="s">
        <v>66</v>
      </c>
      <c r="H231" s="86">
        <f t="shared" si="7"/>
        <v>4</v>
      </c>
      <c r="I231" s="86">
        <f>IF([1]项目总工作量!B$6="交易类",H231*1.5/22,IF([1]项目总工作量!B$6="数据分析类",H231*1.5*0.9/22,IF([1]项目总工作量!B$6="流程管理类",H231*1.5*0.8/22,IF([1]项目总工作量!B$6="渠道类",H231*1.5*0.7/22,FALSE))))</f>
        <v>0.27272727272727271</v>
      </c>
      <c r="J231" s="86" t="s">
        <v>44</v>
      </c>
    </row>
    <row r="232" spans="1:10" s="153" customFormat="1" ht="17" customHeight="1" x14ac:dyDescent="0.15">
      <c r="A232" s="148"/>
      <c r="B232" s="145"/>
      <c r="C232" s="168"/>
      <c r="D232" s="158">
        <f t="shared" si="6"/>
        <v>0.27272727272727271</v>
      </c>
      <c r="E232" s="159"/>
      <c r="F232" s="160" t="s">
        <v>376</v>
      </c>
      <c r="G232" s="161" t="s">
        <v>66</v>
      </c>
      <c r="H232" s="86">
        <f t="shared" si="7"/>
        <v>4</v>
      </c>
      <c r="I232" s="86">
        <f>IF([1]项目总工作量!B$6="交易类",H232*1.5/22,IF([1]项目总工作量!B$6="数据分析类",H232*1.5*0.9/22,IF([1]项目总工作量!B$6="流程管理类",H232*1.5*0.8/22,IF([1]项目总工作量!B$6="渠道类",H232*1.5*0.7/22,FALSE))))</f>
        <v>0.27272727272727271</v>
      </c>
      <c r="J232" s="86" t="s">
        <v>44</v>
      </c>
    </row>
    <row r="233" spans="1:10" s="153" customFormat="1" ht="17" customHeight="1" x14ac:dyDescent="0.15">
      <c r="A233" s="148"/>
      <c r="B233" s="145"/>
      <c r="C233" s="168"/>
      <c r="D233" s="158">
        <f t="shared" si="6"/>
        <v>0.27272727272727271</v>
      </c>
      <c r="E233" s="159"/>
      <c r="F233" s="160" t="s">
        <v>377</v>
      </c>
      <c r="G233" s="161" t="s">
        <v>66</v>
      </c>
      <c r="H233" s="86">
        <f t="shared" si="7"/>
        <v>4</v>
      </c>
      <c r="I233" s="86">
        <f>IF([1]项目总工作量!B$6="交易类",H233*1.5/22,IF([1]项目总工作量!B$6="数据分析类",H233*1.5*0.9/22,IF([1]项目总工作量!B$6="流程管理类",H233*1.5*0.8/22,IF([1]项目总工作量!B$6="渠道类",H233*1.5*0.7/22,FALSE))))</f>
        <v>0.27272727272727271</v>
      </c>
      <c r="J233" s="86" t="s">
        <v>44</v>
      </c>
    </row>
    <row r="234" spans="1:10" s="153" customFormat="1" ht="17" customHeight="1" x14ac:dyDescent="0.15">
      <c r="A234" s="148"/>
      <c r="B234" s="145"/>
      <c r="C234" s="168"/>
      <c r="D234" s="158">
        <f t="shared" si="6"/>
        <v>0.27272727272727271</v>
      </c>
      <c r="E234" s="159"/>
      <c r="F234" s="160" t="s">
        <v>378</v>
      </c>
      <c r="G234" s="161" t="s">
        <v>66</v>
      </c>
      <c r="H234" s="86">
        <f t="shared" si="7"/>
        <v>4</v>
      </c>
      <c r="I234" s="86">
        <f>IF([1]项目总工作量!B$6="交易类",H234*1.5/22,IF([1]项目总工作量!B$6="数据分析类",H234*1.5*0.9/22,IF([1]项目总工作量!B$6="流程管理类",H234*1.5*0.8/22,IF([1]项目总工作量!B$6="渠道类",H234*1.5*0.7/22,FALSE))))</f>
        <v>0.27272727272727271</v>
      </c>
      <c r="J234" s="86" t="s">
        <v>44</v>
      </c>
    </row>
    <row r="235" spans="1:10" s="153" customFormat="1" ht="17" customHeight="1" x14ac:dyDescent="0.15">
      <c r="A235" s="148"/>
      <c r="B235" s="145"/>
      <c r="C235" s="168"/>
      <c r="D235" s="158">
        <f t="shared" si="6"/>
        <v>0.27272727272727271</v>
      </c>
      <c r="E235" s="159"/>
      <c r="F235" s="160" t="s">
        <v>379</v>
      </c>
      <c r="G235" s="161" t="s">
        <v>66</v>
      </c>
      <c r="H235" s="86">
        <f t="shared" si="7"/>
        <v>4</v>
      </c>
      <c r="I235" s="86">
        <f>IF([1]项目总工作量!B$6="交易类",H235*1.5/22,IF([1]项目总工作量!B$6="数据分析类",H235*1.5*0.9/22,IF([1]项目总工作量!B$6="流程管理类",H235*1.5*0.8/22,IF([1]项目总工作量!B$6="渠道类",H235*1.5*0.7/22,FALSE))))</f>
        <v>0.27272727272727271</v>
      </c>
      <c r="J235" s="86" t="s">
        <v>44</v>
      </c>
    </row>
    <row r="236" spans="1:10" s="153" customFormat="1" ht="17" customHeight="1" x14ac:dyDescent="0.15">
      <c r="A236" s="148"/>
      <c r="B236" s="145"/>
      <c r="C236" s="168"/>
      <c r="D236" s="158">
        <f t="shared" si="6"/>
        <v>0.27272727272727271</v>
      </c>
      <c r="E236" s="159"/>
      <c r="F236" s="160" t="s">
        <v>380</v>
      </c>
      <c r="G236" s="161" t="s">
        <v>66</v>
      </c>
      <c r="H236" s="86">
        <f t="shared" si="7"/>
        <v>4</v>
      </c>
      <c r="I236" s="86">
        <f>IF([1]项目总工作量!B$6="交易类",H236*1.5/22,IF([1]项目总工作量!B$6="数据分析类",H236*1.5*0.9/22,IF([1]项目总工作量!B$6="流程管理类",H236*1.5*0.8/22,IF([1]项目总工作量!B$6="渠道类",H236*1.5*0.7/22,FALSE))))</f>
        <v>0.27272727272727271</v>
      </c>
      <c r="J236" s="86" t="s">
        <v>44</v>
      </c>
    </row>
    <row r="237" spans="1:10" s="153" customFormat="1" ht="17" customHeight="1" x14ac:dyDescent="0.15">
      <c r="A237" s="148"/>
      <c r="B237" s="145"/>
      <c r="C237" s="168"/>
      <c r="D237" s="158">
        <f t="shared" si="6"/>
        <v>0.27272727272727271</v>
      </c>
      <c r="E237" s="159"/>
      <c r="F237" s="160" t="s">
        <v>482</v>
      </c>
      <c r="G237" s="161" t="s">
        <v>66</v>
      </c>
      <c r="H237" s="86">
        <f t="shared" si="7"/>
        <v>4</v>
      </c>
      <c r="I237" s="86">
        <f>IF([1]项目总工作量!B$6="交易类",H237*1.5/22,IF([1]项目总工作量!B$6="数据分析类",H237*1.5*0.9/22,IF([1]项目总工作量!B$6="流程管理类",H237*1.5*0.8/22,IF([1]项目总工作量!B$6="渠道类",H237*1.5*0.7/22,FALSE))))</f>
        <v>0.27272727272727271</v>
      </c>
      <c r="J237" s="86" t="s">
        <v>44</v>
      </c>
    </row>
    <row r="238" spans="1:10" s="153" customFormat="1" ht="17" customHeight="1" x14ac:dyDescent="0.15">
      <c r="A238" s="148"/>
      <c r="B238" s="145"/>
      <c r="C238" s="168"/>
      <c r="D238" s="158">
        <f t="shared" si="6"/>
        <v>0.27272727272727271</v>
      </c>
      <c r="E238" s="159"/>
      <c r="F238" s="160" t="s">
        <v>381</v>
      </c>
      <c r="G238" s="161" t="s">
        <v>66</v>
      </c>
      <c r="H238" s="86">
        <f t="shared" si="7"/>
        <v>4</v>
      </c>
      <c r="I238" s="86">
        <f>IF([1]项目总工作量!B$6="交易类",H238*1.5/22,IF([1]项目总工作量!B$6="数据分析类",H238*1.5*0.9/22,IF([1]项目总工作量!B$6="流程管理类",H238*1.5*0.8/22,IF([1]项目总工作量!B$6="渠道类",H238*1.5*0.7/22,FALSE))))</f>
        <v>0.27272727272727271</v>
      </c>
      <c r="J238" s="86" t="s">
        <v>44</v>
      </c>
    </row>
    <row r="239" spans="1:10" s="153" customFormat="1" ht="17" customHeight="1" x14ac:dyDescent="0.15">
      <c r="A239" s="148"/>
      <c r="B239" s="145"/>
      <c r="C239" s="168"/>
      <c r="D239" s="158">
        <f t="shared" si="6"/>
        <v>0.27272727272727271</v>
      </c>
      <c r="E239" s="159"/>
      <c r="F239" s="160" t="s">
        <v>382</v>
      </c>
      <c r="G239" s="161" t="s">
        <v>66</v>
      </c>
      <c r="H239" s="86">
        <f t="shared" si="7"/>
        <v>4</v>
      </c>
      <c r="I239" s="86">
        <f>IF([1]项目总工作量!B$6="交易类",H239*1.5/22,IF([1]项目总工作量!B$6="数据分析类",H239*1.5*0.9/22,IF([1]项目总工作量!B$6="流程管理类",H239*1.5*0.8/22,IF([1]项目总工作量!B$6="渠道类",H239*1.5*0.7/22,FALSE))))</f>
        <v>0.27272727272727271</v>
      </c>
      <c r="J239" s="86" t="s">
        <v>44</v>
      </c>
    </row>
    <row r="240" spans="1:10" s="153" customFormat="1" ht="17" customHeight="1" x14ac:dyDescent="0.15">
      <c r="A240" s="148"/>
      <c r="B240" s="145"/>
      <c r="C240" s="168"/>
      <c r="D240" s="158">
        <f t="shared" si="6"/>
        <v>0.27272727272727271</v>
      </c>
      <c r="E240" s="159"/>
      <c r="F240" s="160" t="s">
        <v>378</v>
      </c>
      <c r="G240" s="161" t="s">
        <v>66</v>
      </c>
      <c r="H240" s="86">
        <f t="shared" si="7"/>
        <v>4</v>
      </c>
      <c r="I240" s="86">
        <f>IF([1]项目总工作量!B$6="交易类",H240*1.5/22,IF([1]项目总工作量!B$6="数据分析类",H240*1.5*0.9/22,IF([1]项目总工作量!B$6="流程管理类",H240*1.5*0.8/22,IF([1]项目总工作量!B$6="渠道类",H240*1.5*0.7/22,FALSE))))</f>
        <v>0.27272727272727271</v>
      </c>
      <c r="J240" s="86" t="s">
        <v>44</v>
      </c>
    </row>
    <row r="241" spans="1:10" s="153" customFormat="1" ht="17" customHeight="1" x14ac:dyDescent="0.15">
      <c r="A241" s="148"/>
      <c r="B241" s="145"/>
      <c r="C241" s="168"/>
      <c r="D241" s="158">
        <f t="shared" si="6"/>
        <v>0.27272727272727271</v>
      </c>
      <c r="E241" s="159"/>
      <c r="F241" s="160" t="s">
        <v>483</v>
      </c>
      <c r="G241" s="161" t="s">
        <v>66</v>
      </c>
      <c r="H241" s="86">
        <f t="shared" si="7"/>
        <v>4</v>
      </c>
      <c r="I241" s="86">
        <f>IF([1]项目总工作量!B$6="交易类",H241*1.5/22,IF([1]项目总工作量!B$6="数据分析类",H241*1.5*0.9/22,IF([1]项目总工作量!B$6="流程管理类",H241*1.5*0.8/22,IF([1]项目总工作量!B$6="渠道类",H241*1.5*0.7/22,FALSE))))</f>
        <v>0.27272727272727271</v>
      </c>
      <c r="J241" s="86" t="s">
        <v>44</v>
      </c>
    </row>
    <row r="242" spans="1:10" s="153" customFormat="1" ht="17" customHeight="1" x14ac:dyDescent="0.15">
      <c r="A242" s="148"/>
      <c r="B242" s="145"/>
      <c r="C242" s="168"/>
      <c r="D242" s="158">
        <f t="shared" si="6"/>
        <v>0.27272727272727271</v>
      </c>
      <c r="E242" s="159"/>
      <c r="F242" s="160" t="s">
        <v>383</v>
      </c>
      <c r="G242" s="161" t="s">
        <v>66</v>
      </c>
      <c r="H242" s="86">
        <f t="shared" si="7"/>
        <v>4</v>
      </c>
      <c r="I242" s="86">
        <f>IF([1]项目总工作量!B$6="交易类",H242*1.5/22,IF([1]项目总工作量!B$6="数据分析类",H242*1.5*0.9/22,IF([1]项目总工作量!B$6="流程管理类",H242*1.5*0.8/22,IF([1]项目总工作量!B$6="渠道类",H242*1.5*0.7/22,FALSE))))</f>
        <v>0.27272727272727271</v>
      </c>
      <c r="J242" s="86" t="s">
        <v>44</v>
      </c>
    </row>
    <row r="243" spans="1:10" s="153" customFormat="1" ht="17" customHeight="1" x14ac:dyDescent="0.15">
      <c r="A243" s="148"/>
      <c r="B243" s="145"/>
      <c r="C243" s="168"/>
      <c r="D243" s="158">
        <f t="shared" si="6"/>
        <v>0.27272727272727271</v>
      </c>
      <c r="E243" s="159"/>
      <c r="F243" s="160" t="s">
        <v>384</v>
      </c>
      <c r="G243" s="161" t="s">
        <v>66</v>
      </c>
      <c r="H243" s="86">
        <f t="shared" si="7"/>
        <v>4</v>
      </c>
      <c r="I243" s="86">
        <f>IF([1]项目总工作量!B$6="交易类",H243*1.5/22,IF([1]项目总工作量!B$6="数据分析类",H243*1.5*0.9/22,IF([1]项目总工作量!B$6="流程管理类",H243*1.5*0.8/22,IF([1]项目总工作量!B$6="渠道类",H243*1.5*0.7/22,FALSE))))</f>
        <v>0.27272727272727271</v>
      </c>
      <c r="J243" s="86" t="s">
        <v>44</v>
      </c>
    </row>
    <row r="244" spans="1:10" s="153" customFormat="1" ht="17" customHeight="1" x14ac:dyDescent="0.15">
      <c r="A244" s="148"/>
      <c r="B244" s="145"/>
      <c r="C244" s="168"/>
      <c r="D244" s="158">
        <f t="shared" si="6"/>
        <v>0.27272727272727271</v>
      </c>
      <c r="E244" s="159"/>
      <c r="F244" s="160" t="s">
        <v>482</v>
      </c>
      <c r="G244" s="161" t="s">
        <v>66</v>
      </c>
      <c r="H244" s="86">
        <f t="shared" si="7"/>
        <v>4</v>
      </c>
      <c r="I244" s="86">
        <f>IF([1]项目总工作量!B$6="交易类",H244*1.5/22,IF([1]项目总工作量!B$6="数据分析类",H244*1.5*0.9/22,IF([1]项目总工作量!B$6="流程管理类",H244*1.5*0.8/22,IF([1]项目总工作量!B$6="渠道类",H244*1.5*0.7/22,FALSE))))</f>
        <v>0.27272727272727271</v>
      </c>
      <c r="J244" s="86" t="s">
        <v>44</v>
      </c>
    </row>
    <row r="245" spans="1:10" s="153" customFormat="1" ht="17" customHeight="1" x14ac:dyDescent="0.15">
      <c r="A245" s="148"/>
      <c r="B245" s="145"/>
      <c r="C245" s="168"/>
      <c r="D245" s="158">
        <f t="shared" si="6"/>
        <v>0.27272727272727271</v>
      </c>
      <c r="E245" s="159"/>
      <c r="F245" s="160" t="s">
        <v>385</v>
      </c>
      <c r="G245" s="161" t="s">
        <v>66</v>
      </c>
      <c r="H245" s="86">
        <f t="shared" si="7"/>
        <v>4</v>
      </c>
      <c r="I245" s="86">
        <f>IF([1]项目总工作量!B$6="交易类",H245*1.5/22,IF([1]项目总工作量!B$6="数据分析类",H245*1.5*0.9/22,IF([1]项目总工作量!B$6="流程管理类",H245*1.5*0.8/22,IF([1]项目总工作量!B$6="渠道类",H245*1.5*0.7/22,FALSE))))</f>
        <v>0.27272727272727271</v>
      </c>
      <c r="J245" s="86" t="s">
        <v>44</v>
      </c>
    </row>
    <row r="246" spans="1:10" s="153" customFormat="1" ht="17" customHeight="1" x14ac:dyDescent="0.15">
      <c r="A246" s="148"/>
      <c r="B246" s="145"/>
      <c r="C246" s="168"/>
      <c r="D246" s="158">
        <f t="shared" si="6"/>
        <v>0.27272727272727271</v>
      </c>
      <c r="E246" s="159"/>
      <c r="F246" s="160" t="s">
        <v>386</v>
      </c>
      <c r="G246" s="161" t="s">
        <v>66</v>
      </c>
      <c r="H246" s="86">
        <f t="shared" si="7"/>
        <v>4</v>
      </c>
      <c r="I246" s="86">
        <f>IF([1]项目总工作量!B$6="交易类",H246*1.5/22,IF([1]项目总工作量!B$6="数据分析类",H246*1.5*0.9/22,IF([1]项目总工作量!B$6="流程管理类",H246*1.5*0.8/22,IF([1]项目总工作量!B$6="渠道类",H246*1.5*0.7/22,FALSE))))</f>
        <v>0.27272727272727271</v>
      </c>
      <c r="J246" s="86" t="s">
        <v>44</v>
      </c>
    </row>
    <row r="247" spans="1:10" s="153" customFormat="1" ht="17" customHeight="1" x14ac:dyDescent="0.15">
      <c r="A247" s="148"/>
      <c r="B247" s="145"/>
      <c r="C247" s="168"/>
      <c r="D247" s="158">
        <f t="shared" si="6"/>
        <v>0.27272727272727271</v>
      </c>
      <c r="E247" s="159"/>
      <c r="F247" s="160" t="s">
        <v>484</v>
      </c>
      <c r="G247" s="161" t="s">
        <v>66</v>
      </c>
      <c r="H247" s="86">
        <f t="shared" si="7"/>
        <v>4</v>
      </c>
      <c r="I247" s="86">
        <f>IF([1]项目总工作量!B$6="交易类",H247*1.5/22,IF([1]项目总工作量!B$6="数据分析类",H247*1.5*0.9/22,IF([1]项目总工作量!B$6="流程管理类",H247*1.5*0.8/22,IF([1]项目总工作量!B$6="渠道类",H247*1.5*0.7/22,FALSE))))</f>
        <v>0.27272727272727271</v>
      </c>
      <c r="J247" s="86" t="s">
        <v>44</v>
      </c>
    </row>
    <row r="248" spans="1:10" s="153" customFormat="1" ht="17" customHeight="1" x14ac:dyDescent="0.15">
      <c r="A248" s="148"/>
      <c r="B248" s="145"/>
      <c r="C248" s="168"/>
      <c r="D248" s="158">
        <f t="shared" si="6"/>
        <v>0.27272727272727271</v>
      </c>
      <c r="E248" s="159"/>
      <c r="F248" s="160" t="s">
        <v>485</v>
      </c>
      <c r="G248" s="161" t="s">
        <v>66</v>
      </c>
      <c r="H248" s="86">
        <f t="shared" si="7"/>
        <v>4</v>
      </c>
      <c r="I248" s="86">
        <f>IF([1]项目总工作量!B$6="交易类",H248*1.5/22,IF([1]项目总工作量!B$6="数据分析类",H248*1.5*0.9/22,IF([1]项目总工作量!B$6="流程管理类",H248*1.5*0.8/22,IF([1]项目总工作量!B$6="渠道类",H248*1.5*0.7/22,FALSE))))</f>
        <v>0.27272727272727271</v>
      </c>
      <c r="J248" s="86" t="s">
        <v>44</v>
      </c>
    </row>
    <row r="249" spans="1:10" s="153" customFormat="1" ht="17" customHeight="1" x14ac:dyDescent="0.15">
      <c r="A249" s="148"/>
      <c r="B249" s="145"/>
      <c r="C249" s="168"/>
      <c r="D249" s="158">
        <f t="shared" si="6"/>
        <v>0.27272727272727271</v>
      </c>
      <c r="E249" s="159"/>
      <c r="F249" s="160" t="s">
        <v>486</v>
      </c>
      <c r="G249" s="161" t="s">
        <v>66</v>
      </c>
      <c r="H249" s="86">
        <f t="shared" si="7"/>
        <v>4</v>
      </c>
      <c r="I249" s="86">
        <f>IF([1]项目总工作量!B$6="交易类",H249*1.5/22,IF([1]项目总工作量!B$6="数据分析类",H249*1.5*0.9/22,IF([1]项目总工作量!B$6="流程管理类",H249*1.5*0.8/22,IF([1]项目总工作量!B$6="渠道类",H249*1.5*0.7/22,FALSE))))</f>
        <v>0.27272727272727271</v>
      </c>
      <c r="J249" s="86" t="s">
        <v>44</v>
      </c>
    </row>
    <row r="250" spans="1:10" s="153" customFormat="1" ht="17" customHeight="1" x14ac:dyDescent="0.15">
      <c r="A250" s="148"/>
      <c r="B250" s="145"/>
      <c r="C250" s="168"/>
      <c r="D250" s="158">
        <f t="shared" si="6"/>
        <v>0.27272727272727271</v>
      </c>
      <c r="E250" s="159"/>
      <c r="F250" s="160" t="s">
        <v>487</v>
      </c>
      <c r="G250" s="161" t="s">
        <v>66</v>
      </c>
      <c r="H250" s="86">
        <f t="shared" si="7"/>
        <v>4</v>
      </c>
      <c r="I250" s="86">
        <f>IF([1]项目总工作量!B$6="交易类",H250*1.5/22,IF([1]项目总工作量!B$6="数据分析类",H250*1.5*0.9/22,IF([1]项目总工作量!B$6="流程管理类",H250*1.5*0.8/22,IF([1]项目总工作量!B$6="渠道类",H250*1.5*0.7/22,FALSE))))</f>
        <v>0.27272727272727271</v>
      </c>
      <c r="J250" s="86" t="s">
        <v>44</v>
      </c>
    </row>
    <row r="251" spans="1:10" s="153" customFormat="1" ht="17" customHeight="1" x14ac:dyDescent="0.15">
      <c r="A251" s="148"/>
      <c r="B251" s="145"/>
      <c r="C251" s="168"/>
      <c r="D251" s="158">
        <f t="shared" si="6"/>
        <v>0.27272727272727271</v>
      </c>
      <c r="E251" s="159"/>
      <c r="F251" s="160" t="s">
        <v>488</v>
      </c>
      <c r="G251" s="161" t="s">
        <v>66</v>
      </c>
      <c r="H251" s="86">
        <f t="shared" si="7"/>
        <v>4</v>
      </c>
      <c r="I251" s="86">
        <f>IF([1]项目总工作量!B$6="交易类",H251*1.5/22,IF([1]项目总工作量!B$6="数据分析类",H251*1.5*0.9/22,IF([1]项目总工作量!B$6="流程管理类",H251*1.5*0.8/22,IF([1]项目总工作量!B$6="渠道类",H251*1.5*0.7/22,FALSE))))</f>
        <v>0.27272727272727271</v>
      </c>
      <c r="J251" s="86" t="s">
        <v>44</v>
      </c>
    </row>
    <row r="252" spans="1:10" s="153" customFormat="1" ht="17" customHeight="1" x14ac:dyDescent="0.15">
      <c r="A252" s="148"/>
      <c r="B252" s="145"/>
      <c r="C252" s="168"/>
      <c r="D252" s="158">
        <f t="shared" si="6"/>
        <v>0.27272727272727271</v>
      </c>
      <c r="E252" s="159"/>
      <c r="F252" s="160" t="s">
        <v>387</v>
      </c>
      <c r="G252" s="161" t="s">
        <v>66</v>
      </c>
      <c r="H252" s="86">
        <f t="shared" si="7"/>
        <v>4</v>
      </c>
      <c r="I252" s="86">
        <f>IF([1]项目总工作量!B$6="交易类",H252*1.5/22,IF([1]项目总工作量!B$6="数据分析类",H252*1.5*0.9/22,IF([1]项目总工作量!B$6="流程管理类",H252*1.5*0.8/22,IF([1]项目总工作量!B$6="渠道类",H252*1.5*0.7/22,FALSE))))</f>
        <v>0.27272727272727271</v>
      </c>
      <c r="J252" s="86" t="s">
        <v>44</v>
      </c>
    </row>
    <row r="253" spans="1:10" s="153" customFormat="1" ht="17" customHeight="1" x14ac:dyDescent="0.15">
      <c r="A253" s="148"/>
      <c r="B253" s="145"/>
      <c r="C253" s="168"/>
      <c r="D253" s="158">
        <f t="shared" si="6"/>
        <v>0.27272727272727271</v>
      </c>
      <c r="E253" s="159"/>
      <c r="F253" s="160" t="s">
        <v>388</v>
      </c>
      <c r="G253" s="161" t="s">
        <v>66</v>
      </c>
      <c r="H253" s="86">
        <f t="shared" si="7"/>
        <v>4</v>
      </c>
      <c r="I253" s="86">
        <f>IF([1]项目总工作量!B$6="交易类",H253*1.5/22,IF([1]项目总工作量!B$6="数据分析类",H253*1.5*0.9/22,IF([1]项目总工作量!B$6="流程管理类",H253*1.5*0.8/22,IF([1]项目总工作量!B$6="渠道类",H253*1.5*0.7/22,FALSE))))</f>
        <v>0.27272727272727271</v>
      </c>
      <c r="J253" s="86" t="s">
        <v>44</v>
      </c>
    </row>
    <row r="254" spans="1:10" s="153" customFormat="1" ht="17" customHeight="1" x14ac:dyDescent="0.15">
      <c r="A254" s="148"/>
      <c r="B254" s="145"/>
      <c r="C254" s="168"/>
      <c r="D254" s="158">
        <f t="shared" si="6"/>
        <v>0.27272727272727271</v>
      </c>
      <c r="E254" s="159"/>
      <c r="F254" s="160" t="s">
        <v>389</v>
      </c>
      <c r="G254" s="161" t="s">
        <v>66</v>
      </c>
      <c r="H254" s="86">
        <f t="shared" si="7"/>
        <v>4</v>
      </c>
      <c r="I254" s="86">
        <f>IF([1]项目总工作量!B$6="交易类",H254*1.5/22,IF([1]项目总工作量!B$6="数据分析类",H254*1.5*0.9/22,IF([1]项目总工作量!B$6="流程管理类",H254*1.5*0.8/22,IF([1]项目总工作量!B$6="渠道类",H254*1.5*0.7/22,FALSE))))</f>
        <v>0.27272727272727271</v>
      </c>
      <c r="J254" s="86" t="s">
        <v>44</v>
      </c>
    </row>
    <row r="255" spans="1:10" s="153" customFormat="1" ht="17" customHeight="1" x14ac:dyDescent="0.15">
      <c r="A255" s="148"/>
      <c r="B255" s="145"/>
      <c r="C255" s="168"/>
      <c r="D255" s="158">
        <f t="shared" si="6"/>
        <v>0.27272727272727271</v>
      </c>
      <c r="E255" s="159"/>
      <c r="F255" s="160" t="s">
        <v>489</v>
      </c>
      <c r="G255" s="161" t="s">
        <v>66</v>
      </c>
      <c r="H255" s="86">
        <f t="shared" si="7"/>
        <v>4</v>
      </c>
      <c r="I255" s="86">
        <f>IF([1]项目总工作量!B$6="交易类",H255*1.5/22,IF([1]项目总工作量!B$6="数据分析类",H255*1.5*0.9/22,IF([1]项目总工作量!B$6="流程管理类",H255*1.5*0.8/22,IF([1]项目总工作量!B$6="渠道类",H255*1.5*0.7/22,FALSE))))</f>
        <v>0.27272727272727271</v>
      </c>
      <c r="J255" s="86" t="s">
        <v>44</v>
      </c>
    </row>
    <row r="256" spans="1:10" s="153" customFormat="1" ht="17" customHeight="1" x14ac:dyDescent="0.15">
      <c r="A256" s="148"/>
      <c r="B256" s="145"/>
      <c r="C256" s="168"/>
      <c r="D256" s="158">
        <f t="shared" si="6"/>
        <v>0.27272727272727271</v>
      </c>
      <c r="E256" s="159"/>
      <c r="F256" s="160" t="s">
        <v>490</v>
      </c>
      <c r="G256" s="161" t="s">
        <v>66</v>
      </c>
      <c r="H256" s="86">
        <f t="shared" si="7"/>
        <v>4</v>
      </c>
      <c r="I256" s="86">
        <f>IF([1]项目总工作量!B$6="交易类",H256*1.5/22,IF([1]项目总工作量!B$6="数据分析类",H256*1.5*0.9/22,IF([1]项目总工作量!B$6="流程管理类",H256*1.5*0.8/22,IF([1]项目总工作量!B$6="渠道类",H256*1.5*0.7/22,FALSE))))</f>
        <v>0.27272727272727271</v>
      </c>
      <c r="J256" s="86" t="s">
        <v>44</v>
      </c>
    </row>
    <row r="257" spans="1:256" s="153" customFormat="1" ht="17" customHeight="1" x14ac:dyDescent="0.15">
      <c r="A257" s="148"/>
      <c r="B257" s="145"/>
      <c r="C257" s="168"/>
      <c r="D257" s="158">
        <f t="shared" si="6"/>
        <v>0.27272727272727271</v>
      </c>
      <c r="E257" s="159"/>
      <c r="F257" s="160" t="s">
        <v>491</v>
      </c>
      <c r="G257" s="161" t="s">
        <v>66</v>
      </c>
      <c r="H257" s="86">
        <f t="shared" si="7"/>
        <v>4</v>
      </c>
      <c r="I257" s="86">
        <f>IF([1]项目总工作量!B$6="交易类",H257*1.5/22,IF([1]项目总工作量!B$6="数据分析类",H257*1.5*0.9/22,IF([1]项目总工作量!B$6="流程管理类",H257*1.5*0.8/22,IF([1]项目总工作量!B$6="渠道类",H257*1.5*0.7/22,FALSE))))</f>
        <v>0.27272727272727271</v>
      </c>
      <c r="J257" s="86" t="s">
        <v>44</v>
      </c>
    </row>
    <row r="258" spans="1:256" s="153" customFormat="1" ht="17" customHeight="1" x14ac:dyDescent="0.15">
      <c r="A258" s="148"/>
      <c r="B258" s="145"/>
      <c r="C258" s="168"/>
      <c r="D258" s="158">
        <f t="shared" si="6"/>
        <v>0.27272727272727271</v>
      </c>
      <c r="E258" s="159"/>
      <c r="F258" s="160" t="s">
        <v>492</v>
      </c>
      <c r="G258" s="161" t="s">
        <v>66</v>
      </c>
      <c r="H258" s="86">
        <f t="shared" si="7"/>
        <v>4</v>
      </c>
      <c r="I258" s="86">
        <f>IF([1]项目总工作量!B$6="交易类",H258*1.5/22,IF([1]项目总工作量!B$6="数据分析类",H258*1.5*0.9/22,IF([1]项目总工作量!B$6="流程管理类",H258*1.5*0.8/22,IF([1]项目总工作量!B$6="渠道类",H258*1.5*0.7/22,FALSE))))</f>
        <v>0.27272727272727271</v>
      </c>
      <c r="J258" s="86" t="s">
        <v>44</v>
      </c>
    </row>
    <row r="259" spans="1:256" s="153" customFormat="1" ht="17" customHeight="1" x14ac:dyDescent="0.15">
      <c r="A259" s="148"/>
      <c r="B259" s="145"/>
      <c r="C259" s="168"/>
      <c r="D259" s="158">
        <f t="shared" si="6"/>
        <v>0.27272727272727271</v>
      </c>
      <c r="E259" s="159"/>
      <c r="F259" s="160" t="s">
        <v>493</v>
      </c>
      <c r="G259" s="161" t="s">
        <v>66</v>
      </c>
      <c r="H259" s="86">
        <f t="shared" si="7"/>
        <v>4</v>
      </c>
      <c r="I259" s="86">
        <f>IF([1]项目总工作量!B$6="交易类",H259*1.5/22,IF([1]项目总工作量!B$6="数据分析类",H259*1.5*0.9/22,IF([1]项目总工作量!B$6="流程管理类",H259*1.5*0.8/22,IF([1]项目总工作量!B$6="渠道类",H259*1.5*0.7/22,FALSE))))</f>
        <v>0.27272727272727271</v>
      </c>
      <c r="J259" s="86" t="s">
        <v>44</v>
      </c>
    </row>
    <row r="260" spans="1:256" s="153" customFormat="1" ht="17" customHeight="1" x14ac:dyDescent="0.15">
      <c r="A260" s="148"/>
      <c r="B260" s="145"/>
      <c r="C260" s="168"/>
      <c r="D260" s="158">
        <f t="shared" si="6"/>
        <v>0.27272727272727271</v>
      </c>
      <c r="E260" s="159"/>
      <c r="F260" s="160" t="s">
        <v>494</v>
      </c>
      <c r="G260" s="161" t="s">
        <v>66</v>
      </c>
      <c r="H260" s="86">
        <f t="shared" ref="H260:H298" si="8">IF(G260="EI",4,IF(G260="EO",5,IF(G260="EQ",4,0)))</f>
        <v>4</v>
      </c>
      <c r="I260" s="86">
        <f>IF([1]项目总工作量!B$6="交易类",H260*1.5/22,IF([1]项目总工作量!B$6="数据分析类",H260*1.5*0.9/22,IF([1]项目总工作量!B$6="流程管理类",H260*1.5*0.8/22,IF([1]项目总工作量!B$6="渠道类",H260*1.5*0.7/22,FALSE))))</f>
        <v>0.27272727272727271</v>
      </c>
      <c r="J260" s="86" t="s">
        <v>44</v>
      </c>
    </row>
    <row r="261" spans="1:256" s="153" customFormat="1" ht="17" customHeight="1" x14ac:dyDescent="0.15">
      <c r="A261" s="148"/>
      <c r="B261" s="145"/>
      <c r="C261" s="169"/>
      <c r="D261" s="158">
        <f t="shared" si="6"/>
        <v>0.27272727272727271</v>
      </c>
      <c r="E261" s="159"/>
      <c r="F261" s="160" t="s">
        <v>495</v>
      </c>
      <c r="G261" s="161" t="s">
        <v>66</v>
      </c>
      <c r="H261" s="86">
        <f t="shared" si="8"/>
        <v>4</v>
      </c>
      <c r="I261" s="86">
        <f>IF([1]项目总工作量!B$6="交易类",H261*1.5/22,IF([1]项目总工作量!B$6="数据分析类",H261*1.5*0.9/22,IF([1]项目总工作量!B$6="流程管理类",H261*1.5*0.8/22,IF([1]项目总工作量!B$6="渠道类",H261*1.5*0.7/22,FALSE))))</f>
        <v>0.27272727272727271</v>
      </c>
      <c r="J261" s="86" t="s">
        <v>44</v>
      </c>
    </row>
    <row r="262" spans="1:256" s="90" customFormat="1" ht="17" customHeight="1" x14ac:dyDescent="0.15">
      <c r="A262" s="148"/>
      <c r="B262" s="145"/>
      <c r="C262" s="121" t="s">
        <v>390</v>
      </c>
      <c r="D262" s="154">
        <f t="shared" ref="D262:D296" si="9">I262</f>
        <v>0.34090909090909088</v>
      </c>
      <c r="E262" s="93"/>
      <c r="F262" s="95" t="s">
        <v>391</v>
      </c>
      <c r="G262" s="86" t="s">
        <v>67</v>
      </c>
      <c r="H262" s="86">
        <f t="shared" si="8"/>
        <v>5</v>
      </c>
      <c r="I262" s="86">
        <f>IF([1]项目总工作量!B$6="交易类",H262*1.5/22,IF([1]项目总工作量!B$6="数据分析类",H262*1.5*0.9/22,IF([1]项目总工作量!B$6="流程管理类",H262*1.5*0.8/22,IF([1]项目总工作量!B$6="渠道类",H262*1.5*0.7/22,FALSE))))</f>
        <v>0.34090909090909088</v>
      </c>
      <c r="J262" s="86" t="s">
        <v>44</v>
      </c>
      <c r="K262" s="89"/>
      <c r="L262" s="89"/>
      <c r="M262" s="89"/>
      <c r="N262" s="89"/>
      <c r="O262" s="89"/>
      <c r="P262" s="89"/>
      <c r="Q262" s="89"/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  <c r="AE262" s="89"/>
      <c r="AF262" s="89"/>
      <c r="AG262" s="89"/>
      <c r="AH262" s="89"/>
      <c r="AI262" s="89"/>
      <c r="AJ262" s="89"/>
      <c r="AK262" s="89"/>
      <c r="AL262" s="89"/>
      <c r="AM262" s="89"/>
      <c r="AN262" s="89"/>
      <c r="AO262" s="89"/>
      <c r="AP262" s="89"/>
      <c r="AQ262" s="89"/>
      <c r="AR262" s="89"/>
      <c r="AS262" s="89"/>
      <c r="AT262" s="89"/>
      <c r="AU262" s="89"/>
      <c r="AV262" s="89"/>
      <c r="AW262" s="89"/>
      <c r="AX262" s="89"/>
      <c r="AY262" s="89"/>
      <c r="AZ262" s="89"/>
      <c r="BA262" s="89"/>
      <c r="BB262" s="89"/>
      <c r="BC262" s="89"/>
      <c r="BD262" s="89"/>
      <c r="BE262" s="89"/>
      <c r="BF262" s="89"/>
      <c r="BG262" s="89"/>
      <c r="BH262" s="89"/>
      <c r="BI262" s="89"/>
      <c r="BJ262" s="89"/>
      <c r="BK262" s="89"/>
      <c r="BL262" s="89"/>
      <c r="BM262" s="89"/>
      <c r="BN262" s="89"/>
      <c r="BO262" s="89"/>
      <c r="BP262" s="89"/>
      <c r="BQ262" s="89"/>
      <c r="BR262" s="89"/>
      <c r="BS262" s="89"/>
      <c r="BT262" s="89"/>
      <c r="BU262" s="89"/>
      <c r="BV262" s="89"/>
      <c r="BW262" s="89"/>
      <c r="BX262" s="89"/>
      <c r="BY262" s="89"/>
      <c r="BZ262" s="89"/>
      <c r="CA262" s="89"/>
      <c r="CB262" s="89"/>
      <c r="CC262" s="89"/>
      <c r="CD262" s="89"/>
      <c r="CE262" s="89"/>
      <c r="CF262" s="89"/>
      <c r="CG262" s="89"/>
      <c r="CH262" s="89"/>
      <c r="CI262" s="89"/>
      <c r="CJ262" s="89"/>
      <c r="CK262" s="89"/>
      <c r="CL262" s="89"/>
      <c r="CM262" s="89"/>
      <c r="CN262" s="89"/>
      <c r="CO262" s="89"/>
      <c r="CP262" s="89"/>
      <c r="CQ262" s="89"/>
      <c r="CR262" s="89"/>
      <c r="CS262" s="89"/>
      <c r="CT262" s="89"/>
      <c r="CU262" s="89"/>
      <c r="CV262" s="89"/>
      <c r="CW262" s="89"/>
      <c r="CX262" s="89"/>
      <c r="CY262" s="89"/>
      <c r="CZ262" s="89"/>
      <c r="DA262" s="89"/>
      <c r="DB262" s="89"/>
      <c r="DC262" s="89"/>
      <c r="DD262" s="89"/>
      <c r="DE262" s="89"/>
      <c r="DF262" s="89"/>
      <c r="DG262" s="89"/>
      <c r="DH262" s="89"/>
      <c r="DI262" s="89"/>
      <c r="DJ262" s="89"/>
      <c r="DK262" s="89"/>
      <c r="DL262" s="89"/>
      <c r="DM262" s="89"/>
      <c r="DN262" s="89"/>
      <c r="DO262" s="89"/>
      <c r="DP262" s="89"/>
      <c r="DQ262" s="89"/>
      <c r="DR262" s="89"/>
      <c r="DS262" s="89"/>
      <c r="DT262" s="89"/>
      <c r="DU262" s="89"/>
      <c r="DV262" s="89"/>
      <c r="DW262" s="89"/>
      <c r="DX262" s="89"/>
      <c r="DY262" s="89"/>
      <c r="DZ262" s="89"/>
      <c r="EA262" s="89"/>
      <c r="EB262" s="89"/>
      <c r="EC262" s="89"/>
      <c r="ED262" s="89"/>
      <c r="EE262" s="89"/>
      <c r="EF262" s="89"/>
      <c r="EG262" s="89"/>
      <c r="EH262" s="89"/>
      <c r="EI262" s="89"/>
      <c r="EJ262" s="89"/>
      <c r="EK262" s="89"/>
      <c r="EL262" s="89"/>
      <c r="EM262" s="89"/>
      <c r="EN262" s="89"/>
      <c r="EO262" s="89"/>
      <c r="EP262" s="89"/>
      <c r="EQ262" s="89"/>
      <c r="ER262" s="89"/>
      <c r="ES262" s="89"/>
      <c r="ET262" s="89"/>
      <c r="EU262" s="89"/>
      <c r="EV262" s="89"/>
      <c r="EW262" s="89"/>
      <c r="EX262" s="89"/>
      <c r="EY262" s="89"/>
      <c r="EZ262" s="89"/>
      <c r="FA262" s="89"/>
      <c r="FB262" s="89"/>
      <c r="FC262" s="89"/>
      <c r="FD262" s="89"/>
      <c r="FE262" s="89"/>
      <c r="FF262" s="89"/>
      <c r="FG262" s="89"/>
      <c r="FH262" s="89"/>
      <c r="FI262" s="89"/>
      <c r="FJ262" s="89"/>
      <c r="FK262" s="89"/>
      <c r="FL262" s="89"/>
      <c r="FM262" s="89"/>
      <c r="FN262" s="89"/>
      <c r="FO262" s="89"/>
      <c r="FP262" s="89"/>
      <c r="FQ262" s="89"/>
      <c r="FR262" s="89"/>
      <c r="FS262" s="89"/>
      <c r="FT262" s="89"/>
      <c r="FU262" s="89"/>
      <c r="FV262" s="89"/>
      <c r="FW262" s="89"/>
      <c r="FX262" s="89"/>
      <c r="FY262" s="89"/>
      <c r="FZ262" s="89"/>
      <c r="GA262" s="89"/>
      <c r="GB262" s="89"/>
      <c r="GC262" s="89"/>
      <c r="GD262" s="89"/>
      <c r="GE262" s="89"/>
      <c r="GF262" s="89"/>
      <c r="GG262" s="89"/>
      <c r="GH262" s="89"/>
      <c r="GI262" s="89"/>
      <c r="GJ262" s="89"/>
      <c r="GK262" s="89"/>
      <c r="GL262" s="89"/>
      <c r="GM262" s="89"/>
      <c r="GN262" s="89"/>
      <c r="GO262" s="89"/>
      <c r="GP262" s="89"/>
      <c r="GQ262" s="89"/>
      <c r="GR262" s="89"/>
      <c r="GS262" s="89"/>
      <c r="GT262" s="89"/>
      <c r="GU262" s="89"/>
      <c r="GV262" s="89"/>
      <c r="GW262" s="89"/>
      <c r="GX262" s="89"/>
      <c r="GY262" s="89"/>
      <c r="GZ262" s="89"/>
      <c r="HA262" s="89"/>
      <c r="HB262" s="89"/>
      <c r="HC262" s="89"/>
      <c r="HD262" s="89"/>
      <c r="HE262" s="89"/>
      <c r="HF262" s="89"/>
      <c r="HG262" s="89"/>
      <c r="HH262" s="89"/>
      <c r="HI262" s="89"/>
      <c r="HJ262" s="89"/>
      <c r="HK262" s="89"/>
      <c r="HL262" s="89"/>
      <c r="HM262" s="89"/>
      <c r="HN262" s="89"/>
      <c r="HO262" s="89"/>
      <c r="HP262" s="89"/>
      <c r="HQ262" s="89"/>
      <c r="HR262" s="89"/>
      <c r="HS262" s="89"/>
      <c r="HT262" s="89"/>
      <c r="HU262" s="89"/>
      <c r="HV262" s="89"/>
      <c r="HW262" s="89"/>
      <c r="HX262" s="89"/>
      <c r="HY262" s="89"/>
      <c r="HZ262" s="89"/>
      <c r="IA262" s="89"/>
      <c r="IB262" s="89"/>
      <c r="IC262" s="89"/>
      <c r="ID262" s="89"/>
      <c r="IE262" s="89"/>
      <c r="IF262" s="89"/>
      <c r="IG262" s="89"/>
      <c r="IH262" s="89"/>
      <c r="II262" s="89"/>
      <c r="IJ262" s="89"/>
      <c r="IK262" s="89"/>
      <c r="IL262" s="89"/>
      <c r="IM262" s="89"/>
      <c r="IN262" s="89"/>
      <c r="IO262" s="89"/>
      <c r="IP262" s="89"/>
      <c r="IQ262" s="89"/>
      <c r="IR262" s="89"/>
      <c r="IS262" s="89"/>
      <c r="IT262" s="89"/>
      <c r="IU262" s="89"/>
      <c r="IV262" s="89"/>
    </row>
    <row r="263" spans="1:256" s="90" customFormat="1" ht="17" customHeight="1" x14ac:dyDescent="0.15">
      <c r="A263" s="148"/>
      <c r="B263" s="145"/>
      <c r="C263" s="119"/>
      <c r="D263" s="154">
        <f t="shared" si="9"/>
        <v>0.34090909090909088</v>
      </c>
      <c r="E263" s="93"/>
      <c r="F263" s="95" t="s">
        <v>392</v>
      </c>
      <c r="G263" s="86" t="s">
        <v>67</v>
      </c>
      <c r="H263" s="86">
        <f t="shared" si="8"/>
        <v>5</v>
      </c>
      <c r="I263" s="86">
        <f>IF([1]项目总工作量!B$6="交易类",H263*1.5/22,IF([1]项目总工作量!B$6="数据分析类",H263*1.5*0.9/22,IF([1]项目总工作量!B$6="流程管理类",H263*1.5*0.8/22,IF([1]项目总工作量!B$6="渠道类",H263*1.5*0.7/22,FALSE))))</f>
        <v>0.34090909090909088</v>
      </c>
      <c r="J263" s="86" t="s">
        <v>44</v>
      </c>
      <c r="K263" s="89"/>
      <c r="L263" s="89"/>
      <c r="M263" s="89"/>
      <c r="N263" s="89"/>
      <c r="O263" s="89"/>
      <c r="P263" s="89"/>
      <c r="Q263" s="89"/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89"/>
      <c r="AI263" s="89"/>
      <c r="AJ263" s="89"/>
      <c r="AK263" s="89"/>
      <c r="AL263" s="89"/>
      <c r="AM263" s="89"/>
      <c r="AN263" s="89"/>
      <c r="AO263" s="89"/>
      <c r="AP263" s="89"/>
      <c r="AQ263" s="89"/>
      <c r="AR263" s="89"/>
      <c r="AS263" s="89"/>
      <c r="AT263" s="89"/>
      <c r="AU263" s="89"/>
      <c r="AV263" s="89"/>
      <c r="AW263" s="89"/>
      <c r="AX263" s="89"/>
      <c r="AY263" s="89"/>
      <c r="AZ263" s="89"/>
      <c r="BA263" s="89"/>
      <c r="BB263" s="89"/>
      <c r="BC263" s="89"/>
      <c r="BD263" s="89"/>
      <c r="BE263" s="89"/>
      <c r="BF263" s="89"/>
      <c r="BG263" s="89"/>
      <c r="BH263" s="89"/>
      <c r="BI263" s="89"/>
      <c r="BJ263" s="89"/>
      <c r="BK263" s="89"/>
      <c r="BL263" s="89"/>
      <c r="BM263" s="89"/>
      <c r="BN263" s="89"/>
      <c r="BO263" s="89"/>
      <c r="BP263" s="89"/>
      <c r="BQ263" s="89"/>
      <c r="BR263" s="89"/>
      <c r="BS263" s="89"/>
      <c r="BT263" s="89"/>
      <c r="BU263" s="89"/>
      <c r="BV263" s="89"/>
      <c r="BW263" s="89"/>
      <c r="BX263" s="89"/>
      <c r="BY263" s="89"/>
      <c r="BZ263" s="89"/>
      <c r="CA263" s="89"/>
      <c r="CB263" s="89"/>
      <c r="CC263" s="89"/>
      <c r="CD263" s="89"/>
      <c r="CE263" s="89"/>
      <c r="CF263" s="89"/>
      <c r="CG263" s="89"/>
      <c r="CH263" s="89"/>
      <c r="CI263" s="89"/>
      <c r="CJ263" s="89"/>
      <c r="CK263" s="89"/>
      <c r="CL263" s="89"/>
      <c r="CM263" s="89"/>
      <c r="CN263" s="89"/>
      <c r="CO263" s="89"/>
      <c r="CP263" s="89"/>
      <c r="CQ263" s="89"/>
      <c r="CR263" s="89"/>
      <c r="CS263" s="89"/>
      <c r="CT263" s="89"/>
      <c r="CU263" s="89"/>
      <c r="CV263" s="89"/>
      <c r="CW263" s="89"/>
      <c r="CX263" s="89"/>
      <c r="CY263" s="89"/>
      <c r="CZ263" s="89"/>
      <c r="DA263" s="89"/>
      <c r="DB263" s="89"/>
      <c r="DC263" s="89"/>
      <c r="DD263" s="89"/>
      <c r="DE263" s="89"/>
      <c r="DF263" s="89"/>
      <c r="DG263" s="89"/>
      <c r="DH263" s="89"/>
      <c r="DI263" s="89"/>
      <c r="DJ263" s="89"/>
      <c r="DK263" s="89"/>
      <c r="DL263" s="89"/>
      <c r="DM263" s="89"/>
      <c r="DN263" s="89"/>
      <c r="DO263" s="89"/>
      <c r="DP263" s="89"/>
      <c r="DQ263" s="89"/>
      <c r="DR263" s="89"/>
      <c r="DS263" s="89"/>
      <c r="DT263" s="89"/>
      <c r="DU263" s="89"/>
      <c r="DV263" s="89"/>
      <c r="DW263" s="89"/>
      <c r="DX263" s="89"/>
      <c r="DY263" s="89"/>
      <c r="DZ263" s="89"/>
      <c r="EA263" s="89"/>
      <c r="EB263" s="89"/>
      <c r="EC263" s="89"/>
      <c r="ED263" s="89"/>
      <c r="EE263" s="89"/>
      <c r="EF263" s="89"/>
      <c r="EG263" s="89"/>
      <c r="EH263" s="89"/>
      <c r="EI263" s="89"/>
      <c r="EJ263" s="89"/>
      <c r="EK263" s="89"/>
      <c r="EL263" s="89"/>
      <c r="EM263" s="89"/>
      <c r="EN263" s="89"/>
      <c r="EO263" s="89"/>
      <c r="EP263" s="89"/>
      <c r="EQ263" s="89"/>
      <c r="ER263" s="89"/>
      <c r="ES263" s="89"/>
      <c r="ET263" s="89"/>
      <c r="EU263" s="89"/>
      <c r="EV263" s="89"/>
      <c r="EW263" s="89"/>
      <c r="EX263" s="89"/>
      <c r="EY263" s="89"/>
      <c r="EZ263" s="89"/>
      <c r="FA263" s="89"/>
      <c r="FB263" s="89"/>
      <c r="FC263" s="89"/>
      <c r="FD263" s="89"/>
      <c r="FE263" s="89"/>
      <c r="FF263" s="89"/>
      <c r="FG263" s="89"/>
      <c r="FH263" s="89"/>
      <c r="FI263" s="89"/>
      <c r="FJ263" s="89"/>
      <c r="FK263" s="89"/>
      <c r="FL263" s="89"/>
      <c r="FM263" s="89"/>
      <c r="FN263" s="89"/>
      <c r="FO263" s="89"/>
      <c r="FP263" s="89"/>
      <c r="FQ263" s="89"/>
      <c r="FR263" s="89"/>
      <c r="FS263" s="89"/>
      <c r="FT263" s="89"/>
      <c r="FU263" s="89"/>
      <c r="FV263" s="89"/>
      <c r="FW263" s="89"/>
      <c r="FX263" s="89"/>
      <c r="FY263" s="89"/>
      <c r="FZ263" s="89"/>
      <c r="GA263" s="89"/>
      <c r="GB263" s="89"/>
      <c r="GC263" s="89"/>
      <c r="GD263" s="89"/>
      <c r="GE263" s="89"/>
      <c r="GF263" s="89"/>
      <c r="GG263" s="89"/>
      <c r="GH263" s="89"/>
      <c r="GI263" s="89"/>
      <c r="GJ263" s="89"/>
      <c r="GK263" s="89"/>
      <c r="GL263" s="89"/>
      <c r="GM263" s="89"/>
      <c r="GN263" s="89"/>
      <c r="GO263" s="89"/>
      <c r="GP263" s="89"/>
      <c r="GQ263" s="89"/>
      <c r="GR263" s="89"/>
      <c r="GS263" s="89"/>
      <c r="GT263" s="89"/>
      <c r="GU263" s="89"/>
      <c r="GV263" s="89"/>
      <c r="GW263" s="89"/>
      <c r="GX263" s="89"/>
      <c r="GY263" s="89"/>
      <c r="GZ263" s="89"/>
      <c r="HA263" s="89"/>
      <c r="HB263" s="89"/>
      <c r="HC263" s="89"/>
      <c r="HD263" s="89"/>
      <c r="HE263" s="89"/>
      <c r="HF263" s="89"/>
      <c r="HG263" s="89"/>
      <c r="HH263" s="89"/>
      <c r="HI263" s="89"/>
      <c r="HJ263" s="89"/>
      <c r="HK263" s="89"/>
      <c r="HL263" s="89"/>
      <c r="HM263" s="89"/>
      <c r="HN263" s="89"/>
      <c r="HO263" s="89"/>
      <c r="HP263" s="89"/>
      <c r="HQ263" s="89"/>
      <c r="HR263" s="89"/>
      <c r="HS263" s="89"/>
      <c r="HT263" s="89"/>
      <c r="HU263" s="89"/>
      <c r="HV263" s="89"/>
      <c r="HW263" s="89"/>
      <c r="HX263" s="89"/>
      <c r="HY263" s="89"/>
      <c r="HZ263" s="89"/>
      <c r="IA263" s="89"/>
      <c r="IB263" s="89"/>
      <c r="IC263" s="89"/>
      <c r="ID263" s="89"/>
      <c r="IE263" s="89"/>
      <c r="IF263" s="89"/>
      <c r="IG263" s="89"/>
      <c r="IH263" s="89"/>
      <c r="II263" s="89"/>
      <c r="IJ263" s="89"/>
      <c r="IK263" s="89"/>
      <c r="IL263" s="89"/>
      <c r="IM263" s="89"/>
      <c r="IN263" s="89"/>
      <c r="IO263" s="89"/>
      <c r="IP263" s="89"/>
      <c r="IQ263" s="89"/>
      <c r="IR263" s="89"/>
      <c r="IS263" s="89"/>
      <c r="IT263" s="89"/>
      <c r="IU263" s="89"/>
      <c r="IV263" s="89"/>
    </row>
    <row r="264" spans="1:256" s="90" customFormat="1" ht="17" customHeight="1" x14ac:dyDescent="0.15">
      <c r="A264" s="148"/>
      <c r="B264" s="145"/>
      <c r="C264" s="122"/>
      <c r="D264" s="154">
        <f t="shared" si="9"/>
        <v>0.34090909090909088</v>
      </c>
      <c r="E264" s="93"/>
      <c r="F264" s="95" t="s">
        <v>393</v>
      </c>
      <c r="G264" s="86" t="s">
        <v>67</v>
      </c>
      <c r="H264" s="86">
        <f t="shared" si="8"/>
        <v>5</v>
      </c>
      <c r="I264" s="86">
        <f>IF([1]项目总工作量!B$6="交易类",H264*1.5/22,IF([1]项目总工作量!B$6="数据分析类",H264*1.5*0.9/22,IF([1]项目总工作量!B$6="流程管理类",H264*1.5*0.8/22,IF([1]项目总工作量!B$6="渠道类",H264*1.5*0.7/22,FALSE))))</f>
        <v>0.34090909090909088</v>
      </c>
      <c r="J264" s="86" t="s">
        <v>44</v>
      </c>
      <c r="K264" s="89"/>
      <c r="L264" s="89"/>
      <c r="M264" s="89"/>
      <c r="N264" s="89"/>
      <c r="O264" s="89"/>
      <c r="P264" s="89"/>
      <c r="Q264" s="89"/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  <c r="AE264" s="89"/>
      <c r="AF264" s="89"/>
      <c r="AG264" s="89"/>
      <c r="AH264" s="89"/>
      <c r="AI264" s="89"/>
      <c r="AJ264" s="89"/>
      <c r="AK264" s="89"/>
      <c r="AL264" s="89"/>
      <c r="AM264" s="89"/>
      <c r="AN264" s="89"/>
      <c r="AO264" s="89"/>
      <c r="AP264" s="89"/>
      <c r="AQ264" s="89"/>
      <c r="AR264" s="89"/>
      <c r="AS264" s="89"/>
      <c r="AT264" s="89"/>
      <c r="AU264" s="89"/>
      <c r="AV264" s="89"/>
      <c r="AW264" s="89"/>
      <c r="AX264" s="89"/>
      <c r="AY264" s="89"/>
      <c r="AZ264" s="89"/>
      <c r="BA264" s="89"/>
      <c r="BB264" s="89"/>
      <c r="BC264" s="89"/>
      <c r="BD264" s="89"/>
      <c r="BE264" s="89"/>
      <c r="BF264" s="89"/>
      <c r="BG264" s="89"/>
      <c r="BH264" s="89"/>
      <c r="BI264" s="89"/>
      <c r="BJ264" s="89"/>
      <c r="BK264" s="89"/>
      <c r="BL264" s="89"/>
      <c r="BM264" s="89"/>
      <c r="BN264" s="89"/>
      <c r="BO264" s="89"/>
      <c r="BP264" s="89"/>
      <c r="BQ264" s="89"/>
      <c r="BR264" s="89"/>
      <c r="BS264" s="89"/>
      <c r="BT264" s="89"/>
      <c r="BU264" s="89"/>
      <c r="BV264" s="89"/>
      <c r="BW264" s="89"/>
      <c r="BX264" s="89"/>
      <c r="BY264" s="89"/>
      <c r="BZ264" s="89"/>
      <c r="CA264" s="89"/>
      <c r="CB264" s="89"/>
      <c r="CC264" s="89"/>
      <c r="CD264" s="89"/>
      <c r="CE264" s="89"/>
      <c r="CF264" s="89"/>
      <c r="CG264" s="89"/>
      <c r="CH264" s="89"/>
      <c r="CI264" s="89"/>
      <c r="CJ264" s="89"/>
      <c r="CK264" s="89"/>
      <c r="CL264" s="89"/>
      <c r="CM264" s="89"/>
      <c r="CN264" s="89"/>
      <c r="CO264" s="89"/>
      <c r="CP264" s="89"/>
      <c r="CQ264" s="89"/>
      <c r="CR264" s="89"/>
      <c r="CS264" s="89"/>
      <c r="CT264" s="89"/>
      <c r="CU264" s="89"/>
      <c r="CV264" s="89"/>
      <c r="CW264" s="89"/>
      <c r="CX264" s="89"/>
      <c r="CY264" s="89"/>
      <c r="CZ264" s="89"/>
      <c r="DA264" s="89"/>
      <c r="DB264" s="89"/>
      <c r="DC264" s="89"/>
      <c r="DD264" s="89"/>
      <c r="DE264" s="89"/>
      <c r="DF264" s="89"/>
      <c r="DG264" s="89"/>
      <c r="DH264" s="89"/>
      <c r="DI264" s="89"/>
      <c r="DJ264" s="89"/>
      <c r="DK264" s="89"/>
      <c r="DL264" s="89"/>
      <c r="DM264" s="89"/>
      <c r="DN264" s="89"/>
      <c r="DO264" s="89"/>
      <c r="DP264" s="89"/>
      <c r="DQ264" s="89"/>
      <c r="DR264" s="89"/>
      <c r="DS264" s="89"/>
      <c r="DT264" s="89"/>
      <c r="DU264" s="89"/>
      <c r="DV264" s="89"/>
      <c r="DW264" s="89"/>
      <c r="DX264" s="89"/>
      <c r="DY264" s="89"/>
      <c r="DZ264" s="89"/>
      <c r="EA264" s="89"/>
      <c r="EB264" s="89"/>
      <c r="EC264" s="89"/>
      <c r="ED264" s="89"/>
      <c r="EE264" s="89"/>
      <c r="EF264" s="89"/>
      <c r="EG264" s="89"/>
      <c r="EH264" s="89"/>
      <c r="EI264" s="89"/>
      <c r="EJ264" s="89"/>
      <c r="EK264" s="89"/>
      <c r="EL264" s="89"/>
      <c r="EM264" s="89"/>
      <c r="EN264" s="89"/>
      <c r="EO264" s="89"/>
      <c r="EP264" s="89"/>
      <c r="EQ264" s="89"/>
      <c r="ER264" s="89"/>
      <c r="ES264" s="89"/>
      <c r="ET264" s="89"/>
      <c r="EU264" s="89"/>
      <c r="EV264" s="89"/>
      <c r="EW264" s="89"/>
      <c r="EX264" s="89"/>
      <c r="EY264" s="89"/>
      <c r="EZ264" s="89"/>
      <c r="FA264" s="89"/>
      <c r="FB264" s="89"/>
      <c r="FC264" s="89"/>
      <c r="FD264" s="89"/>
      <c r="FE264" s="89"/>
      <c r="FF264" s="89"/>
      <c r="FG264" s="89"/>
      <c r="FH264" s="89"/>
      <c r="FI264" s="89"/>
      <c r="FJ264" s="89"/>
      <c r="FK264" s="89"/>
      <c r="FL264" s="89"/>
      <c r="FM264" s="89"/>
      <c r="FN264" s="89"/>
      <c r="FO264" s="89"/>
      <c r="FP264" s="89"/>
      <c r="FQ264" s="89"/>
      <c r="FR264" s="89"/>
      <c r="FS264" s="89"/>
      <c r="FT264" s="89"/>
      <c r="FU264" s="89"/>
      <c r="FV264" s="89"/>
      <c r="FW264" s="89"/>
      <c r="FX264" s="89"/>
      <c r="FY264" s="89"/>
      <c r="FZ264" s="89"/>
      <c r="GA264" s="89"/>
      <c r="GB264" s="89"/>
      <c r="GC264" s="89"/>
      <c r="GD264" s="89"/>
      <c r="GE264" s="89"/>
      <c r="GF264" s="89"/>
      <c r="GG264" s="89"/>
      <c r="GH264" s="89"/>
      <c r="GI264" s="89"/>
      <c r="GJ264" s="89"/>
      <c r="GK264" s="89"/>
      <c r="GL264" s="89"/>
      <c r="GM264" s="89"/>
      <c r="GN264" s="89"/>
      <c r="GO264" s="89"/>
      <c r="GP264" s="89"/>
      <c r="GQ264" s="89"/>
      <c r="GR264" s="89"/>
      <c r="GS264" s="89"/>
      <c r="GT264" s="89"/>
      <c r="GU264" s="89"/>
      <c r="GV264" s="89"/>
      <c r="GW264" s="89"/>
      <c r="GX264" s="89"/>
      <c r="GY264" s="89"/>
      <c r="GZ264" s="89"/>
      <c r="HA264" s="89"/>
      <c r="HB264" s="89"/>
      <c r="HC264" s="89"/>
      <c r="HD264" s="89"/>
      <c r="HE264" s="89"/>
      <c r="HF264" s="89"/>
      <c r="HG264" s="89"/>
      <c r="HH264" s="89"/>
      <c r="HI264" s="89"/>
      <c r="HJ264" s="89"/>
      <c r="HK264" s="89"/>
      <c r="HL264" s="89"/>
      <c r="HM264" s="89"/>
      <c r="HN264" s="89"/>
      <c r="HO264" s="89"/>
      <c r="HP264" s="89"/>
      <c r="HQ264" s="89"/>
      <c r="HR264" s="89"/>
      <c r="HS264" s="89"/>
      <c r="HT264" s="89"/>
      <c r="HU264" s="89"/>
      <c r="HV264" s="89"/>
      <c r="HW264" s="89"/>
      <c r="HX264" s="89"/>
      <c r="HY264" s="89"/>
      <c r="HZ264" s="89"/>
      <c r="IA264" s="89"/>
      <c r="IB264" s="89"/>
      <c r="IC264" s="89"/>
      <c r="ID264" s="89"/>
      <c r="IE264" s="89"/>
      <c r="IF264" s="89"/>
      <c r="IG264" s="89"/>
      <c r="IH264" s="89"/>
      <c r="II264" s="89"/>
      <c r="IJ264" s="89"/>
      <c r="IK264" s="89"/>
      <c r="IL264" s="89"/>
      <c r="IM264" s="89"/>
      <c r="IN264" s="89"/>
      <c r="IO264" s="89"/>
      <c r="IP264" s="89"/>
      <c r="IQ264" s="89"/>
      <c r="IR264" s="89"/>
      <c r="IS264" s="89"/>
      <c r="IT264" s="89"/>
      <c r="IU264" s="89"/>
      <c r="IV264" s="89"/>
    </row>
    <row r="265" spans="1:256" s="90" customFormat="1" ht="17" customHeight="1" x14ac:dyDescent="0.15">
      <c r="A265" s="148"/>
      <c r="B265" s="145"/>
      <c r="C265" s="119"/>
      <c r="D265" s="154">
        <f t="shared" si="9"/>
        <v>0.34090909090909088</v>
      </c>
      <c r="E265" s="93"/>
      <c r="F265" s="95" t="s">
        <v>496</v>
      </c>
      <c r="G265" s="86" t="s">
        <v>67</v>
      </c>
      <c r="H265" s="86">
        <f t="shared" si="8"/>
        <v>5</v>
      </c>
      <c r="I265" s="86">
        <f>IF([1]项目总工作量!B$6="交易类",H265*1.5/22,IF([1]项目总工作量!B$6="数据分析类",H265*1.5*0.9/22,IF([1]项目总工作量!B$6="流程管理类",H265*1.5*0.8/22,IF([1]项目总工作量!B$6="渠道类",H265*1.5*0.7/22,FALSE))))</f>
        <v>0.34090909090909088</v>
      </c>
      <c r="J265" s="86" t="s">
        <v>44</v>
      </c>
      <c r="K265" s="89"/>
      <c r="L265" s="89"/>
      <c r="M265" s="89"/>
      <c r="N265" s="89"/>
      <c r="O265" s="89"/>
      <c r="P265" s="89"/>
      <c r="Q265" s="89"/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  <c r="AE265" s="89"/>
      <c r="AF265" s="89"/>
      <c r="AG265" s="89"/>
      <c r="AH265" s="89"/>
      <c r="AI265" s="89"/>
      <c r="AJ265" s="89"/>
      <c r="AK265" s="89"/>
      <c r="AL265" s="89"/>
      <c r="AM265" s="89"/>
      <c r="AN265" s="89"/>
      <c r="AO265" s="89"/>
      <c r="AP265" s="89"/>
      <c r="AQ265" s="89"/>
      <c r="AR265" s="89"/>
      <c r="AS265" s="89"/>
      <c r="AT265" s="89"/>
      <c r="AU265" s="89"/>
      <c r="AV265" s="89"/>
      <c r="AW265" s="89"/>
      <c r="AX265" s="89"/>
      <c r="AY265" s="89"/>
      <c r="AZ265" s="89"/>
      <c r="BA265" s="89"/>
      <c r="BB265" s="89"/>
      <c r="BC265" s="89"/>
      <c r="BD265" s="89"/>
      <c r="BE265" s="89"/>
      <c r="BF265" s="89"/>
      <c r="BG265" s="89"/>
      <c r="BH265" s="89"/>
      <c r="BI265" s="89"/>
      <c r="BJ265" s="89"/>
      <c r="BK265" s="89"/>
      <c r="BL265" s="89"/>
      <c r="BM265" s="89"/>
      <c r="BN265" s="89"/>
      <c r="BO265" s="89"/>
      <c r="BP265" s="89"/>
      <c r="BQ265" s="89"/>
      <c r="BR265" s="89"/>
      <c r="BS265" s="89"/>
      <c r="BT265" s="89"/>
      <c r="BU265" s="89"/>
      <c r="BV265" s="89"/>
      <c r="BW265" s="89"/>
      <c r="BX265" s="89"/>
      <c r="BY265" s="89"/>
      <c r="BZ265" s="89"/>
      <c r="CA265" s="89"/>
      <c r="CB265" s="89"/>
      <c r="CC265" s="89"/>
      <c r="CD265" s="89"/>
      <c r="CE265" s="89"/>
      <c r="CF265" s="89"/>
      <c r="CG265" s="89"/>
      <c r="CH265" s="89"/>
      <c r="CI265" s="89"/>
      <c r="CJ265" s="89"/>
      <c r="CK265" s="89"/>
      <c r="CL265" s="89"/>
      <c r="CM265" s="89"/>
      <c r="CN265" s="89"/>
      <c r="CO265" s="89"/>
      <c r="CP265" s="89"/>
      <c r="CQ265" s="89"/>
      <c r="CR265" s="89"/>
      <c r="CS265" s="89"/>
      <c r="CT265" s="89"/>
      <c r="CU265" s="89"/>
      <c r="CV265" s="89"/>
      <c r="CW265" s="89"/>
      <c r="CX265" s="89"/>
      <c r="CY265" s="89"/>
      <c r="CZ265" s="89"/>
      <c r="DA265" s="89"/>
      <c r="DB265" s="89"/>
      <c r="DC265" s="89"/>
      <c r="DD265" s="89"/>
      <c r="DE265" s="89"/>
      <c r="DF265" s="89"/>
      <c r="DG265" s="89"/>
      <c r="DH265" s="89"/>
      <c r="DI265" s="89"/>
      <c r="DJ265" s="89"/>
      <c r="DK265" s="89"/>
      <c r="DL265" s="89"/>
      <c r="DM265" s="89"/>
      <c r="DN265" s="89"/>
      <c r="DO265" s="89"/>
      <c r="DP265" s="89"/>
      <c r="DQ265" s="89"/>
      <c r="DR265" s="89"/>
      <c r="DS265" s="89"/>
      <c r="DT265" s="89"/>
      <c r="DU265" s="89"/>
      <c r="DV265" s="89"/>
      <c r="DW265" s="89"/>
      <c r="DX265" s="89"/>
      <c r="DY265" s="89"/>
      <c r="DZ265" s="89"/>
      <c r="EA265" s="89"/>
      <c r="EB265" s="89"/>
      <c r="EC265" s="89"/>
      <c r="ED265" s="89"/>
      <c r="EE265" s="89"/>
      <c r="EF265" s="89"/>
      <c r="EG265" s="89"/>
      <c r="EH265" s="89"/>
      <c r="EI265" s="89"/>
      <c r="EJ265" s="89"/>
      <c r="EK265" s="89"/>
      <c r="EL265" s="89"/>
      <c r="EM265" s="89"/>
      <c r="EN265" s="89"/>
      <c r="EO265" s="89"/>
      <c r="EP265" s="89"/>
      <c r="EQ265" s="89"/>
      <c r="ER265" s="89"/>
      <c r="ES265" s="89"/>
      <c r="ET265" s="89"/>
      <c r="EU265" s="89"/>
      <c r="EV265" s="89"/>
      <c r="EW265" s="89"/>
      <c r="EX265" s="89"/>
      <c r="EY265" s="89"/>
      <c r="EZ265" s="89"/>
      <c r="FA265" s="89"/>
      <c r="FB265" s="89"/>
      <c r="FC265" s="89"/>
      <c r="FD265" s="89"/>
      <c r="FE265" s="89"/>
      <c r="FF265" s="89"/>
      <c r="FG265" s="89"/>
      <c r="FH265" s="89"/>
      <c r="FI265" s="89"/>
      <c r="FJ265" s="89"/>
      <c r="FK265" s="89"/>
      <c r="FL265" s="89"/>
      <c r="FM265" s="89"/>
      <c r="FN265" s="89"/>
      <c r="FO265" s="89"/>
      <c r="FP265" s="89"/>
      <c r="FQ265" s="89"/>
      <c r="FR265" s="89"/>
      <c r="FS265" s="89"/>
      <c r="FT265" s="89"/>
      <c r="FU265" s="89"/>
      <c r="FV265" s="89"/>
      <c r="FW265" s="89"/>
      <c r="FX265" s="89"/>
      <c r="FY265" s="89"/>
      <c r="FZ265" s="89"/>
      <c r="GA265" s="89"/>
      <c r="GB265" s="89"/>
      <c r="GC265" s="89"/>
      <c r="GD265" s="89"/>
      <c r="GE265" s="89"/>
      <c r="GF265" s="89"/>
      <c r="GG265" s="89"/>
      <c r="GH265" s="89"/>
      <c r="GI265" s="89"/>
      <c r="GJ265" s="89"/>
      <c r="GK265" s="89"/>
      <c r="GL265" s="89"/>
      <c r="GM265" s="89"/>
      <c r="GN265" s="89"/>
      <c r="GO265" s="89"/>
      <c r="GP265" s="89"/>
      <c r="GQ265" s="89"/>
      <c r="GR265" s="89"/>
      <c r="GS265" s="89"/>
      <c r="GT265" s="89"/>
      <c r="GU265" s="89"/>
      <c r="GV265" s="89"/>
      <c r="GW265" s="89"/>
      <c r="GX265" s="89"/>
      <c r="GY265" s="89"/>
      <c r="GZ265" s="89"/>
      <c r="HA265" s="89"/>
      <c r="HB265" s="89"/>
      <c r="HC265" s="89"/>
      <c r="HD265" s="89"/>
      <c r="HE265" s="89"/>
      <c r="HF265" s="89"/>
      <c r="HG265" s="89"/>
      <c r="HH265" s="89"/>
      <c r="HI265" s="89"/>
      <c r="HJ265" s="89"/>
      <c r="HK265" s="89"/>
      <c r="HL265" s="89"/>
      <c r="HM265" s="89"/>
      <c r="HN265" s="89"/>
      <c r="HO265" s="89"/>
      <c r="HP265" s="89"/>
      <c r="HQ265" s="89"/>
      <c r="HR265" s="89"/>
      <c r="HS265" s="89"/>
      <c r="HT265" s="89"/>
      <c r="HU265" s="89"/>
      <c r="HV265" s="89"/>
      <c r="HW265" s="89"/>
      <c r="HX265" s="89"/>
      <c r="HY265" s="89"/>
      <c r="HZ265" s="89"/>
      <c r="IA265" s="89"/>
      <c r="IB265" s="89"/>
      <c r="IC265" s="89"/>
      <c r="ID265" s="89"/>
      <c r="IE265" s="89"/>
      <c r="IF265" s="89"/>
      <c r="IG265" s="89"/>
      <c r="IH265" s="89"/>
      <c r="II265" s="89"/>
      <c r="IJ265" s="89"/>
      <c r="IK265" s="89"/>
      <c r="IL265" s="89"/>
      <c r="IM265" s="89"/>
      <c r="IN265" s="89"/>
      <c r="IO265" s="89"/>
      <c r="IP265" s="89"/>
      <c r="IQ265" s="89"/>
      <c r="IR265" s="89"/>
      <c r="IS265" s="89"/>
      <c r="IT265" s="89"/>
      <c r="IU265" s="89"/>
      <c r="IV265" s="89"/>
    </row>
    <row r="266" spans="1:256" s="90" customFormat="1" ht="17" customHeight="1" x14ac:dyDescent="0.15">
      <c r="A266" s="148"/>
      <c r="B266" s="145"/>
      <c r="C266" s="119"/>
      <c r="D266" s="154">
        <f t="shared" si="9"/>
        <v>0.34090909090909088</v>
      </c>
      <c r="E266" s="93"/>
      <c r="F266" s="99" t="s">
        <v>497</v>
      </c>
      <c r="G266" s="86" t="s">
        <v>67</v>
      </c>
      <c r="H266" s="86">
        <f t="shared" si="8"/>
        <v>5</v>
      </c>
      <c r="I266" s="86">
        <f>IF([1]项目总工作量!B$6="交易类",H266*1.5/22,IF([1]项目总工作量!B$6="数据分析类",H266*1.5*0.9/22,IF([1]项目总工作量!B$6="流程管理类",H266*1.5*0.8/22,IF([1]项目总工作量!B$6="渠道类",H266*1.5*0.7/22,FALSE))))</f>
        <v>0.34090909090909088</v>
      </c>
      <c r="J266" s="86" t="s">
        <v>44</v>
      </c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89"/>
      <c r="AK266" s="89"/>
      <c r="AL266" s="89"/>
      <c r="AM266" s="89"/>
      <c r="AN266" s="89"/>
      <c r="AO266" s="89"/>
      <c r="AP266" s="89"/>
      <c r="AQ266" s="89"/>
      <c r="AR266" s="89"/>
      <c r="AS266" s="89"/>
      <c r="AT266" s="89"/>
      <c r="AU266" s="89"/>
      <c r="AV266" s="89"/>
      <c r="AW266" s="89"/>
      <c r="AX266" s="89"/>
      <c r="AY266" s="89"/>
      <c r="AZ266" s="89"/>
      <c r="BA266" s="89"/>
      <c r="BB266" s="89"/>
      <c r="BC266" s="89"/>
      <c r="BD266" s="89"/>
      <c r="BE266" s="89"/>
      <c r="BF266" s="89"/>
      <c r="BG266" s="89"/>
      <c r="BH266" s="89"/>
      <c r="BI266" s="89"/>
      <c r="BJ266" s="89"/>
      <c r="BK266" s="89"/>
      <c r="BL266" s="89"/>
      <c r="BM266" s="89"/>
      <c r="BN266" s="89"/>
      <c r="BO266" s="89"/>
      <c r="BP266" s="89"/>
      <c r="BQ266" s="89"/>
      <c r="BR266" s="89"/>
      <c r="BS266" s="89"/>
      <c r="BT266" s="89"/>
      <c r="BU266" s="89"/>
      <c r="BV266" s="89"/>
      <c r="BW266" s="89"/>
      <c r="BX266" s="89"/>
      <c r="BY266" s="89"/>
      <c r="BZ266" s="89"/>
      <c r="CA266" s="89"/>
      <c r="CB266" s="89"/>
      <c r="CC266" s="89"/>
      <c r="CD266" s="89"/>
      <c r="CE266" s="89"/>
      <c r="CF266" s="89"/>
      <c r="CG266" s="89"/>
      <c r="CH266" s="89"/>
      <c r="CI266" s="89"/>
      <c r="CJ266" s="89"/>
      <c r="CK266" s="89"/>
      <c r="CL266" s="89"/>
      <c r="CM266" s="89"/>
      <c r="CN266" s="89"/>
      <c r="CO266" s="89"/>
      <c r="CP266" s="89"/>
      <c r="CQ266" s="89"/>
      <c r="CR266" s="89"/>
      <c r="CS266" s="89"/>
      <c r="CT266" s="89"/>
      <c r="CU266" s="89"/>
      <c r="CV266" s="89"/>
      <c r="CW266" s="89"/>
      <c r="CX266" s="89"/>
      <c r="CY266" s="89"/>
      <c r="CZ266" s="89"/>
      <c r="DA266" s="89"/>
      <c r="DB266" s="89"/>
      <c r="DC266" s="89"/>
      <c r="DD266" s="89"/>
      <c r="DE266" s="89"/>
      <c r="DF266" s="89"/>
      <c r="DG266" s="89"/>
      <c r="DH266" s="89"/>
      <c r="DI266" s="89"/>
      <c r="DJ266" s="89"/>
      <c r="DK266" s="89"/>
      <c r="DL266" s="89"/>
      <c r="DM266" s="89"/>
      <c r="DN266" s="89"/>
      <c r="DO266" s="89"/>
      <c r="DP266" s="89"/>
      <c r="DQ266" s="89"/>
      <c r="DR266" s="89"/>
      <c r="DS266" s="89"/>
      <c r="DT266" s="89"/>
      <c r="DU266" s="89"/>
      <c r="DV266" s="89"/>
      <c r="DW266" s="89"/>
      <c r="DX266" s="89"/>
      <c r="DY266" s="89"/>
      <c r="DZ266" s="89"/>
      <c r="EA266" s="89"/>
      <c r="EB266" s="89"/>
      <c r="EC266" s="89"/>
      <c r="ED266" s="89"/>
      <c r="EE266" s="89"/>
      <c r="EF266" s="89"/>
      <c r="EG266" s="89"/>
      <c r="EH266" s="89"/>
      <c r="EI266" s="89"/>
      <c r="EJ266" s="89"/>
      <c r="EK266" s="89"/>
      <c r="EL266" s="89"/>
      <c r="EM266" s="89"/>
      <c r="EN266" s="89"/>
      <c r="EO266" s="89"/>
      <c r="EP266" s="89"/>
      <c r="EQ266" s="89"/>
      <c r="ER266" s="89"/>
      <c r="ES266" s="89"/>
      <c r="ET266" s="89"/>
      <c r="EU266" s="89"/>
      <c r="EV266" s="89"/>
      <c r="EW266" s="89"/>
      <c r="EX266" s="89"/>
      <c r="EY266" s="89"/>
      <c r="EZ266" s="89"/>
      <c r="FA266" s="89"/>
      <c r="FB266" s="89"/>
      <c r="FC266" s="89"/>
      <c r="FD266" s="89"/>
      <c r="FE266" s="89"/>
      <c r="FF266" s="89"/>
      <c r="FG266" s="89"/>
      <c r="FH266" s="89"/>
      <c r="FI266" s="89"/>
      <c r="FJ266" s="89"/>
      <c r="FK266" s="89"/>
      <c r="FL266" s="89"/>
      <c r="FM266" s="89"/>
      <c r="FN266" s="89"/>
      <c r="FO266" s="89"/>
      <c r="FP266" s="89"/>
      <c r="FQ266" s="89"/>
      <c r="FR266" s="89"/>
      <c r="FS266" s="89"/>
      <c r="FT266" s="89"/>
      <c r="FU266" s="89"/>
      <c r="FV266" s="89"/>
      <c r="FW266" s="89"/>
      <c r="FX266" s="89"/>
      <c r="FY266" s="89"/>
      <c r="FZ266" s="89"/>
      <c r="GA266" s="89"/>
      <c r="GB266" s="89"/>
      <c r="GC266" s="89"/>
      <c r="GD266" s="89"/>
      <c r="GE266" s="89"/>
      <c r="GF266" s="89"/>
      <c r="GG266" s="89"/>
      <c r="GH266" s="89"/>
      <c r="GI266" s="89"/>
      <c r="GJ266" s="89"/>
      <c r="GK266" s="89"/>
      <c r="GL266" s="89"/>
      <c r="GM266" s="89"/>
      <c r="GN266" s="89"/>
      <c r="GO266" s="89"/>
      <c r="GP266" s="89"/>
      <c r="GQ266" s="89"/>
      <c r="GR266" s="89"/>
      <c r="GS266" s="89"/>
      <c r="GT266" s="89"/>
      <c r="GU266" s="89"/>
      <c r="GV266" s="89"/>
      <c r="GW266" s="89"/>
      <c r="GX266" s="89"/>
      <c r="GY266" s="89"/>
      <c r="GZ266" s="89"/>
      <c r="HA266" s="89"/>
      <c r="HB266" s="89"/>
      <c r="HC266" s="89"/>
      <c r="HD266" s="89"/>
      <c r="HE266" s="89"/>
      <c r="HF266" s="89"/>
      <c r="HG266" s="89"/>
      <c r="HH266" s="89"/>
      <c r="HI266" s="89"/>
      <c r="HJ266" s="89"/>
      <c r="HK266" s="89"/>
      <c r="HL266" s="89"/>
      <c r="HM266" s="89"/>
      <c r="HN266" s="89"/>
      <c r="HO266" s="89"/>
      <c r="HP266" s="89"/>
      <c r="HQ266" s="89"/>
      <c r="HR266" s="89"/>
      <c r="HS266" s="89"/>
      <c r="HT266" s="89"/>
      <c r="HU266" s="89"/>
      <c r="HV266" s="89"/>
      <c r="HW266" s="89"/>
      <c r="HX266" s="89"/>
      <c r="HY266" s="89"/>
      <c r="HZ266" s="89"/>
      <c r="IA266" s="89"/>
      <c r="IB266" s="89"/>
      <c r="IC266" s="89"/>
      <c r="ID266" s="89"/>
      <c r="IE266" s="89"/>
      <c r="IF266" s="89"/>
      <c r="IG266" s="89"/>
      <c r="IH266" s="89"/>
      <c r="II266" s="89"/>
      <c r="IJ266" s="89"/>
      <c r="IK266" s="89"/>
      <c r="IL266" s="89"/>
      <c r="IM266" s="89"/>
      <c r="IN266" s="89"/>
      <c r="IO266" s="89"/>
      <c r="IP266" s="89"/>
      <c r="IQ266" s="89"/>
      <c r="IR266" s="89"/>
      <c r="IS266" s="89"/>
      <c r="IT266" s="89"/>
      <c r="IU266" s="89"/>
      <c r="IV266" s="89"/>
    </row>
    <row r="267" spans="1:256" s="90" customFormat="1" ht="17" customHeight="1" x14ac:dyDescent="0.15">
      <c r="A267" s="148"/>
      <c r="B267" s="145"/>
      <c r="C267" s="119"/>
      <c r="D267" s="154">
        <f t="shared" si="9"/>
        <v>0.34090909090909088</v>
      </c>
      <c r="E267" s="93"/>
      <c r="F267" s="99" t="s">
        <v>498</v>
      </c>
      <c r="G267" s="86" t="s">
        <v>67</v>
      </c>
      <c r="H267" s="86">
        <f t="shared" si="8"/>
        <v>5</v>
      </c>
      <c r="I267" s="86">
        <f>IF([1]项目总工作量!B$6="交易类",H267*1.5/22,IF([1]项目总工作量!B$6="数据分析类",H267*1.5*0.9/22,IF([1]项目总工作量!B$6="流程管理类",H267*1.5*0.8/22,IF([1]项目总工作量!B$6="渠道类",H267*1.5*0.7/22,FALSE))))</f>
        <v>0.34090909090909088</v>
      </c>
      <c r="J267" s="86" t="s">
        <v>44</v>
      </c>
      <c r="K267" s="89"/>
      <c r="L267" s="89"/>
      <c r="M267" s="89"/>
      <c r="N267" s="89"/>
      <c r="O267" s="89"/>
      <c r="P267" s="89"/>
      <c r="Q267" s="89"/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  <c r="AE267" s="89"/>
      <c r="AF267" s="89"/>
      <c r="AG267" s="89"/>
      <c r="AH267" s="89"/>
      <c r="AI267" s="89"/>
      <c r="AJ267" s="89"/>
      <c r="AK267" s="89"/>
      <c r="AL267" s="89"/>
      <c r="AM267" s="89"/>
      <c r="AN267" s="89"/>
      <c r="AO267" s="89"/>
      <c r="AP267" s="89"/>
      <c r="AQ267" s="89"/>
      <c r="AR267" s="89"/>
      <c r="AS267" s="89"/>
      <c r="AT267" s="89"/>
      <c r="AU267" s="89"/>
      <c r="AV267" s="89"/>
      <c r="AW267" s="89"/>
      <c r="AX267" s="89"/>
      <c r="AY267" s="89"/>
      <c r="AZ267" s="89"/>
      <c r="BA267" s="89"/>
      <c r="BB267" s="89"/>
      <c r="BC267" s="89"/>
      <c r="BD267" s="89"/>
      <c r="BE267" s="89"/>
      <c r="BF267" s="89"/>
      <c r="BG267" s="89"/>
      <c r="BH267" s="89"/>
      <c r="BI267" s="89"/>
      <c r="BJ267" s="89"/>
      <c r="BK267" s="89"/>
      <c r="BL267" s="89"/>
      <c r="BM267" s="89"/>
      <c r="BN267" s="89"/>
      <c r="BO267" s="89"/>
      <c r="BP267" s="89"/>
      <c r="BQ267" s="89"/>
      <c r="BR267" s="89"/>
      <c r="BS267" s="89"/>
      <c r="BT267" s="89"/>
      <c r="BU267" s="89"/>
      <c r="BV267" s="89"/>
      <c r="BW267" s="89"/>
      <c r="BX267" s="89"/>
      <c r="BY267" s="89"/>
      <c r="BZ267" s="89"/>
      <c r="CA267" s="89"/>
      <c r="CB267" s="89"/>
      <c r="CC267" s="89"/>
      <c r="CD267" s="89"/>
      <c r="CE267" s="89"/>
      <c r="CF267" s="89"/>
      <c r="CG267" s="89"/>
      <c r="CH267" s="89"/>
      <c r="CI267" s="89"/>
      <c r="CJ267" s="89"/>
      <c r="CK267" s="89"/>
      <c r="CL267" s="89"/>
      <c r="CM267" s="89"/>
      <c r="CN267" s="89"/>
      <c r="CO267" s="89"/>
      <c r="CP267" s="89"/>
      <c r="CQ267" s="89"/>
      <c r="CR267" s="89"/>
      <c r="CS267" s="89"/>
      <c r="CT267" s="89"/>
      <c r="CU267" s="89"/>
      <c r="CV267" s="89"/>
      <c r="CW267" s="89"/>
      <c r="CX267" s="89"/>
      <c r="CY267" s="89"/>
      <c r="CZ267" s="89"/>
      <c r="DA267" s="89"/>
      <c r="DB267" s="89"/>
      <c r="DC267" s="89"/>
      <c r="DD267" s="89"/>
      <c r="DE267" s="89"/>
      <c r="DF267" s="89"/>
      <c r="DG267" s="89"/>
      <c r="DH267" s="89"/>
      <c r="DI267" s="89"/>
      <c r="DJ267" s="89"/>
      <c r="DK267" s="89"/>
      <c r="DL267" s="89"/>
      <c r="DM267" s="89"/>
      <c r="DN267" s="89"/>
      <c r="DO267" s="89"/>
      <c r="DP267" s="89"/>
      <c r="DQ267" s="89"/>
      <c r="DR267" s="89"/>
      <c r="DS267" s="89"/>
      <c r="DT267" s="89"/>
      <c r="DU267" s="89"/>
      <c r="DV267" s="89"/>
      <c r="DW267" s="89"/>
      <c r="DX267" s="89"/>
      <c r="DY267" s="89"/>
      <c r="DZ267" s="89"/>
      <c r="EA267" s="89"/>
      <c r="EB267" s="89"/>
      <c r="EC267" s="89"/>
      <c r="ED267" s="89"/>
      <c r="EE267" s="89"/>
      <c r="EF267" s="89"/>
      <c r="EG267" s="89"/>
      <c r="EH267" s="89"/>
      <c r="EI267" s="89"/>
      <c r="EJ267" s="89"/>
      <c r="EK267" s="89"/>
      <c r="EL267" s="89"/>
      <c r="EM267" s="89"/>
      <c r="EN267" s="89"/>
      <c r="EO267" s="89"/>
      <c r="EP267" s="89"/>
      <c r="EQ267" s="89"/>
      <c r="ER267" s="89"/>
      <c r="ES267" s="89"/>
      <c r="ET267" s="89"/>
      <c r="EU267" s="89"/>
      <c r="EV267" s="89"/>
      <c r="EW267" s="89"/>
      <c r="EX267" s="89"/>
      <c r="EY267" s="89"/>
      <c r="EZ267" s="89"/>
      <c r="FA267" s="89"/>
      <c r="FB267" s="89"/>
      <c r="FC267" s="89"/>
      <c r="FD267" s="89"/>
      <c r="FE267" s="89"/>
      <c r="FF267" s="89"/>
      <c r="FG267" s="89"/>
      <c r="FH267" s="89"/>
      <c r="FI267" s="89"/>
      <c r="FJ267" s="89"/>
      <c r="FK267" s="89"/>
      <c r="FL267" s="89"/>
      <c r="FM267" s="89"/>
      <c r="FN267" s="89"/>
      <c r="FO267" s="89"/>
      <c r="FP267" s="89"/>
      <c r="FQ267" s="89"/>
      <c r="FR267" s="89"/>
      <c r="FS267" s="89"/>
      <c r="FT267" s="89"/>
      <c r="FU267" s="89"/>
      <c r="FV267" s="89"/>
      <c r="FW267" s="89"/>
      <c r="FX267" s="89"/>
      <c r="FY267" s="89"/>
      <c r="FZ267" s="89"/>
      <c r="GA267" s="89"/>
      <c r="GB267" s="89"/>
      <c r="GC267" s="89"/>
      <c r="GD267" s="89"/>
      <c r="GE267" s="89"/>
      <c r="GF267" s="89"/>
      <c r="GG267" s="89"/>
      <c r="GH267" s="89"/>
      <c r="GI267" s="89"/>
      <c r="GJ267" s="89"/>
      <c r="GK267" s="89"/>
      <c r="GL267" s="89"/>
      <c r="GM267" s="89"/>
      <c r="GN267" s="89"/>
      <c r="GO267" s="89"/>
      <c r="GP267" s="89"/>
      <c r="GQ267" s="89"/>
      <c r="GR267" s="89"/>
      <c r="GS267" s="89"/>
      <c r="GT267" s="89"/>
      <c r="GU267" s="89"/>
      <c r="GV267" s="89"/>
      <c r="GW267" s="89"/>
      <c r="GX267" s="89"/>
      <c r="GY267" s="89"/>
      <c r="GZ267" s="89"/>
      <c r="HA267" s="89"/>
      <c r="HB267" s="89"/>
      <c r="HC267" s="89"/>
      <c r="HD267" s="89"/>
      <c r="HE267" s="89"/>
      <c r="HF267" s="89"/>
      <c r="HG267" s="89"/>
      <c r="HH267" s="89"/>
      <c r="HI267" s="89"/>
      <c r="HJ267" s="89"/>
      <c r="HK267" s="89"/>
      <c r="HL267" s="89"/>
      <c r="HM267" s="89"/>
      <c r="HN267" s="89"/>
      <c r="HO267" s="89"/>
      <c r="HP267" s="89"/>
      <c r="HQ267" s="89"/>
      <c r="HR267" s="89"/>
      <c r="HS267" s="89"/>
      <c r="HT267" s="89"/>
      <c r="HU267" s="89"/>
      <c r="HV267" s="89"/>
      <c r="HW267" s="89"/>
      <c r="HX267" s="89"/>
      <c r="HY267" s="89"/>
      <c r="HZ267" s="89"/>
      <c r="IA267" s="89"/>
      <c r="IB267" s="89"/>
      <c r="IC267" s="89"/>
      <c r="ID267" s="89"/>
      <c r="IE267" s="89"/>
      <c r="IF267" s="89"/>
      <c r="IG267" s="89"/>
      <c r="IH267" s="89"/>
      <c r="II267" s="89"/>
      <c r="IJ267" s="89"/>
      <c r="IK267" s="89"/>
      <c r="IL267" s="89"/>
      <c r="IM267" s="89"/>
      <c r="IN267" s="89"/>
      <c r="IO267" s="89"/>
      <c r="IP267" s="89"/>
      <c r="IQ267" s="89"/>
      <c r="IR267" s="89"/>
      <c r="IS267" s="89"/>
      <c r="IT267" s="89"/>
      <c r="IU267" s="89"/>
      <c r="IV267" s="89"/>
    </row>
    <row r="268" spans="1:256" s="90" customFormat="1" ht="17" customHeight="1" x14ac:dyDescent="0.15">
      <c r="A268" s="148"/>
      <c r="B268" s="145"/>
      <c r="C268" s="119"/>
      <c r="D268" s="154"/>
      <c r="E268" s="93"/>
      <c r="F268" s="99" t="s">
        <v>499</v>
      </c>
      <c r="G268" s="86" t="s">
        <v>67</v>
      </c>
      <c r="H268" s="86">
        <f t="shared" si="8"/>
        <v>5</v>
      </c>
      <c r="I268" s="86">
        <f>IF([1]项目总工作量!B$6="交易类",H268*1.5/22,IF([1]项目总工作量!B$6="数据分析类",H268*1.5*0.9/22,IF([1]项目总工作量!B$6="流程管理类",H268*1.5*0.8/22,IF([1]项目总工作量!B$6="渠道类",H268*1.5*0.7/22,FALSE))))</f>
        <v>0.34090909090909088</v>
      </c>
      <c r="J268" s="86" t="s">
        <v>44</v>
      </c>
      <c r="K268" s="89"/>
      <c r="L268" s="89"/>
      <c r="M268" s="89"/>
      <c r="N268" s="89"/>
      <c r="O268" s="89"/>
      <c r="P268" s="89"/>
      <c r="Q268" s="89"/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  <c r="AE268" s="89"/>
      <c r="AF268" s="89"/>
      <c r="AG268" s="89"/>
      <c r="AH268" s="89"/>
      <c r="AI268" s="89"/>
      <c r="AJ268" s="89"/>
      <c r="AK268" s="89"/>
      <c r="AL268" s="89"/>
      <c r="AM268" s="89"/>
      <c r="AN268" s="89"/>
      <c r="AO268" s="89"/>
      <c r="AP268" s="89"/>
      <c r="AQ268" s="89"/>
      <c r="AR268" s="89"/>
      <c r="AS268" s="89"/>
      <c r="AT268" s="89"/>
      <c r="AU268" s="89"/>
      <c r="AV268" s="89"/>
      <c r="AW268" s="89"/>
      <c r="AX268" s="89"/>
      <c r="AY268" s="89"/>
      <c r="AZ268" s="89"/>
      <c r="BA268" s="89"/>
      <c r="BB268" s="89"/>
      <c r="BC268" s="89"/>
      <c r="BD268" s="89"/>
      <c r="BE268" s="89"/>
      <c r="BF268" s="89"/>
      <c r="BG268" s="89"/>
      <c r="BH268" s="89"/>
      <c r="BI268" s="89"/>
      <c r="BJ268" s="89"/>
      <c r="BK268" s="89"/>
      <c r="BL268" s="89"/>
      <c r="BM268" s="89"/>
      <c r="BN268" s="89"/>
      <c r="BO268" s="89"/>
      <c r="BP268" s="89"/>
      <c r="BQ268" s="89"/>
      <c r="BR268" s="89"/>
      <c r="BS268" s="89"/>
      <c r="BT268" s="89"/>
      <c r="BU268" s="89"/>
      <c r="BV268" s="89"/>
      <c r="BW268" s="89"/>
      <c r="BX268" s="89"/>
      <c r="BY268" s="89"/>
      <c r="BZ268" s="89"/>
      <c r="CA268" s="89"/>
      <c r="CB268" s="89"/>
      <c r="CC268" s="89"/>
      <c r="CD268" s="89"/>
      <c r="CE268" s="89"/>
      <c r="CF268" s="89"/>
      <c r="CG268" s="89"/>
      <c r="CH268" s="89"/>
      <c r="CI268" s="89"/>
      <c r="CJ268" s="89"/>
      <c r="CK268" s="89"/>
      <c r="CL268" s="89"/>
      <c r="CM268" s="89"/>
      <c r="CN268" s="89"/>
      <c r="CO268" s="89"/>
      <c r="CP268" s="89"/>
      <c r="CQ268" s="89"/>
      <c r="CR268" s="89"/>
      <c r="CS268" s="89"/>
      <c r="CT268" s="89"/>
      <c r="CU268" s="89"/>
      <c r="CV268" s="89"/>
      <c r="CW268" s="89"/>
      <c r="CX268" s="89"/>
      <c r="CY268" s="89"/>
      <c r="CZ268" s="89"/>
      <c r="DA268" s="89"/>
      <c r="DB268" s="89"/>
      <c r="DC268" s="89"/>
      <c r="DD268" s="89"/>
      <c r="DE268" s="89"/>
      <c r="DF268" s="89"/>
      <c r="DG268" s="89"/>
      <c r="DH268" s="89"/>
      <c r="DI268" s="89"/>
      <c r="DJ268" s="89"/>
      <c r="DK268" s="89"/>
      <c r="DL268" s="89"/>
      <c r="DM268" s="89"/>
      <c r="DN268" s="89"/>
      <c r="DO268" s="89"/>
      <c r="DP268" s="89"/>
      <c r="DQ268" s="89"/>
      <c r="DR268" s="89"/>
      <c r="DS268" s="89"/>
      <c r="DT268" s="89"/>
      <c r="DU268" s="89"/>
      <c r="DV268" s="89"/>
      <c r="DW268" s="89"/>
      <c r="DX268" s="89"/>
      <c r="DY268" s="89"/>
      <c r="DZ268" s="89"/>
      <c r="EA268" s="89"/>
      <c r="EB268" s="89"/>
      <c r="EC268" s="89"/>
      <c r="ED268" s="89"/>
      <c r="EE268" s="89"/>
      <c r="EF268" s="89"/>
      <c r="EG268" s="89"/>
      <c r="EH268" s="89"/>
      <c r="EI268" s="89"/>
      <c r="EJ268" s="89"/>
      <c r="EK268" s="89"/>
      <c r="EL268" s="89"/>
      <c r="EM268" s="89"/>
      <c r="EN268" s="89"/>
      <c r="EO268" s="89"/>
      <c r="EP268" s="89"/>
      <c r="EQ268" s="89"/>
      <c r="ER268" s="89"/>
      <c r="ES268" s="89"/>
      <c r="ET268" s="89"/>
      <c r="EU268" s="89"/>
      <c r="EV268" s="89"/>
      <c r="EW268" s="89"/>
      <c r="EX268" s="89"/>
      <c r="EY268" s="89"/>
      <c r="EZ268" s="89"/>
      <c r="FA268" s="89"/>
      <c r="FB268" s="89"/>
      <c r="FC268" s="89"/>
      <c r="FD268" s="89"/>
      <c r="FE268" s="89"/>
      <c r="FF268" s="89"/>
      <c r="FG268" s="89"/>
      <c r="FH268" s="89"/>
      <c r="FI268" s="89"/>
      <c r="FJ268" s="89"/>
      <c r="FK268" s="89"/>
      <c r="FL268" s="89"/>
      <c r="FM268" s="89"/>
      <c r="FN268" s="89"/>
      <c r="FO268" s="89"/>
      <c r="FP268" s="89"/>
      <c r="FQ268" s="89"/>
      <c r="FR268" s="89"/>
      <c r="FS268" s="89"/>
      <c r="FT268" s="89"/>
      <c r="FU268" s="89"/>
      <c r="FV268" s="89"/>
      <c r="FW268" s="89"/>
      <c r="FX268" s="89"/>
      <c r="FY268" s="89"/>
      <c r="FZ268" s="89"/>
      <c r="GA268" s="89"/>
      <c r="GB268" s="89"/>
      <c r="GC268" s="89"/>
      <c r="GD268" s="89"/>
      <c r="GE268" s="89"/>
      <c r="GF268" s="89"/>
      <c r="GG268" s="89"/>
      <c r="GH268" s="89"/>
      <c r="GI268" s="89"/>
      <c r="GJ268" s="89"/>
      <c r="GK268" s="89"/>
      <c r="GL268" s="89"/>
      <c r="GM268" s="89"/>
      <c r="GN268" s="89"/>
      <c r="GO268" s="89"/>
      <c r="GP268" s="89"/>
      <c r="GQ268" s="89"/>
      <c r="GR268" s="89"/>
      <c r="GS268" s="89"/>
      <c r="GT268" s="89"/>
      <c r="GU268" s="89"/>
      <c r="GV268" s="89"/>
      <c r="GW268" s="89"/>
      <c r="GX268" s="89"/>
      <c r="GY268" s="89"/>
      <c r="GZ268" s="89"/>
      <c r="HA268" s="89"/>
      <c r="HB268" s="89"/>
      <c r="HC268" s="89"/>
      <c r="HD268" s="89"/>
      <c r="HE268" s="89"/>
      <c r="HF268" s="89"/>
      <c r="HG268" s="89"/>
      <c r="HH268" s="89"/>
      <c r="HI268" s="89"/>
      <c r="HJ268" s="89"/>
      <c r="HK268" s="89"/>
      <c r="HL268" s="89"/>
      <c r="HM268" s="89"/>
      <c r="HN268" s="89"/>
      <c r="HO268" s="89"/>
      <c r="HP268" s="89"/>
      <c r="HQ268" s="89"/>
      <c r="HR268" s="89"/>
      <c r="HS268" s="89"/>
      <c r="HT268" s="89"/>
      <c r="HU268" s="89"/>
      <c r="HV268" s="89"/>
      <c r="HW268" s="89"/>
      <c r="HX268" s="89"/>
      <c r="HY268" s="89"/>
      <c r="HZ268" s="89"/>
      <c r="IA268" s="89"/>
      <c r="IB268" s="89"/>
      <c r="IC268" s="89"/>
      <c r="ID268" s="89"/>
      <c r="IE268" s="89"/>
      <c r="IF268" s="89"/>
      <c r="IG268" s="89"/>
      <c r="IH268" s="89"/>
      <c r="II268" s="89"/>
      <c r="IJ268" s="89"/>
      <c r="IK268" s="89"/>
      <c r="IL268" s="89"/>
      <c r="IM268" s="89"/>
      <c r="IN268" s="89"/>
      <c r="IO268" s="89"/>
      <c r="IP268" s="89"/>
      <c r="IQ268" s="89"/>
      <c r="IR268" s="89"/>
      <c r="IS268" s="89"/>
      <c r="IT268" s="89"/>
      <c r="IU268" s="89"/>
      <c r="IV268" s="89"/>
    </row>
    <row r="269" spans="1:256" s="90" customFormat="1" ht="17" customHeight="1" x14ac:dyDescent="0.15">
      <c r="A269" s="148"/>
      <c r="B269" s="145"/>
      <c r="C269" s="119"/>
      <c r="D269" s="154"/>
      <c r="E269" s="93"/>
      <c r="F269" s="95" t="s">
        <v>500</v>
      </c>
      <c r="G269" s="86" t="s">
        <v>67</v>
      </c>
      <c r="H269" s="86">
        <f t="shared" si="8"/>
        <v>5</v>
      </c>
      <c r="I269" s="86">
        <f>IF([1]项目总工作量!B$6="交易类",H269*1.5/22,IF([1]项目总工作量!B$6="数据分析类",H269*1.5*0.9/22,IF([1]项目总工作量!B$6="流程管理类",H269*1.5*0.8/22,IF([1]项目总工作量!B$6="渠道类",H269*1.5*0.7/22,FALSE))))</f>
        <v>0.34090909090909088</v>
      </c>
      <c r="J269" s="86" t="s">
        <v>44</v>
      </c>
      <c r="K269" s="89"/>
      <c r="L269" s="89"/>
      <c r="M269" s="89"/>
      <c r="N269" s="89"/>
      <c r="O269" s="89"/>
      <c r="P269" s="89"/>
      <c r="Q269" s="89"/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  <c r="AE269" s="89"/>
      <c r="AF269" s="89"/>
      <c r="AG269" s="89"/>
      <c r="AH269" s="89"/>
      <c r="AI269" s="89"/>
      <c r="AJ269" s="89"/>
      <c r="AK269" s="89"/>
      <c r="AL269" s="89"/>
      <c r="AM269" s="89"/>
      <c r="AN269" s="89"/>
      <c r="AO269" s="89"/>
      <c r="AP269" s="89"/>
      <c r="AQ269" s="89"/>
      <c r="AR269" s="89"/>
      <c r="AS269" s="89"/>
      <c r="AT269" s="89"/>
      <c r="AU269" s="89"/>
      <c r="AV269" s="89"/>
      <c r="AW269" s="89"/>
      <c r="AX269" s="89"/>
      <c r="AY269" s="89"/>
      <c r="AZ269" s="89"/>
      <c r="BA269" s="89"/>
      <c r="BB269" s="89"/>
      <c r="BC269" s="89"/>
      <c r="BD269" s="89"/>
      <c r="BE269" s="89"/>
      <c r="BF269" s="89"/>
      <c r="BG269" s="89"/>
      <c r="BH269" s="89"/>
      <c r="BI269" s="89"/>
      <c r="BJ269" s="89"/>
      <c r="BK269" s="89"/>
      <c r="BL269" s="89"/>
      <c r="BM269" s="89"/>
      <c r="BN269" s="89"/>
      <c r="BO269" s="89"/>
      <c r="BP269" s="89"/>
      <c r="BQ269" s="89"/>
      <c r="BR269" s="89"/>
      <c r="BS269" s="89"/>
      <c r="BT269" s="89"/>
      <c r="BU269" s="89"/>
      <c r="BV269" s="89"/>
      <c r="BW269" s="89"/>
      <c r="BX269" s="89"/>
      <c r="BY269" s="89"/>
      <c r="BZ269" s="89"/>
      <c r="CA269" s="89"/>
      <c r="CB269" s="89"/>
      <c r="CC269" s="89"/>
      <c r="CD269" s="89"/>
      <c r="CE269" s="89"/>
      <c r="CF269" s="89"/>
      <c r="CG269" s="89"/>
      <c r="CH269" s="89"/>
      <c r="CI269" s="89"/>
      <c r="CJ269" s="89"/>
      <c r="CK269" s="89"/>
      <c r="CL269" s="89"/>
      <c r="CM269" s="89"/>
      <c r="CN269" s="89"/>
      <c r="CO269" s="89"/>
      <c r="CP269" s="89"/>
      <c r="CQ269" s="89"/>
      <c r="CR269" s="89"/>
      <c r="CS269" s="89"/>
      <c r="CT269" s="89"/>
      <c r="CU269" s="89"/>
      <c r="CV269" s="89"/>
      <c r="CW269" s="89"/>
      <c r="CX269" s="89"/>
      <c r="CY269" s="89"/>
      <c r="CZ269" s="89"/>
      <c r="DA269" s="89"/>
      <c r="DB269" s="89"/>
      <c r="DC269" s="89"/>
      <c r="DD269" s="89"/>
      <c r="DE269" s="89"/>
      <c r="DF269" s="89"/>
      <c r="DG269" s="89"/>
      <c r="DH269" s="89"/>
      <c r="DI269" s="89"/>
      <c r="DJ269" s="89"/>
      <c r="DK269" s="89"/>
      <c r="DL269" s="89"/>
      <c r="DM269" s="89"/>
      <c r="DN269" s="89"/>
      <c r="DO269" s="89"/>
      <c r="DP269" s="89"/>
      <c r="DQ269" s="89"/>
      <c r="DR269" s="89"/>
      <c r="DS269" s="89"/>
      <c r="DT269" s="89"/>
      <c r="DU269" s="89"/>
      <c r="DV269" s="89"/>
      <c r="DW269" s="89"/>
      <c r="DX269" s="89"/>
      <c r="DY269" s="89"/>
      <c r="DZ269" s="89"/>
      <c r="EA269" s="89"/>
      <c r="EB269" s="89"/>
      <c r="EC269" s="89"/>
      <c r="ED269" s="89"/>
      <c r="EE269" s="89"/>
      <c r="EF269" s="89"/>
      <c r="EG269" s="89"/>
      <c r="EH269" s="89"/>
      <c r="EI269" s="89"/>
      <c r="EJ269" s="89"/>
      <c r="EK269" s="89"/>
      <c r="EL269" s="89"/>
      <c r="EM269" s="89"/>
      <c r="EN269" s="89"/>
      <c r="EO269" s="89"/>
      <c r="EP269" s="89"/>
      <c r="EQ269" s="89"/>
      <c r="ER269" s="89"/>
      <c r="ES269" s="89"/>
      <c r="ET269" s="89"/>
      <c r="EU269" s="89"/>
      <c r="EV269" s="89"/>
      <c r="EW269" s="89"/>
      <c r="EX269" s="89"/>
      <c r="EY269" s="89"/>
      <c r="EZ269" s="89"/>
      <c r="FA269" s="89"/>
      <c r="FB269" s="89"/>
      <c r="FC269" s="89"/>
      <c r="FD269" s="89"/>
      <c r="FE269" s="89"/>
      <c r="FF269" s="89"/>
      <c r="FG269" s="89"/>
      <c r="FH269" s="89"/>
      <c r="FI269" s="89"/>
      <c r="FJ269" s="89"/>
      <c r="FK269" s="89"/>
      <c r="FL269" s="89"/>
      <c r="FM269" s="89"/>
      <c r="FN269" s="89"/>
      <c r="FO269" s="89"/>
      <c r="FP269" s="89"/>
      <c r="FQ269" s="89"/>
      <c r="FR269" s="89"/>
      <c r="FS269" s="89"/>
      <c r="FT269" s="89"/>
      <c r="FU269" s="89"/>
      <c r="FV269" s="89"/>
      <c r="FW269" s="89"/>
      <c r="FX269" s="89"/>
      <c r="FY269" s="89"/>
      <c r="FZ269" s="89"/>
      <c r="GA269" s="89"/>
      <c r="GB269" s="89"/>
      <c r="GC269" s="89"/>
      <c r="GD269" s="89"/>
      <c r="GE269" s="89"/>
      <c r="GF269" s="89"/>
      <c r="GG269" s="89"/>
      <c r="GH269" s="89"/>
      <c r="GI269" s="89"/>
      <c r="GJ269" s="89"/>
      <c r="GK269" s="89"/>
      <c r="GL269" s="89"/>
      <c r="GM269" s="89"/>
      <c r="GN269" s="89"/>
      <c r="GO269" s="89"/>
      <c r="GP269" s="89"/>
      <c r="GQ269" s="89"/>
      <c r="GR269" s="89"/>
      <c r="GS269" s="89"/>
      <c r="GT269" s="89"/>
      <c r="GU269" s="89"/>
      <c r="GV269" s="89"/>
      <c r="GW269" s="89"/>
      <c r="GX269" s="89"/>
      <c r="GY269" s="89"/>
      <c r="GZ269" s="89"/>
      <c r="HA269" s="89"/>
      <c r="HB269" s="89"/>
      <c r="HC269" s="89"/>
      <c r="HD269" s="89"/>
      <c r="HE269" s="89"/>
      <c r="HF269" s="89"/>
      <c r="HG269" s="89"/>
      <c r="HH269" s="89"/>
      <c r="HI269" s="89"/>
      <c r="HJ269" s="89"/>
      <c r="HK269" s="89"/>
      <c r="HL269" s="89"/>
      <c r="HM269" s="89"/>
      <c r="HN269" s="89"/>
      <c r="HO269" s="89"/>
      <c r="HP269" s="89"/>
      <c r="HQ269" s="89"/>
      <c r="HR269" s="89"/>
      <c r="HS269" s="89"/>
      <c r="HT269" s="89"/>
      <c r="HU269" s="89"/>
      <c r="HV269" s="89"/>
      <c r="HW269" s="89"/>
      <c r="HX269" s="89"/>
      <c r="HY269" s="89"/>
      <c r="HZ269" s="89"/>
      <c r="IA269" s="89"/>
      <c r="IB269" s="89"/>
      <c r="IC269" s="89"/>
      <c r="ID269" s="89"/>
      <c r="IE269" s="89"/>
      <c r="IF269" s="89"/>
      <c r="IG269" s="89"/>
      <c r="IH269" s="89"/>
      <c r="II269" s="89"/>
      <c r="IJ269" s="89"/>
      <c r="IK269" s="89"/>
      <c r="IL269" s="89"/>
      <c r="IM269" s="89"/>
      <c r="IN269" s="89"/>
      <c r="IO269" s="89"/>
      <c r="IP269" s="89"/>
      <c r="IQ269" s="89"/>
      <c r="IR269" s="89"/>
      <c r="IS269" s="89"/>
      <c r="IT269" s="89"/>
      <c r="IU269" s="89"/>
      <c r="IV269" s="89"/>
    </row>
    <row r="270" spans="1:256" s="90" customFormat="1" ht="17" customHeight="1" x14ac:dyDescent="0.15">
      <c r="A270" s="148"/>
      <c r="B270" s="145"/>
      <c r="C270" s="119"/>
      <c r="D270" s="154"/>
      <c r="E270" s="93"/>
      <c r="F270" s="99" t="s">
        <v>501</v>
      </c>
      <c r="G270" s="86" t="s">
        <v>67</v>
      </c>
      <c r="H270" s="86">
        <f t="shared" si="8"/>
        <v>5</v>
      </c>
      <c r="I270" s="86">
        <f>IF([1]项目总工作量!B$6="交易类",H270*1.5/22,IF([1]项目总工作量!B$6="数据分析类",H270*1.5*0.9/22,IF([1]项目总工作量!B$6="流程管理类",H270*1.5*0.8/22,IF([1]项目总工作量!B$6="渠道类",H270*1.5*0.7/22,FALSE))))</f>
        <v>0.34090909090909088</v>
      </c>
      <c r="J270" s="86" t="s">
        <v>44</v>
      </c>
      <c r="K270" s="89"/>
      <c r="L270" s="89"/>
      <c r="M270" s="89"/>
      <c r="N270" s="89"/>
      <c r="O270" s="89"/>
      <c r="P270" s="89"/>
      <c r="Q270" s="89"/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  <c r="AE270" s="89"/>
      <c r="AF270" s="89"/>
      <c r="AG270" s="89"/>
      <c r="AH270" s="89"/>
      <c r="AI270" s="89"/>
      <c r="AJ270" s="89"/>
      <c r="AK270" s="89"/>
      <c r="AL270" s="89"/>
      <c r="AM270" s="89"/>
      <c r="AN270" s="89"/>
      <c r="AO270" s="89"/>
      <c r="AP270" s="89"/>
      <c r="AQ270" s="89"/>
      <c r="AR270" s="89"/>
      <c r="AS270" s="89"/>
      <c r="AT270" s="89"/>
      <c r="AU270" s="89"/>
      <c r="AV270" s="89"/>
      <c r="AW270" s="89"/>
      <c r="AX270" s="89"/>
      <c r="AY270" s="89"/>
      <c r="AZ270" s="89"/>
      <c r="BA270" s="89"/>
      <c r="BB270" s="89"/>
      <c r="BC270" s="89"/>
      <c r="BD270" s="89"/>
      <c r="BE270" s="89"/>
      <c r="BF270" s="89"/>
      <c r="BG270" s="89"/>
      <c r="BH270" s="89"/>
      <c r="BI270" s="89"/>
      <c r="BJ270" s="89"/>
      <c r="BK270" s="89"/>
      <c r="BL270" s="89"/>
      <c r="BM270" s="89"/>
      <c r="BN270" s="89"/>
      <c r="BO270" s="89"/>
      <c r="BP270" s="89"/>
      <c r="BQ270" s="89"/>
      <c r="BR270" s="89"/>
      <c r="BS270" s="89"/>
      <c r="BT270" s="89"/>
      <c r="BU270" s="89"/>
      <c r="BV270" s="89"/>
      <c r="BW270" s="89"/>
      <c r="BX270" s="89"/>
      <c r="BY270" s="89"/>
      <c r="BZ270" s="89"/>
      <c r="CA270" s="89"/>
      <c r="CB270" s="89"/>
      <c r="CC270" s="89"/>
      <c r="CD270" s="89"/>
      <c r="CE270" s="89"/>
      <c r="CF270" s="89"/>
      <c r="CG270" s="89"/>
      <c r="CH270" s="89"/>
      <c r="CI270" s="89"/>
      <c r="CJ270" s="89"/>
      <c r="CK270" s="89"/>
      <c r="CL270" s="89"/>
      <c r="CM270" s="89"/>
      <c r="CN270" s="89"/>
      <c r="CO270" s="89"/>
      <c r="CP270" s="89"/>
      <c r="CQ270" s="89"/>
      <c r="CR270" s="89"/>
      <c r="CS270" s="89"/>
      <c r="CT270" s="89"/>
      <c r="CU270" s="89"/>
      <c r="CV270" s="89"/>
      <c r="CW270" s="89"/>
      <c r="CX270" s="89"/>
      <c r="CY270" s="89"/>
      <c r="CZ270" s="89"/>
      <c r="DA270" s="89"/>
      <c r="DB270" s="89"/>
      <c r="DC270" s="89"/>
      <c r="DD270" s="89"/>
      <c r="DE270" s="89"/>
      <c r="DF270" s="89"/>
      <c r="DG270" s="89"/>
      <c r="DH270" s="89"/>
      <c r="DI270" s="89"/>
      <c r="DJ270" s="89"/>
      <c r="DK270" s="89"/>
      <c r="DL270" s="89"/>
      <c r="DM270" s="89"/>
      <c r="DN270" s="89"/>
      <c r="DO270" s="89"/>
      <c r="DP270" s="89"/>
      <c r="DQ270" s="89"/>
      <c r="DR270" s="89"/>
      <c r="DS270" s="89"/>
      <c r="DT270" s="89"/>
      <c r="DU270" s="89"/>
      <c r="DV270" s="89"/>
      <c r="DW270" s="89"/>
      <c r="DX270" s="89"/>
      <c r="DY270" s="89"/>
      <c r="DZ270" s="89"/>
      <c r="EA270" s="89"/>
      <c r="EB270" s="89"/>
      <c r="EC270" s="89"/>
      <c r="ED270" s="89"/>
      <c r="EE270" s="89"/>
      <c r="EF270" s="89"/>
      <c r="EG270" s="89"/>
      <c r="EH270" s="89"/>
      <c r="EI270" s="89"/>
      <c r="EJ270" s="89"/>
      <c r="EK270" s="89"/>
      <c r="EL270" s="89"/>
      <c r="EM270" s="89"/>
      <c r="EN270" s="89"/>
      <c r="EO270" s="89"/>
      <c r="EP270" s="89"/>
      <c r="EQ270" s="89"/>
      <c r="ER270" s="89"/>
      <c r="ES270" s="89"/>
      <c r="ET270" s="89"/>
      <c r="EU270" s="89"/>
      <c r="EV270" s="89"/>
      <c r="EW270" s="89"/>
      <c r="EX270" s="89"/>
      <c r="EY270" s="89"/>
      <c r="EZ270" s="89"/>
      <c r="FA270" s="89"/>
      <c r="FB270" s="89"/>
      <c r="FC270" s="89"/>
      <c r="FD270" s="89"/>
      <c r="FE270" s="89"/>
      <c r="FF270" s="89"/>
      <c r="FG270" s="89"/>
      <c r="FH270" s="89"/>
      <c r="FI270" s="89"/>
      <c r="FJ270" s="89"/>
      <c r="FK270" s="89"/>
      <c r="FL270" s="89"/>
      <c r="FM270" s="89"/>
      <c r="FN270" s="89"/>
      <c r="FO270" s="89"/>
      <c r="FP270" s="89"/>
      <c r="FQ270" s="89"/>
      <c r="FR270" s="89"/>
      <c r="FS270" s="89"/>
      <c r="FT270" s="89"/>
      <c r="FU270" s="89"/>
      <c r="FV270" s="89"/>
      <c r="FW270" s="89"/>
      <c r="FX270" s="89"/>
      <c r="FY270" s="89"/>
      <c r="FZ270" s="89"/>
      <c r="GA270" s="89"/>
      <c r="GB270" s="89"/>
      <c r="GC270" s="89"/>
      <c r="GD270" s="89"/>
      <c r="GE270" s="89"/>
      <c r="GF270" s="89"/>
      <c r="GG270" s="89"/>
      <c r="GH270" s="89"/>
      <c r="GI270" s="89"/>
      <c r="GJ270" s="89"/>
      <c r="GK270" s="89"/>
      <c r="GL270" s="89"/>
      <c r="GM270" s="89"/>
      <c r="GN270" s="89"/>
      <c r="GO270" s="89"/>
      <c r="GP270" s="89"/>
      <c r="GQ270" s="89"/>
      <c r="GR270" s="89"/>
      <c r="GS270" s="89"/>
      <c r="GT270" s="89"/>
      <c r="GU270" s="89"/>
      <c r="GV270" s="89"/>
      <c r="GW270" s="89"/>
      <c r="GX270" s="89"/>
      <c r="GY270" s="89"/>
      <c r="GZ270" s="89"/>
      <c r="HA270" s="89"/>
      <c r="HB270" s="89"/>
      <c r="HC270" s="89"/>
      <c r="HD270" s="89"/>
      <c r="HE270" s="89"/>
      <c r="HF270" s="89"/>
      <c r="HG270" s="89"/>
      <c r="HH270" s="89"/>
      <c r="HI270" s="89"/>
      <c r="HJ270" s="89"/>
      <c r="HK270" s="89"/>
      <c r="HL270" s="89"/>
      <c r="HM270" s="89"/>
      <c r="HN270" s="89"/>
      <c r="HO270" s="89"/>
      <c r="HP270" s="89"/>
      <c r="HQ270" s="89"/>
      <c r="HR270" s="89"/>
      <c r="HS270" s="89"/>
      <c r="HT270" s="89"/>
      <c r="HU270" s="89"/>
      <c r="HV270" s="89"/>
      <c r="HW270" s="89"/>
      <c r="HX270" s="89"/>
      <c r="HY270" s="89"/>
      <c r="HZ270" s="89"/>
      <c r="IA270" s="89"/>
      <c r="IB270" s="89"/>
      <c r="IC270" s="89"/>
      <c r="ID270" s="89"/>
      <c r="IE270" s="89"/>
      <c r="IF270" s="89"/>
      <c r="IG270" s="89"/>
      <c r="IH270" s="89"/>
      <c r="II270" s="89"/>
      <c r="IJ270" s="89"/>
      <c r="IK270" s="89"/>
      <c r="IL270" s="89"/>
      <c r="IM270" s="89"/>
      <c r="IN270" s="89"/>
      <c r="IO270" s="89"/>
      <c r="IP270" s="89"/>
      <c r="IQ270" s="89"/>
      <c r="IR270" s="89"/>
      <c r="IS270" s="89"/>
      <c r="IT270" s="89"/>
      <c r="IU270" s="89"/>
      <c r="IV270" s="89"/>
    </row>
    <row r="271" spans="1:256" s="90" customFormat="1" ht="17" customHeight="1" x14ac:dyDescent="0.15">
      <c r="A271" s="148"/>
      <c r="B271" s="145"/>
      <c r="C271" s="119"/>
      <c r="D271" s="154"/>
      <c r="E271" s="93"/>
      <c r="F271" s="95" t="s">
        <v>502</v>
      </c>
      <c r="G271" s="86" t="s">
        <v>67</v>
      </c>
      <c r="H271" s="86">
        <f t="shared" si="8"/>
        <v>5</v>
      </c>
      <c r="I271" s="86">
        <f>IF([1]项目总工作量!B$6="交易类",H271*1.5/22,IF([1]项目总工作量!B$6="数据分析类",H271*1.5*0.9/22,IF([1]项目总工作量!B$6="流程管理类",H271*1.5*0.8/22,IF([1]项目总工作量!B$6="渠道类",H271*1.5*0.7/22,FALSE))))</f>
        <v>0.34090909090909088</v>
      </c>
      <c r="J271" s="86" t="s">
        <v>44</v>
      </c>
      <c r="K271" s="89"/>
      <c r="L271" s="89"/>
      <c r="M271" s="89"/>
      <c r="N271" s="89"/>
      <c r="O271" s="89"/>
      <c r="P271" s="89"/>
      <c r="Q271" s="89"/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89"/>
      <c r="AI271" s="89"/>
      <c r="AJ271" s="89"/>
      <c r="AK271" s="89"/>
      <c r="AL271" s="89"/>
      <c r="AM271" s="89"/>
      <c r="AN271" s="89"/>
      <c r="AO271" s="89"/>
      <c r="AP271" s="89"/>
      <c r="AQ271" s="89"/>
      <c r="AR271" s="89"/>
      <c r="AS271" s="89"/>
      <c r="AT271" s="89"/>
      <c r="AU271" s="89"/>
      <c r="AV271" s="89"/>
      <c r="AW271" s="89"/>
      <c r="AX271" s="89"/>
      <c r="AY271" s="89"/>
      <c r="AZ271" s="89"/>
      <c r="BA271" s="89"/>
      <c r="BB271" s="89"/>
      <c r="BC271" s="89"/>
      <c r="BD271" s="89"/>
      <c r="BE271" s="89"/>
      <c r="BF271" s="89"/>
      <c r="BG271" s="89"/>
      <c r="BH271" s="89"/>
      <c r="BI271" s="89"/>
      <c r="BJ271" s="89"/>
      <c r="BK271" s="89"/>
      <c r="BL271" s="89"/>
      <c r="BM271" s="89"/>
      <c r="BN271" s="89"/>
      <c r="BO271" s="89"/>
      <c r="BP271" s="89"/>
      <c r="BQ271" s="89"/>
      <c r="BR271" s="89"/>
      <c r="BS271" s="89"/>
      <c r="BT271" s="89"/>
      <c r="BU271" s="89"/>
      <c r="BV271" s="89"/>
      <c r="BW271" s="89"/>
      <c r="BX271" s="89"/>
      <c r="BY271" s="89"/>
      <c r="BZ271" s="89"/>
      <c r="CA271" s="89"/>
      <c r="CB271" s="89"/>
      <c r="CC271" s="89"/>
      <c r="CD271" s="89"/>
      <c r="CE271" s="89"/>
      <c r="CF271" s="89"/>
      <c r="CG271" s="89"/>
      <c r="CH271" s="89"/>
      <c r="CI271" s="89"/>
      <c r="CJ271" s="89"/>
      <c r="CK271" s="89"/>
      <c r="CL271" s="89"/>
      <c r="CM271" s="89"/>
      <c r="CN271" s="89"/>
      <c r="CO271" s="89"/>
      <c r="CP271" s="89"/>
      <c r="CQ271" s="89"/>
      <c r="CR271" s="89"/>
      <c r="CS271" s="89"/>
      <c r="CT271" s="89"/>
      <c r="CU271" s="89"/>
      <c r="CV271" s="89"/>
      <c r="CW271" s="89"/>
      <c r="CX271" s="89"/>
      <c r="CY271" s="89"/>
      <c r="CZ271" s="89"/>
      <c r="DA271" s="89"/>
      <c r="DB271" s="89"/>
      <c r="DC271" s="89"/>
      <c r="DD271" s="89"/>
      <c r="DE271" s="89"/>
      <c r="DF271" s="89"/>
      <c r="DG271" s="89"/>
      <c r="DH271" s="89"/>
      <c r="DI271" s="89"/>
      <c r="DJ271" s="89"/>
      <c r="DK271" s="89"/>
      <c r="DL271" s="89"/>
      <c r="DM271" s="89"/>
      <c r="DN271" s="89"/>
      <c r="DO271" s="89"/>
      <c r="DP271" s="89"/>
      <c r="DQ271" s="89"/>
      <c r="DR271" s="89"/>
      <c r="DS271" s="89"/>
      <c r="DT271" s="89"/>
      <c r="DU271" s="89"/>
      <c r="DV271" s="89"/>
      <c r="DW271" s="89"/>
      <c r="DX271" s="89"/>
      <c r="DY271" s="89"/>
      <c r="DZ271" s="89"/>
      <c r="EA271" s="89"/>
      <c r="EB271" s="89"/>
      <c r="EC271" s="89"/>
      <c r="ED271" s="89"/>
      <c r="EE271" s="89"/>
      <c r="EF271" s="89"/>
      <c r="EG271" s="89"/>
      <c r="EH271" s="89"/>
      <c r="EI271" s="89"/>
      <c r="EJ271" s="89"/>
      <c r="EK271" s="89"/>
      <c r="EL271" s="89"/>
      <c r="EM271" s="89"/>
      <c r="EN271" s="89"/>
      <c r="EO271" s="89"/>
      <c r="EP271" s="89"/>
      <c r="EQ271" s="89"/>
      <c r="ER271" s="89"/>
      <c r="ES271" s="89"/>
      <c r="ET271" s="89"/>
      <c r="EU271" s="89"/>
      <c r="EV271" s="89"/>
      <c r="EW271" s="89"/>
      <c r="EX271" s="89"/>
      <c r="EY271" s="89"/>
      <c r="EZ271" s="89"/>
      <c r="FA271" s="89"/>
      <c r="FB271" s="89"/>
      <c r="FC271" s="89"/>
      <c r="FD271" s="89"/>
      <c r="FE271" s="89"/>
      <c r="FF271" s="89"/>
      <c r="FG271" s="89"/>
      <c r="FH271" s="89"/>
      <c r="FI271" s="89"/>
      <c r="FJ271" s="89"/>
      <c r="FK271" s="89"/>
      <c r="FL271" s="89"/>
      <c r="FM271" s="89"/>
      <c r="FN271" s="89"/>
      <c r="FO271" s="89"/>
      <c r="FP271" s="89"/>
      <c r="FQ271" s="89"/>
      <c r="FR271" s="89"/>
      <c r="FS271" s="89"/>
      <c r="FT271" s="89"/>
      <c r="FU271" s="89"/>
      <c r="FV271" s="89"/>
      <c r="FW271" s="89"/>
      <c r="FX271" s="89"/>
      <c r="FY271" s="89"/>
      <c r="FZ271" s="89"/>
      <c r="GA271" s="89"/>
      <c r="GB271" s="89"/>
      <c r="GC271" s="89"/>
      <c r="GD271" s="89"/>
      <c r="GE271" s="89"/>
      <c r="GF271" s="89"/>
      <c r="GG271" s="89"/>
      <c r="GH271" s="89"/>
      <c r="GI271" s="89"/>
      <c r="GJ271" s="89"/>
      <c r="GK271" s="89"/>
      <c r="GL271" s="89"/>
      <c r="GM271" s="89"/>
      <c r="GN271" s="89"/>
      <c r="GO271" s="89"/>
      <c r="GP271" s="89"/>
      <c r="GQ271" s="89"/>
      <c r="GR271" s="89"/>
      <c r="GS271" s="89"/>
      <c r="GT271" s="89"/>
      <c r="GU271" s="89"/>
      <c r="GV271" s="89"/>
      <c r="GW271" s="89"/>
      <c r="GX271" s="89"/>
      <c r="GY271" s="89"/>
      <c r="GZ271" s="89"/>
      <c r="HA271" s="89"/>
      <c r="HB271" s="89"/>
      <c r="HC271" s="89"/>
      <c r="HD271" s="89"/>
      <c r="HE271" s="89"/>
      <c r="HF271" s="89"/>
      <c r="HG271" s="89"/>
      <c r="HH271" s="89"/>
      <c r="HI271" s="89"/>
      <c r="HJ271" s="89"/>
      <c r="HK271" s="89"/>
      <c r="HL271" s="89"/>
      <c r="HM271" s="89"/>
      <c r="HN271" s="89"/>
      <c r="HO271" s="89"/>
      <c r="HP271" s="89"/>
      <c r="HQ271" s="89"/>
      <c r="HR271" s="89"/>
      <c r="HS271" s="89"/>
      <c r="HT271" s="89"/>
      <c r="HU271" s="89"/>
      <c r="HV271" s="89"/>
      <c r="HW271" s="89"/>
      <c r="HX271" s="89"/>
      <c r="HY271" s="89"/>
      <c r="HZ271" s="89"/>
      <c r="IA271" s="89"/>
      <c r="IB271" s="89"/>
      <c r="IC271" s="89"/>
      <c r="ID271" s="89"/>
      <c r="IE271" s="89"/>
      <c r="IF271" s="89"/>
      <c r="IG271" s="89"/>
      <c r="IH271" s="89"/>
      <c r="II271" s="89"/>
      <c r="IJ271" s="89"/>
      <c r="IK271" s="89"/>
      <c r="IL271" s="89"/>
      <c r="IM271" s="89"/>
      <c r="IN271" s="89"/>
      <c r="IO271" s="89"/>
      <c r="IP271" s="89"/>
      <c r="IQ271" s="89"/>
      <c r="IR271" s="89"/>
      <c r="IS271" s="89"/>
      <c r="IT271" s="89"/>
      <c r="IU271" s="89"/>
      <c r="IV271" s="89"/>
    </row>
    <row r="272" spans="1:256" s="90" customFormat="1" ht="17" customHeight="1" x14ac:dyDescent="0.15">
      <c r="A272" s="148"/>
      <c r="B272" s="145"/>
      <c r="C272" s="119"/>
      <c r="D272" s="154">
        <f t="shared" si="9"/>
        <v>0.34090909090909088</v>
      </c>
      <c r="E272" s="93"/>
      <c r="F272" s="95" t="s">
        <v>394</v>
      </c>
      <c r="G272" s="86" t="s">
        <v>67</v>
      </c>
      <c r="H272" s="86">
        <f t="shared" si="8"/>
        <v>5</v>
      </c>
      <c r="I272" s="86">
        <f>IF([1]项目总工作量!B$6="交易类",H272*1.5/22,IF([1]项目总工作量!B$6="数据分析类",H272*1.5*0.9/22,IF([1]项目总工作量!B$6="流程管理类",H272*1.5*0.8/22,IF([1]项目总工作量!B$6="渠道类",H272*1.5*0.7/22,FALSE))))</f>
        <v>0.34090909090909088</v>
      </c>
      <c r="J272" s="86" t="s">
        <v>44</v>
      </c>
      <c r="K272" s="89"/>
      <c r="L272" s="89"/>
      <c r="M272" s="89"/>
      <c r="N272" s="89"/>
      <c r="O272" s="89"/>
      <c r="P272" s="89"/>
      <c r="Q272" s="89"/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  <c r="AE272" s="89"/>
      <c r="AF272" s="89"/>
      <c r="AG272" s="89"/>
      <c r="AH272" s="89"/>
      <c r="AI272" s="89"/>
      <c r="AJ272" s="89"/>
      <c r="AK272" s="89"/>
      <c r="AL272" s="89"/>
      <c r="AM272" s="89"/>
      <c r="AN272" s="89"/>
      <c r="AO272" s="89"/>
      <c r="AP272" s="89"/>
      <c r="AQ272" s="89"/>
      <c r="AR272" s="89"/>
      <c r="AS272" s="89"/>
      <c r="AT272" s="89"/>
      <c r="AU272" s="89"/>
      <c r="AV272" s="89"/>
      <c r="AW272" s="89"/>
      <c r="AX272" s="89"/>
      <c r="AY272" s="89"/>
      <c r="AZ272" s="89"/>
      <c r="BA272" s="89"/>
      <c r="BB272" s="89"/>
      <c r="BC272" s="89"/>
      <c r="BD272" s="89"/>
      <c r="BE272" s="89"/>
      <c r="BF272" s="89"/>
      <c r="BG272" s="89"/>
      <c r="BH272" s="89"/>
      <c r="BI272" s="89"/>
      <c r="BJ272" s="89"/>
      <c r="BK272" s="89"/>
      <c r="BL272" s="89"/>
      <c r="BM272" s="89"/>
      <c r="BN272" s="89"/>
      <c r="BO272" s="89"/>
      <c r="BP272" s="89"/>
      <c r="BQ272" s="89"/>
      <c r="BR272" s="89"/>
      <c r="BS272" s="89"/>
      <c r="BT272" s="89"/>
      <c r="BU272" s="89"/>
      <c r="BV272" s="89"/>
      <c r="BW272" s="89"/>
      <c r="BX272" s="89"/>
      <c r="BY272" s="89"/>
      <c r="BZ272" s="89"/>
      <c r="CA272" s="89"/>
      <c r="CB272" s="89"/>
      <c r="CC272" s="89"/>
      <c r="CD272" s="89"/>
      <c r="CE272" s="89"/>
      <c r="CF272" s="89"/>
      <c r="CG272" s="89"/>
      <c r="CH272" s="89"/>
      <c r="CI272" s="89"/>
      <c r="CJ272" s="89"/>
      <c r="CK272" s="89"/>
      <c r="CL272" s="89"/>
      <c r="CM272" s="89"/>
      <c r="CN272" s="89"/>
      <c r="CO272" s="89"/>
      <c r="CP272" s="89"/>
      <c r="CQ272" s="89"/>
      <c r="CR272" s="89"/>
      <c r="CS272" s="89"/>
      <c r="CT272" s="89"/>
      <c r="CU272" s="89"/>
      <c r="CV272" s="89"/>
      <c r="CW272" s="89"/>
      <c r="CX272" s="89"/>
      <c r="CY272" s="89"/>
      <c r="CZ272" s="89"/>
      <c r="DA272" s="89"/>
      <c r="DB272" s="89"/>
      <c r="DC272" s="89"/>
      <c r="DD272" s="89"/>
      <c r="DE272" s="89"/>
      <c r="DF272" s="89"/>
      <c r="DG272" s="89"/>
      <c r="DH272" s="89"/>
      <c r="DI272" s="89"/>
      <c r="DJ272" s="89"/>
      <c r="DK272" s="89"/>
      <c r="DL272" s="89"/>
      <c r="DM272" s="89"/>
      <c r="DN272" s="89"/>
      <c r="DO272" s="89"/>
      <c r="DP272" s="89"/>
      <c r="DQ272" s="89"/>
      <c r="DR272" s="89"/>
      <c r="DS272" s="89"/>
      <c r="DT272" s="89"/>
      <c r="DU272" s="89"/>
      <c r="DV272" s="89"/>
      <c r="DW272" s="89"/>
      <c r="DX272" s="89"/>
      <c r="DY272" s="89"/>
      <c r="DZ272" s="89"/>
      <c r="EA272" s="89"/>
      <c r="EB272" s="89"/>
      <c r="EC272" s="89"/>
      <c r="ED272" s="89"/>
      <c r="EE272" s="89"/>
      <c r="EF272" s="89"/>
      <c r="EG272" s="89"/>
      <c r="EH272" s="89"/>
      <c r="EI272" s="89"/>
      <c r="EJ272" s="89"/>
      <c r="EK272" s="89"/>
      <c r="EL272" s="89"/>
      <c r="EM272" s="89"/>
      <c r="EN272" s="89"/>
      <c r="EO272" s="89"/>
      <c r="EP272" s="89"/>
      <c r="EQ272" s="89"/>
      <c r="ER272" s="89"/>
      <c r="ES272" s="89"/>
      <c r="ET272" s="89"/>
      <c r="EU272" s="89"/>
      <c r="EV272" s="89"/>
      <c r="EW272" s="89"/>
      <c r="EX272" s="89"/>
      <c r="EY272" s="89"/>
      <c r="EZ272" s="89"/>
      <c r="FA272" s="89"/>
      <c r="FB272" s="89"/>
      <c r="FC272" s="89"/>
      <c r="FD272" s="89"/>
      <c r="FE272" s="89"/>
      <c r="FF272" s="89"/>
      <c r="FG272" s="89"/>
      <c r="FH272" s="89"/>
      <c r="FI272" s="89"/>
      <c r="FJ272" s="89"/>
      <c r="FK272" s="89"/>
      <c r="FL272" s="89"/>
      <c r="FM272" s="89"/>
      <c r="FN272" s="89"/>
      <c r="FO272" s="89"/>
      <c r="FP272" s="89"/>
      <c r="FQ272" s="89"/>
      <c r="FR272" s="89"/>
      <c r="FS272" s="89"/>
      <c r="FT272" s="89"/>
      <c r="FU272" s="89"/>
      <c r="FV272" s="89"/>
      <c r="FW272" s="89"/>
      <c r="FX272" s="89"/>
      <c r="FY272" s="89"/>
      <c r="FZ272" s="89"/>
      <c r="GA272" s="89"/>
      <c r="GB272" s="89"/>
      <c r="GC272" s="89"/>
      <c r="GD272" s="89"/>
      <c r="GE272" s="89"/>
      <c r="GF272" s="89"/>
      <c r="GG272" s="89"/>
      <c r="GH272" s="89"/>
      <c r="GI272" s="89"/>
      <c r="GJ272" s="89"/>
      <c r="GK272" s="89"/>
      <c r="GL272" s="89"/>
      <c r="GM272" s="89"/>
      <c r="GN272" s="89"/>
      <c r="GO272" s="89"/>
      <c r="GP272" s="89"/>
      <c r="GQ272" s="89"/>
      <c r="GR272" s="89"/>
      <c r="GS272" s="89"/>
      <c r="GT272" s="89"/>
      <c r="GU272" s="89"/>
      <c r="GV272" s="89"/>
      <c r="GW272" s="89"/>
      <c r="GX272" s="89"/>
      <c r="GY272" s="89"/>
      <c r="GZ272" s="89"/>
      <c r="HA272" s="89"/>
      <c r="HB272" s="89"/>
      <c r="HC272" s="89"/>
      <c r="HD272" s="89"/>
      <c r="HE272" s="89"/>
      <c r="HF272" s="89"/>
      <c r="HG272" s="89"/>
      <c r="HH272" s="89"/>
      <c r="HI272" s="89"/>
      <c r="HJ272" s="89"/>
      <c r="HK272" s="89"/>
      <c r="HL272" s="89"/>
      <c r="HM272" s="89"/>
      <c r="HN272" s="89"/>
      <c r="HO272" s="89"/>
      <c r="HP272" s="89"/>
      <c r="HQ272" s="89"/>
      <c r="HR272" s="89"/>
      <c r="HS272" s="89"/>
      <c r="HT272" s="89"/>
      <c r="HU272" s="89"/>
      <c r="HV272" s="89"/>
      <c r="HW272" s="89"/>
      <c r="HX272" s="89"/>
      <c r="HY272" s="89"/>
      <c r="HZ272" s="89"/>
      <c r="IA272" s="89"/>
      <c r="IB272" s="89"/>
      <c r="IC272" s="89"/>
      <c r="ID272" s="89"/>
      <c r="IE272" s="89"/>
      <c r="IF272" s="89"/>
      <c r="IG272" s="89"/>
      <c r="IH272" s="89"/>
      <c r="II272" s="89"/>
      <c r="IJ272" s="89"/>
      <c r="IK272" s="89"/>
      <c r="IL272" s="89"/>
      <c r="IM272" s="89"/>
      <c r="IN272" s="89"/>
      <c r="IO272" s="89"/>
      <c r="IP272" s="89"/>
      <c r="IQ272" s="89"/>
      <c r="IR272" s="89"/>
      <c r="IS272" s="89"/>
      <c r="IT272" s="89"/>
      <c r="IU272" s="89"/>
      <c r="IV272" s="89"/>
    </row>
    <row r="273" spans="1:256" s="90" customFormat="1" ht="17" customHeight="1" x14ac:dyDescent="0.15">
      <c r="A273" s="148"/>
      <c r="B273" s="145"/>
      <c r="C273" s="119"/>
      <c r="D273" s="154">
        <f t="shared" si="9"/>
        <v>0.34090909090909088</v>
      </c>
      <c r="E273" s="93"/>
      <c r="F273" s="95" t="s">
        <v>395</v>
      </c>
      <c r="G273" s="86" t="s">
        <v>67</v>
      </c>
      <c r="H273" s="86">
        <f t="shared" si="8"/>
        <v>5</v>
      </c>
      <c r="I273" s="86">
        <f>IF([1]项目总工作量!B$6="交易类",H273*1.5/22,IF([1]项目总工作量!B$6="数据分析类",H273*1.5*0.9/22,IF([1]项目总工作量!B$6="流程管理类",H273*1.5*0.8/22,IF([1]项目总工作量!B$6="渠道类",H273*1.5*0.7/22,FALSE))))</f>
        <v>0.34090909090909088</v>
      </c>
      <c r="J273" s="86" t="s">
        <v>44</v>
      </c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89"/>
      <c r="AH273" s="89"/>
      <c r="AI273" s="89"/>
      <c r="AJ273" s="89"/>
      <c r="AK273" s="89"/>
      <c r="AL273" s="89"/>
      <c r="AM273" s="89"/>
      <c r="AN273" s="89"/>
      <c r="AO273" s="89"/>
      <c r="AP273" s="89"/>
      <c r="AQ273" s="89"/>
      <c r="AR273" s="89"/>
      <c r="AS273" s="89"/>
      <c r="AT273" s="89"/>
      <c r="AU273" s="89"/>
      <c r="AV273" s="89"/>
      <c r="AW273" s="89"/>
      <c r="AX273" s="89"/>
      <c r="AY273" s="89"/>
      <c r="AZ273" s="89"/>
      <c r="BA273" s="89"/>
      <c r="BB273" s="89"/>
      <c r="BC273" s="89"/>
      <c r="BD273" s="89"/>
      <c r="BE273" s="89"/>
      <c r="BF273" s="89"/>
      <c r="BG273" s="89"/>
      <c r="BH273" s="89"/>
      <c r="BI273" s="89"/>
      <c r="BJ273" s="89"/>
      <c r="BK273" s="89"/>
      <c r="BL273" s="89"/>
      <c r="BM273" s="89"/>
      <c r="BN273" s="89"/>
      <c r="BO273" s="89"/>
      <c r="BP273" s="89"/>
      <c r="BQ273" s="89"/>
      <c r="BR273" s="89"/>
      <c r="BS273" s="89"/>
      <c r="BT273" s="89"/>
      <c r="BU273" s="89"/>
      <c r="BV273" s="89"/>
      <c r="BW273" s="89"/>
      <c r="BX273" s="89"/>
      <c r="BY273" s="89"/>
      <c r="BZ273" s="89"/>
      <c r="CA273" s="89"/>
      <c r="CB273" s="89"/>
      <c r="CC273" s="89"/>
      <c r="CD273" s="89"/>
      <c r="CE273" s="89"/>
      <c r="CF273" s="89"/>
      <c r="CG273" s="89"/>
      <c r="CH273" s="89"/>
      <c r="CI273" s="89"/>
      <c r="CJ273" s="89"/>
      <c r="CK273" s="89"/>
      <c r="CL273" s="89"/>
      <c r="CM273" s="89"/>
      <c r="CN273" s="89"/>
      <c r="CO273" s="89"/>
      <c r="CP273" s="89"/>
      <c r="CQ273" s="89"/>
      <c r="CR273" s="89"/>
      <c r="CS273" s="89"/>
      <c r="CT273" s="89"/>
      <c r="CU273" s="89"/>
      <c r="CV273" s="89"/>
      <c r="CW273" s="89"/>
      <c r="CX273" s="89"/>
      <c r="CY273" s="89"/>
      <c r="CZ273" s="89"/>
      <c r="DA273" s="89"/>
      <c r="DB273" s="89"/>
      <c r="DC273" s="89"/>
      <c r="DD273" s="89"/>
      <c r="DE273" s="89"/>
      <c r="DF273" s="89"/>
      <c r="DG273" s="89"/>
      <c r="DH273" s="89"/>
      <c r="DI273" s="89"/>
      <c r="DJ273" s="89"/>
      <c r="DK273" s="89"/>
      <c r="DL273" s="89"/>
      <c r="DM273" s="89"/>
      <c r="DN273" s="89"/>
      <c r="DO273" s="89"/>
      <c r="DP273" s="89"/>
      <c r="DQ273" s="89"/>
      <c r="DR273" s="89"/>
      <c r="DS273" s="89"/>
      <c r="DT273" s="89"/>
      <c r="DU273" s="89"/>
      <c r="DV273" s="89"/>
      <c r="DW273" s="89"/>
      <c r="DX273" s="89"/>
      <c r="DY273" s="89"/>
      <c r="DZ273" s="89"/>
      <c r="EA273" s="89"/>
      <c r="EB273" s="89"/>
      <c r="EC273" s="89"/>
      <c r="ED273" s="89"/>
      <c r="EE273" s="89"/>
      <c r="EF273" s="89"/>
      <c r="EG273" s="89"/>
      <c r="EH273" s="89"/>
      <c r="EI273" s="89"/>
      <c r="EJ273" s="89"/>
      <c r="EK273" s="89"/>
      <c r="EL273" s="89"/>
      <c r="EM273" s="89"/>
      <c r="EN273" s="89"/>
      <c r="EO273" s="89"/>
      <c r="EP273" s="89"/>
      <c r="EQ273" s="89"/>
      <c r="ER273" s="89"/>
      <c r="ES273" s="89"/>
      <c r="ET273" s="89"/>
      <c r="EU273" s="89"/>
      <c r="EV273" s="89"/>
      <c r="EW273" s="89"/>
      <c r="EX273" s="89"/>
      <c r="EY273" s="89"/>
      <c r="EZ273" s="89"/>
      <c r="FA273" s="89"/>
      <c r="FB273" s="89"/>
      <c r="FC273" s="89"/>
      <c r="FD273" s="89"/>
      <c r="FE273" s="89"/>
      <c r="FF273" s="89"/>
      <c r="FG273" s="89"/>
      <c r="FH273" s="89"/>
      <c r="FI273" s="89"/>
      <c r="FJ273" s="89"/>
      <c r="FK273" s="89"/>
      <c r="FL273" s="89"/>
      <c r="FM273" s="89"/>
      <c r="FN273" s="89"/>
      <c r="FO273" s="89"/>
      <c r="FP273" s="89"/>
      <c r="FQ273" s="89"/>
      <c r="FR273" s="89"/>
      <c r="FS273" s="89"/>
      <c r="FT273" s="89"/>
      <c r="FU273" s="89"/>
      <c r="FV273" s="89"/>
      <c r="FW273" s="89"/>
      <c r="FX273" s="89"/>
      <c r="FY273" s="89"/>
      <c r="FZ273" s="89"/>
      <c r="GA273" s="89"/>
      <c r="GB273" s="89"/>
      <c r="GC273" s="89"/>
      <c r="GD273" s="89"/>
      <c r="GE273" s="89"/>
      <c r="GF273" s="89"/>
      <c r="GG273" s="89"/>
      <c r="GH273" s="89"/>
      <c r="GI273" s="89"/>
      <c r="GJ273" s="89"/>
      <c r="GK273" s="89"/>
      <c r="GL273" s="89"/>
      <c r="GM273" s="89"/>
      <c r="GN273" s="89"/>
      <c r="GO273" s="89"/>
      <c r="GP273" s="89"/>
      <c r="GQ273" s="89"/>
      <c r="GR273" s="89"/>
      <c r="GS273" s="89"/>
      <c r="GT273" s="89"/>
      <c r="GU273" s="89"/>
      <c r="GV273" s="89"/>
      <c r="GW273" s="89"/>
      <c r="GX273" s="89"/>
      <c r="GY273" s="89"/>
      <c r="GZ273" s="89"/>
      <c r="HA273" s="89"/>
      <c r="HB273" s="89"/>
      <c r="HC273" s="89"/>
      <c r="HD273" s="89"/>
      <c r="HE273" s="89"/>
      <c r="HF273" s="89"/>
      <c r="HG273" s="89"/>
      <c r="HH273" s="89"/>
      <c r="HI273" s="89"/>
      <c r="HJ273" s="89"/>
      <c r="HK273" s="89"/>
      <c r="HL273" s="89"/>
      <c r="HM273" s="89"/>
      <c r="HN273" s="89"/>
      <c r="HO273" s="89"/>
      <c r="HP273" s="89"/>
      <c r="HQ273" s="89"/>
      <c r="HR273" s="89"/>
      <c r="HS273" s="89"/>
      <c r="HT273" s="89"/>
      <c r="HU273" s="89"/>
      <c r="HV273" s="89"/>
      <c r="HW273" s="89"/>
      <c r="HX273" s="89"/>
      <c r="HY273" s="89"/>
      <c r="HZ273" s="89"/>
      <c r="IA273" s="89"/>
      <c r="IB273" s="89"/>
      <c r="IC273" s="89"/>
      <c r="ID273" s="89"/>
      <c r="IE273" s="89"/>
      <c r="IF273" s="89"/>
      <c r="IG273" s="89"/>
      <c r="IH273" s="89"/>
      <c r="II273" s="89"/>
      <c r="IJ273" s="89"/>
      <c r="IK273" s="89"/>
      <c r="IL273" s="89"/>
      <c r="IM273" s="89"/>
      <c r="IN273" s="89"/>
      <c r="IO273" s="89"/>
      <c r="IP273" s="89"/>
      <c r="IQ273" s="89"/>
      <c r="IR273" s="89"/>
      <c r="IS273" s="89"/>
      <c r="IT273" s="89"/>
      <c r="IU273" s="89"/>
      <c r="IV273" s="89"/>
    </row>
    <row r="274" spans="1:256" s="90" customFormat="1" ht="17" customHeight="1" x14ac:dyDescent="0.15">
      <c r="A274" s="148"/>
      <c r="B274" s="145"/>
      <c r="C274" s="119"/>
      <c r="D274" s="154">
        <f t="shared" si="9"/>
        <v>0.34090909090909088</v>
      </c>
      <c r="E274" s="93"/>
      <c r="F274" s="94" t="s">
        <v>396</v>
      </c>
      <c r="G274" s="86" t="s">
        <v>67</v>
      </c>
      <c r="H274" s="86">
        <f t="shared" si="8"/>
        <v>5</v>
      </c>
      <c r="I274" s="86">
        <f>IF([1]项目总工作量!B$6="交易类",H274*1.5/22,IF([1]项目总工作量!B$6="数据分析类",H274*1.5*0.9/22,IF([1]项目总工作量!B$6="流程管理类",H274*1.5*0.8/22,IF([1]项目总工作量!B$6="渠道类",H274*1.5*0.7/22,FALSE))))</f>
        <v>0.34090909090909088</v>
      </c>
      <c r="J274" s="86" t="s">
        <v>44</v>
      </c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89"/>
      <c r="AK274" s="89"/>
      <c r="AL274" s="89"/>
      <c r="AM274" s="89"/>
      <c r="AN274" s="89"/>
      <c r="AO274" s="89"/>
      <c r="AP274" s="89"/>
      <c r="AQ274" s="89"/>
      <c r="AR274" s="89"/>
      <c r="AS274" s="89"/>
      <c r="AT274" s="89"/>
      <c r="AU274" s="89"/>
      <c r="AV274" s="89"/>
      <c r="AW274" s="89"/>
      <c r="AX274" s="89"/>
      <c r="AY274" s="89"/>
      <c r="AZ274" s="89"/>
      <c r="BA274" s="89"/>
      <c r="BB274" s="89"/>
      <c r="BC274" s="89"/>
      <c r="BD274" s="89"/>
      <c r="BE274" s="89"/>
      <c r="BF274" s="89"/>
      <c r="BG274" s="89"/>
      <c r="BH274" s="89"/>
      <c r="BI274" s="89"/>
      <c r="BJ274" s="89"/>
      <c r="BK274" s="89"/>
      <c r="BL274" s="89"/>
      <c r="BM274" s="89"/>
      <c r="BN274" s="89"/>
      <c r="BO274" s="89"/>
      <c r="BP274" s="89"/>
      <c r="BQ274" s="89"/>
      <c r="BR274" s="89"/>
      <c r="BS274" s="89"/>
      <c r="BT274" s="89"/>
      <c r="BU274" s="89"/>
      <c r="BV274" s="89"/>
      <c r="BW274" s="89"/>
      <c r="BX274" s="89"/>
      <c r="BY274" s="89"/>
      <c r="BZ274" s="89"/>
      <c r="CA274" s="89"/>
      <c r="CB274" s="89"/>
      <c r="CC274" s="89"/>
      <c r="CD274" s="89"/>
      <c r="CE274" s="89"/>
      <c r="CF274" s="89"/>
      <c r="CG274" s="89"/>
      <c r="CH274" s="89"/>
      <c r="CI274" s="89"/>
      <c r="CJ274" s="89"/>
      <c r="CK274" s="89"/>
      <c r="CL274" s="89"/>
      <c r="CM274" s="89"/>
      <c r="CN274" s="89"/>
      <c r="CO274" s="89"/>
      <c r="CP274" s="89"/>
      <c r="CQ274" s="89"/>
      <c r="CR274" s="89"/>
      <c r="CS274" s="89"/>
      <c r="CT274" s="89"/>
      <c r="CU274" s="89"/>
      <c r="CV274" s="89"/>
      <c r="CW274" s="89"/>
      <c r="CX274" s="89"/>
      <c r="CY274" s="89"/>
      <c r="CZ274" s="89"/>
      <c r="DA274" s="89"/>
      <c r="DB274" s="89"/>
      <c r="DC274" s="89"/>
      <c r="DD274" s="89"/>
      <c r="DE274" s="89"/>
      <c r="DF274" s="89"/>
      <c r="DG274" s="89"/>
      <c r="DH274" s="89"/>
      <c r="DI274" s="89"/>
      <c r="DJ274" s="89"/>
      <c r="DK274" s="89"/>
      <c r="DL274" s="89"/>
      <c r="DM274" s="89"/>
      <c r="DN274" s="89"/>
      <c r="DO274" s="89"/>
      <c r="DP274" s="89"/>
      <c r="DQ274" s="89"/>
      <c r="DR274" s="89"/>
      <c r="DS274" s="89"/>
      <c r="DT274" s="89"/>
      <c r="DU274" s="89"/>
      <c r="DV274" s="89"/>
      <c r="DW274" s="89"/>
      <c r="DX274" s="89"/>
      <c r="DY274" s="89"/>
      <c r="DZ274" s="89"/>
      <c r="EA274" s="89"/>
      <c r="EB274" s="89"/>
      <c r="EC274" s="89"/>
      <c r="ED274" s="89"/>
      <c r="EE274" s="89"/>
      <c r="EF274" s="89"/>
      <c r="EG274" s="89"/>
      <c r="EH274" s="89"/>
      <c r="EI274" s="89"/>
      <c r="EJ274" s="89"/>
      <c r="EK274" s="89"/>
      <c r="EL274" s="89"/>
      <c r="EM274" s="89"/>
      <c r="EN274" s="89"/>
      <c r="EO274" s="89"/>
      <c r="EP274" s="89"/>
      <c r="EQ274" s="89"/>
      <c r="ER274" s="89"/>
      <c r="ES274" s="89"/>
      <c r="ET274" s="89"/>
      <c r="EU274" s="89"/>
      <c r="EV274" s="89"/>
      <c r="EW274" s="89"/>
      <c r="EX274" s="89"/>
      <c r="EY274" s="89"/>
      <c r="EZ274" s="89"/>
      <c r="FA274" s="89"/>
      <c r="FB274" s="89"/>
      <c r="FC274" s="89"/>
      <c r="FD274" s="89"/>
      <c r="FE274" s="89"/>
      <c r="FF274" s="89"/>
      <c r="FG274" s="89"/>
      <c r="FH274" s="89"/>
      <c r="FI274" s="89"/>
      <c r="FJ274" s="89"/>
      <c r="FK274" s="89"/>
      <c r="FL274" s="89"/>
      <c r="FM274" s="89"/>
      <c r="FN274" s="89"/>
      <c r="FO274" s="89"/>
      <c r="FP274" s="89"/>
      <c r="FQ274" s="89"/>
      <c r="FR274" s="89"/>
      <c r="FS274" s="89"/>
      <c r="FT274" s="89"/>
      <c r="FU274" s="89"/>
      <c r="FV274" s="89"/>
      <c r="FW274" s="89"/>
      <c r="FX274" s="89"/>
      <c r="FY274" s="89"/>
      <c r="FZ274" s="89"/>
      <c r="GA274" s="89"/>
      <c r="GB274" s="89"/>
      <c r="GC274" s="89"/>
      <c r="GD274" s="89"/>
      <c r="GE274" s="89"/>
      <c r="GF274" s="89"/>
      <c r="GG274" s="89"/>
      <c r="GH274" s="89"/>
      <c r="GI274" s="89"/>
      <c r="GJ274" s="89"/>
      <c r="GK274" s="89"/>
      <c r="GL274" s="89"/>
      <c r="GM274" s="89"/>
      <c r="GN274" s="89"/>
      <c r="GO274" s="89"/>
      <c r="GP274" s="89"/>
      <c r="GQ274" s="89"/>
      <c r="GR274" s="89"/>
      <c r="GS274" s="89"/>
      <c r="GT274" s="89"/>
      <c r="GU274" s="89"/>
      <c r="GV274" s="89"/>
      <c r="GW274" s="89"/>
      <c r="GX274" s="89"/>
      <c r="GY274" s="89"/>
      <c r="GZ274" s="89"/>
      <c r="HA274" s="89"/>
      <c r="HB274" s="89"/>
      <c r="HC274" s="89"/>
      <c r="HD274" s="89"/>
      <c r="HE274" s="89"/>
      <c r="HF274" s="89"/>
      <c r="HG274" s="89"/>
      <c r="HH274" s="89"/>
      <c r="HI274" s="89"/>
      <c r="HJ274" s="89"/>
      <c r="HK274" s="89"/>
      <c r="HL274" s="89"/>
      <c r="HM274" s="89"/>
      <c r="HN274" s="89"/>
      <c r="HO274" s="89"/>
      <c r="HP274" s="89"/>
      <c r="HQ274" s="89"/>
      <c r="HR274" s="89"/>
      <c r="HS274" s="89"/>
      <c r="HT274" s="89"/>
      <c r="HU274" s="89"/>
      <c r="HV274" s="89"/>
      <c r="HW274" s="89"/>
      <c r="HX274" s="89"/>
      <c r="HY274" s="89"/>
      <c r="HZ274" s="89"/>
      <c r="IA274" s="89"/>
      <c r="IB274" s="89"/>
      <c r="IC274" s="89"/>
      <c r="ID274" s="89"/>
      <c r="IE274" s="89"/>
      <c r="IF274" s="89"/>
      <c r="IG274" s="89"/>
      <c r="IH274" s="89"/>
      <c r="II274" s="89"/>
      <c r="IJ274" s="89"/>
      <c r="IK274" s="89"/>
      <c r="IL274" s="89"/>
      <c r="IM274" s="89"/>
      <c r="IN274" s="89"/>
      <c r="IO274" s="89"/>
      <c r="IP274" s="89"/>
      <c r="IQ274" s="89"/>
      <c r="IR274" s="89"/>
      <c r="IS274" s="89"/>
      <c r="IT274" s="89"/>
      <c r="IU274" s="89"/>
      <c r="IV274" s="89"/>
    </row>
    <row r="275" spans="1:256" s="90" customFormat="1" ht="17" customHeight="1" x14ac:dyDescent="0.15">
      <c r="A275" s="148"/>
      <c r="B275" s="145"/>
      <c r="C275" s="119"/>
      <c r="D275" s="154">
        <f t="shared" si="9"/>
        <v>0.34090909090909088</v>
      </c>
      <c r="E275" s="93"/>
      <c r="F275" s="95" t="s">
        <v>397</v>
      </c>
      <c r="G275" s="86" t="s">
        <v>67</v>
      </c>
      <c r="H275" s="86">
        <f t="shared" si="8"/>
        <v>5</v>
      </c>
      <c r="I275" s="86">
        <f>IF([1]项目总工作量!B$6="交易类",H275*1.5/22,IF([1]项目总工作量!B$6="数据分析类",H275*1.5*0.9/22,IF([1]项目总工作量!B$6="流程管理类",H275*1.5*0.8/22,IF([1]项目总工作量!B$6="渠道类",H275*1.5*0.7/22,FALSE))))</f>
        <v>0.34090909090909088</v>
      </c>
      <c r="J275" s="86" t="s">
        <v>44</v>
      </c>
      <c r="K275" s="89"/>
      <c r="L275" s="89"/>
      <c r="M275" s="89"/>
      <c r="N275" s="89"/>
      <c r="O275" s="89"/>
      <c r="P275" s="89"/>
      <c r="Q275" s="89"/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  <c r="AE275" s="89"/>
      <c r="AF275" s="89"/>
      <c r="AG275" s="89"/>
      <c r="AH275" s="89"/>
      <c r="AI275" s="89"/>
      <c r="AJ275" s="89"/>
      <c r="AK275" s="89"/>
      <c r="AL275" s="89"/>
      <c r="AM275" s="89"/>
      <c r="AN275" s="89"/>
      <c r="AO275" s="89"/>
      <c r="AP275" s="89"/>
      <c r="AQ275" s="89"/>
      <c r="AR275" s="89"/>
      <c r="AS275" s="89"/>
      <c r="AT275" s="89"/>
      <c r="AU275" s="89"/>
      <c r="AV275" s="89"/>
      <c r="AW275" s="89"/>
      <c r="AX275" s="89"/>
      <c r="AY275" s="89"/>
      <c r="AZ275" s="89"/>
      <c r="BA275" s="89"/>
      <c r="BB275" s="89"/>
      <c r="BC275" s="89"/>
      <c r="BD275" s="89"/>
      <c r="BE275" s="89"/>
      <c r="BF275" s="89"/>
      <c r="BG275" s="89"/>
      <c r="BH275" s="89"/>
      <c r="BI275" s="89"/>
      <c r="BJ275" s="89"/>
      <c r="BK275" s="89"/>
      <c r="BL275" s="89"/>
      <c r="BM275" s="89"/>
      <c r="BN275" s="89"/>
      <c r="BO275" s="89"/>
      <c r="BP275" s="89"/>
      <c r="BQ275" s="89"/>
      <c r="BR275" s="89"/>
      <c r="BS275" s="89"/>
      <c r="BT275" s="89"/>
      <c r="BU275" s="89"/>
      <c r="BV275" s="89"/>
      <c r="BW275" s="89"/>
      <c r="BX275" s="89"/>
      <c r="BY275" s="89"/>
      <c r="BZ275" s="89"/>
      <c r="CA275" s="89"/>
      <c r="CB275" s="89"/>
      <c r="CC275" s="89"/>
      <c r="CD275" s="89"/>
      <c r="CE275" s="89"/>
      <c r="CF275" s="89"/>
      <c r="CG275" s="89"/>
      <c r="CH275" s="89"/>
      <c r="CI275" s="89"/>
      <c r="CJ275" s="89"/>
      <c r="CK275" s="89"/>
      <c r="CL275" s="89"/>
      <c r="CM275" s="89"/>
      <c r="CN275" s="89"/>
      <c r="CO275" s="89"/>
      <c r="CP275" s="89"/>
      <c r="CQ275" s="89"/>
      <c r="CR275" s="89"/>
      <c r="CS275" s="89"/>
      <c r="CT275" s="89"/>
      <c r="CU275" s="89"/>
      <c r="CV275" s="89"/>
      <c r="CW275" s="89"/>
      <c r="CX275" s="89"/>
      <c r="CY275" s="89"/>
      <c r="CZ275" s="89"/>
      <c r="DA275" s="89"/>
      <c r="DB275" s="89"/>
      <c r="DC275" s="89"/>
      <c r="DD275" s="89"/>
      <c r="DE275" s="89"/>
      <c r="DF275" s="89"/>
      <c r="DG275" s="89"/>
      <c r="DH275" s="89"/>
      <c r="DI275" s="89"/>
      <c r="DJ275" s="89"/>
      <c r="DK275" s="89"/>
      <c r="DL275" s="89"/>
      <c r="DM275" s="89"/>
      <c r="DN275" s="89"/>
      <c r="DO275" s="89"/>
      <c r="DP275" s="89"/>
      <c r="DQ275" s="89"/>
      <c r="DR275" s="89"/>
      <c r="DS275" s="89"/>
      <c r="DT275" s="89"/>
      <c r="DU275" s="89"/>
      <c r="DV275" s="89"/>
      <c r="DW275" s="89"/>
      <c r="DX275" s="89"/>
      <c r="DY275" s="89"/>
      <c r="DZ275" s="89"/>
      <c r="EA275" s="89"/>
      <c r="EB275" s="89"/>
      <c r="EC275" s="89"/>
      <c r="ED275" s="89"/>
      <c r="EE275" s="89"/>
      <c r="EF275" s="89"/>
      <c r="EG275" s="89"/>
      <c r="EH275" s="89"/>
      <c r="EI275" s="89"/>
      <c r="EJ275" s="89"/>
      <c r="EK275" s="89"/>
      <c r="EL275" s="89"/>
      <c r="EM275" s="89"/>
      <c r="EN275" s="89"/>
      <c r="EO275" s="89"/>
      <c r="EP275" s="89"/>
      <c r="EQ275" s="89"/>
      <c r="ER275" s="89"/>
      <c r="ES275" s="89"/>
      <c r="ET275" s="89"/>
      <c r="EU275" s="89"/>
      <c r="EV275" s="89"/>
      <c r="EW275" s="89"/>
      <c r="EX275" s="89"/>
      <c r="EY275" s="89"/>
      <c r="EZ275" s="89"/>
      <c r="FA275" s="89"/>
      <c r="FB275" s="89"/>
      <c r="FC275" s="89"/>
      <c r="FD275" s="89"/>
      <c r="FE275" s="89"/>
      <c r="FF275" s="89"/>
      <c r="FG275" s="89"/>
      <c r="FH275" s="89"/>
      <c r="FI275" s="89"/>
      <c r="FJ275" s="89"/>
      <c r="FK275" s="89"/>
      <c r="FL275" s="89"/>
      <c r="FM275" s="89"/>
      <c r="FN275" s="89"/>
      <c r="FO275" s="89"/>
      <c r="FP275" s="89"/>
      <c r="FQ275" s="89"/>
      <c r="FR275" s="89"/>
      <c r="FS275" s="89"/>
      <c r="FT275" s="89"/>
      <c r="FU275" s="89"/>
      <c r="FV275" s="89"/>
      <c r="FW275" s="89"/>
      <c r="FX275" s="89"/>
      <c r="FY275" s="89"/>
      <c r="FZ275" s="89"/>
      <c r="GA275" s="89"/>
      <c r="GB275" s="89"/>
      <c r="GC275" s="89"/>
      <c r="GD275" s="89"/>
      <c r="GE275" s="89"/>
      <c r="GF275" s="89"/>
      <c r="GG275" s="89"/>
      <c r="GH275" s="89"/>
      <c r="GI275" s="89"/>
      <c r="GJ275" s="89"/>
      <c r="GK275" s="89"/>
      <c r="GL275" s="89"/>
      <c r="GM275" s="89"/>
      <c r="GN275" s="89"/>
      <c r="GO275" s="89"/>
      <c r="GP275" s="89"/>
      <c r="GQ275" s="89"/>
      <c r="GR275" s="89"/>
      <c r="GS275" s="89"/>
      <c r="GT275" s="89"/>
      <c r="GU275" s="89"/>
      <c r="GV275" s="89"/>
      <c r="GW275" s="89"/>
      <c r="GX275" s="89"/>
      <c r="GY275" s="89"/>
      <c r="GZ275" s="89"/>
      <c r="HA275" s="89"/>
      <c r="HB275" s="89"/>
      <c r="HC275" s="89"/>
      <c r="HD275" s="89"/>
      <c r="HE275" s="89"/>
      <c r="HF275" s="89"/>
      <c r="HG275" s="89"/>
      <c r="HH275" s="89"/>
      <c r="HI275" s="89"/>
      <c r="HJ275" s="89"/>
      <c r="HK275" s="89"/>
      <c r="HL275" s="89"/>
      <c r="HM275" s="89"/>
      <c r="HN275" s="89"/>
      <c r="HO275" s="89"/>
      <c r="HP275" s="89"/>
      <c r="HQ275" s="89"/>
      <c r="HR275" s="89"/>
      <c r="HS275" s="89"/>
      <c r="HT275" s="89"/>
      <c r="HU275" s="89"/>
      <c r="HV275" s="89"/>
      <c r="HW275" s="89"/>
      <c r="HX275" s="89"/>
      <c r="HY275" s="89"/>
      <c r="HZ275" s="89"/>
      <c r="IA275" s="89"/>
      <c r="IB275" s="89"/>
      <c r="IC275" s="89"/>
      <c r="ID275" s="89"/>
      <c r="IE275" s="89"/>
      <c r="IF275" s="89"/>
      <c r="IG275" s="89"/>
      <c r="IH275" s="89"/>
      <c r="II275" s="89"/>
      <c r="IJ275" s="89"/>
      <c r="IK275" s="89"/>
      <c r="IL275" s="89"/>
      <c r="IM275" s="89"/>
      <c r="IN275" s="89"/>
      <c r="IO275" s="89"/>
      <c r="IP275" s="89"/>
      <c r="IQ275" s="89"/>
      <c r="IR275" s="89"/>
      <c r="IS275" s="89"/>
      <c r="IT275" s="89"/>
      <c r="IU275" s="89"/>
      <c r="IV275" s="89"/>
    </row>
    <row r="276" spans="1:256" s="90" customFormat="1" ht="17" customHeight="1" x14ac:dyDescent="0.15">
      <c r="A276" s="148"/>
      <c r="B276" s="145"/>
      <c r="C276" s="119"/>
      <c r="D276" s="154">
        <f t="shared" si="9"/>
        <v>0.34090909090909088</v>
      </c>
      <c r="E276" s="93"/>
      <c r="F276" s="94" t="s">
        <v>398</v>
      </c>
      <c r="G276" s="86" t="s">
        <v>67</v>
      </c>
      <c r="H276" s="86">
        <f t="shared" si="8"/>
        <v>5</v>
      </c>
      <c r="I276" s="86">
        <f>IF([1]项目总工作量!B$6="交易类",H276*1.5/22,IF([1]项目总工作量!B$6="数据分析类",H276*1.5*0.9/22,IF([1]项目总工作量!B$6="流程管理类",H276*1.5*0.8/22,IF([1]项目总工作量!B$6="渠道类",H276*1.5*0.7/22,FALSE))))</f>
        <v>0.34090909090909088</v>
      </c>
      <c r="J276" s="86" t="s">
        <v>44</v>
      </c>
      <c r="K276" s="89"/>
      <c r="L276" s="89"/>
      <c r="M276" s="89"/>
      <c r="N276" s="89"/>
      <c r="O276" s="89"/>
      <c r="P276" s="89"/>
      <c r="Q276" s="89"/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  <c r="AE276" s="89"/>
      <c r="AF276" s="89"/>
      <c r="AG276" s="89"/>
      <c r="AH276" s="89"/>
      <c r="AI276" s="89"/>
      <c r="AJ276" s="89"/>
      <c r="AK276" s="89"/>
      <c r="AL276" s="89"/>
      <c r="AM276" s="89"/>
      <c r="AN276" s="89"/>
      <c r="AO276" s="89"/>
      <c r="AP276" s="89"/>
      <c r="AQ276" s="89"/>
      <c r="AR276" s="89"/>
      <c r="AS276" s="89"/>
      <c r="AT276" s="89"/>
      <c r="AU276" s="89"/>
      <c r="AV276" s="89"/>
      <c r="AW276" s="89"/>
      <c r="AX276" s="89"/>
      <c r="AY276" s="89"/>
      <c r="AZ276" s="89"/>
      <c r="BA276" s="89"/>
      <c r="BB276" s="89"/>
      <c r="BC276" s="89"/>
      <c r="BD276" s="89"/>
      <c r="BE276" s="89"/>
      <c r="BF276" s="89"/>
      <c r="BG276" s="89"/>
      <c r="BH276" s="89"/>
      <c r="BI276" s="89"/>
      <c r="BJ276" s="89"/>
      <c r="BK276" s="89"/>
      <c r="BL276" s="89"/>
      <c r="BM276" s="89"/>
      <c r="BN276" s="89"/>
      <c r="BO276" s="89"/>
      <c r="BP276" s="89"/>
      <c r="BQ276" s="89"/>
      <c r="BR276" s="89"/>
      <c r="BS276" s="89"/>
      <c r="BT276" s="89"/>
      <c r="BU276" s="89"/>
      <c r="BV276" s="89"/>
      <c r="BW276" s="89"/>
      <c r="BX276" s="89"/>
      <c r="BY276" s="89"/>
      <c r="BZ276" s="89"/>
      <c r="CA276" s="89"/>
      <c r="CB276" s="89"/>
      <c r="CC276" s="89"/>
      <c r="CD276" s="89"/>
      <c r="CE276" s="89"/>
      <c r="CF276" s="89"/>
      <c r="CG276" s="89"/>
      <c r="CH276" s="89"/>
      <c r="CI276" s="89"/>
      <c r="CJ276" s="89"/>
      <c r="CK276" s="89"/>
      <c r="CL276" s="89"/>
      <c r="CM276" s="89"/>
      <c r="CN276" s="89"/>
      <c r="CO276" s="89"/>
      <c r="CP276" s="89"/>
      <c r="CQ276" s="89"/>
      <c r="CR276" s="89"/>
      <c r="CS276" s="89"/>
      <c r="CT276" s="89"/>
      <c r="CU276" s="89"/>
      <c r="CV276" s="89"/>
      <c r="CW276" s="89"/>
      <c r="CX276" s="89"/>
      <c r="CY276" s="89"/>
      <c r="CZ276" s="89"/>
      <c r="DA276" s="89"/>
      <c r="DB276" s="89"/>
      <c r="DC276" s="89"/>
      <c r="DD276" s="89"/>
      <c r="DE276" s="89"/>
      <c r="DF276" s="89"/>
      <c r="DG276" s="89"/>
      <c r="DH276" s="89"/>
      <c r="DI276" s="89"/>
      <c r="DJ276" s="89"/>
      <c r="DK276" s="89"/>
      <c r="DL276" s="89"/>
      <c r="DM276" s="89"/>
      <c r="DN276" s="89"/>
      <c r="DO276" s="89"/>
      <c r="DP276" s="89"/>
      <c r="DQ276" s="89"/>
      <c r="DR276" s="89"/>
      <c r="DS276" s="89"/>
      <c r="DT276" s="89"/>
      <c r="DU276" s="89"/>
      <c r="DV276" s="89"/>
      <c r="DW276" s="89"/>
      <c r="DX276" s="89"/>
      <c r="DY276" s="89"/>
      <c r="DZ276" s="89"/>
      <c r="EA276" s="89"/>
      <c r="EB276" s="89"/>
      <c r="EC276" s="89"/>
      <c r="ED276" s="89"/>
      <c r="EE276" s="89"/>
      <c r="EF276" s="89"/>
      <c r="EG276" s="89"/>
      <c r="EH276" s="89"/>
      <c r="EI276" s="89"/>
      <c r="EJ276" s="89"/>
      <c r="EK276" s="89"/>
      <c r="EL276" s="89"/>
      <c r="EM276" s="89"/>
      <c r="EN276" s="89"/>
      <c r="EO276" s="89"/>
      <c r="EP276" s="89"/>
      <c r="EQ276" s="89"/>
      <c r="ER276" s="89"/>
      <c r="ES276" s="89"/>
      <c r="ET276" s="89"/>
      <c r="EU276" s="89"/>
      <c r="EV276" s="89"/>
      <c r="EW276" s="89"/>
      <c r="EX276" s="89"/>
      <c r="EY276" s="89"/>
      <c r="EZ276" s="89"/>
      <c r="FA276" s="89"/>
      <c r="FB276" s="89"/>
      <c r="FC276" s="89"/>
      <c r="FD276" s="89"/>
      <c r="FE276" s="89"/>
      <c r="FF276" s="89"/>
      <c r="FG276" s="89"/>
      <c r="FH276" s="89"/>
      <c r="FI276" s="89"/>
      <c r="FJ276" s="89"/>
      <c r="FK276" s="89"/>
      <c r="FL276" s="89"/>
      <c r="FM276" s="89"/>
      <c r="FN276" s="89"/>
      <c r="FO276" s="89"/>
      <c r="FP276" s="89"/>
      <c r="FQ276" s="89"/>
      <c r="FR276" s="89"/>
      <c r="FS276" s="89"/>
      <c r="FT276" s="89"/>
      <c r="FU276" s="89"/>
      <c r="FV276" s="89"/>
      <c r="FW276" s="89"/>
      <c r="FX276" s="89"/>
      <c r="FY276" s="89"/>
      <c r="FZ276" s="89"/>
      <c r="GA276" s="89"/>
      <c r="GB276" s="89"/>
      <c r="GC276" s="89"/>
      <c r="GD276" s="89"/>
      <c r="GE276" s="89"/>
      <c r="GF276" s="89"/>
      <c r="GG276" s="89"/>
      <c r="GH276" s="89"/>
      <c r="GI276" s="89"/>
      <c r="GJ276" s="89"/>
      <c r="GK276" s="89"/>
      <c r="GL276" s="89"/>
      <c r="GM276" s="89"/>
      <c r="GN276" s="89"/>
      <c r="GO276" s="89"/>
      <c r="GP276" s="89"/>
      <c r="GQ276" s="89"/>
      <c r="GR276" s="89"/>
      <c r="GS276" s="89"/>
      <c r="GT276" s="89"/>
      <c r="GU276" s="89"/>
      <c r="GV276" s="89"/>
      <c r="GW276" s="89"/>
      <c r="GX276" s="89"/>
      <c r="GY276" s="89"/>
      <c r="GZ276" s="89"/>
      <c r="HA276" s="89"/>
      <c r="HB276" s="89"/>
      <c r="HC276" s="89"/>
      <c r="HD276" s="89"/>
      <c r="HE276" s="89"/>
      <c r="HF276" s="89"/>
      <c r="HG276" s="89"/>
      <c r="HH276" s="89"/>
      <c r="HI276" s="89"/>
      <c r="HJ276" s="89"/>
      <c r="HK276" s="89"/>
      <c r="HL276" s="89"/>
      <c r="HM276" s="89"/>
      <c r="HN276" s="89"/>
      <c r="HO276" s="89"/>
      <c r="HP276" s="89"/>
      <c r="HQ276" s="89"/>
      <c r="HR276" s="89"/>
      <c r="HS276" s="89"/>
      <c r="HT276" s="89"/>
      <c r="HU276" s="89"/>
      <c r="HV276" s="89"/>
      <c r="HW276" s="89"/>
      <c r="HX276" s="89"/>
      <c r="HY276" s="89"/>
      <c r="HZ276" s="89"/>
      <c r="IA276" s="89"/>
      <c r="IB276" s="89"/>
      <c r="IC276" s="89"/>
      <c r="ID276" s="89"/>
      <c r="IE276" s="89"/>
      <c r="IF276" s="89"/>
      <c r="IG276" s="89"/>
      <c r="IH276" s="89"/>
      <c r="II276" s="89"/>
      <c r="IJ276" s="89"/>
      <c r="IK276" s="89"/>
      <c r="IL276" s="89"/>
      <c r="IM276" s="89"/>
      <c r="IN276" s="89"/>
      <c r="IO276" s="89"/>
      <c r="IP276" s="89"/>
      <c r="IQ276" s="89"/>
      <c r="IR276" s="89"/>
      <c r="IS276" s="89"/>
      <c r="IT276" s="89"/>
      <c r="IU276" s="89"/>
      <c r="IV276" s="89"/>
    </row>
    <row r="277" spans="1:256" s="90" customFormat="1" ht="17" customHeight="1" x14ac:dyDescent="0.15">
      <c r="A277" s="148"/>
      <c r="B277" s="145"/>
      <c r="C277" s="128" t="s">
        <v>503</v>
      </c>
      <c r="D277" s="154"/>
      <c r="E277" s="93"/>
      <c r="F277" s="94" t="s">
        <v>504</v>
      </c>
      <c r="G277" s="86" t="s">
        <v>67</v>
      </c>
      <c r="H277" s="86">
        <f t="shared" si="8"/>
        <v>5</v>
      </c>
      <c r="I277" s="86">
        <f>IF([1]项目总工作量!B$6="交易类",H277*1.5/22,IF([1]项目总工作量!B$6="数据分析类",H277*1.5*0.9/22,IF([1]项目总工作量!B$6="流程管理类",H277*1.5*0.8/22,IF([1]项目总工作量!B$6="渠道类",H277*1.5*0.7/22,FALSE))))</f>
        <v>0.34090909090909088</v>
      </c>
      <c r="J277" s="86" t="s">
        <v>44</v>
      </c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89"/>
      <c r="AK277" s="89"/>
      <c r="AL277" s="89"/>
      <c r="AM277" s="89"/>
      <c r="AN277" s="89"/>
      <c r="AO277" s="89"/>
      <c r="AP277" s="89"/>
      <c r="AQ277" s="89"/>
      <c r="AR277" s="89"/>
      <c r="AS277" s="89"/>
      <c r="AT277" s="89"/>
      <c r="AU277" s="89"/>
      <c r="AV277" s="89"/>
      <c r="AW277" s="89"/>
      <c r="AX277" s="89"/>
      <c r="AY277" s="89"/>
      <c r="AZ277" s="89"/>
      <c r="BA277" s="89"/>
      <c r="BB277" s="89"/>
      <c r="BC277" s="89"/>
      <c r="BD277" s="89"/>
      <c r="BE277" s="89"/>
      <c r="BF277" s="89"/>
      <c r="BG277" s="89"/>
      <c r="BH277" s="89"/>
      <c r="BI277" s="89"/>
      <c r="BJ277" s="89"/>
      <c r="BK277" s="89"/>
      <c r="BL277" s="89"/>
      <c r="BM277" s="89"/>
      <c r="BN277" s="89"/>
      <c r="BO277" s="89"/>
      <c r="BP277" s="89"/>
      <c r="BQ277" s="89"/>
      <c r="BR277" s="89"/>
      <c r="BS277" s="89"/>
      <c r="BT277" s="89"/>
      <c r="BU277" s="89"/>
      <c r="BV277" s="89"/>
      <c r="BW277" s="89"/>
      <c r="BX277" s="89"/>
      <c r="BY277" s="89"/>
      <c r="BZ277" s="89"/>
      <c r="CA277" s="89"/>
      <c r="CB277" s="89"/>
      <c r="CC277" s="89"/>
      <c r="CD277" s="89"/>
      <c r="CE277" s="89"/>
      <c r="CF277" s="89"/>
      <c r="CG277" s="89"/>
      <c r="CH277" s="89"/>
      <c r="CI277" s="89"/>
      <c r="CJ277" s="89"/>
      <c r="CK277" s="89"/>
      <c r="CL277" s="89"/>
      <c r="CM277" s="89"/>
      <c r="CN277" s="89"/>
      <c r="CO277" s="89"/>
      <c r="CP277" s="89"/>
      <c r="CQ277" s="89"/>
      <c r="CR277" s="89"/>
      <c r="CS277" s="89"/>
      <c r="CT277" s="89"/>
      <c r="CU277" s="89"/>
      <c r="CV277" s="89"/>
      <c r="CW277" s="89"/>
      <c r="CX277" s="89"/>
      <c r="CY277" s="89"/>
      <c r="CZ277" s="89"/>
      <c r="DA277" s="89"/>
      <c r="DB277" s="89"/>
      <c r="DC277" s="89"/>
      <c r="DD277" s="89"/>
      <c r="DE277" s="89"/>
      <c r="DF277" s="89"/>
      <c r="DG277" s="89"/>
      <c r="DH277" s="89"/>
      <c r="DI277" s="89"/>
      <c r="DJ277" s="89"/>
      <c r="DK277" s="89"/>
      <c r="DL277" s="89"/>
      <c r="DM277" s="89"/>
      <c r="DN277" s="89"/>
      <c r="DO277" s="89"/>
      <c r="DP277" s="89"/>
      <c r="DQ277" s="89"/>
      <c r="DR277" s="89"/>
      <c r="DS277" s="89"/>
      <c r="DT277" s="89"/>
      <c r="DU277" s="89"/>
      <c r="DV277" s="89"/>
      <c r="DW277" s="89"/>
      <c r="DX277" s="89"/>
      <c r="DY277" s="89"/>
      <c r="DZ277" s="89"/>
      <c r="EA277" s="89"/>
      <c r="EB277" s="89"/>
      <c r="EC277" s="89"/>
      <c r="ED277" s="89"/>
      <c r="EE277" s="89"/>
      <c r="EF277" s="89"/>
      <c r="EG277" s="89"/>
      <c r="EH277" s="89"/>
      <c r="EI277" s="89"/>
      <c r="EJ277" s="89"/>
      <c r="EK277" s="89"/>
      <c r="EL277" s="89"/>
      <c r="EM277" s="89"/>
      <c r="EN277" s="89"/>
      <c r="EO277" s="89"/>
      <c r="EP277" s="89"/>
      <c r="EQ277" s="89"/>
      <c r="ER277" s="89"/>
      <c r="ES277" s="89"/>
      <c r="ET277" s="89"/>
      <c r="EU277" s="89"/>
      <c r="EV277" s="89"/>
      <c r="EW277" s="89"/>
      <c r="EX277" s="89"/>
      <c r="EY277" s="89"/>
      <c r="EZ277" s="89"/>
      <c r="FA277" s="89"/>
      <c r="FB277" s="89"/>
      <c r="FC277" s="89"/>
      <c r="FD277" s="89"/>
      <c r="FE277" s="89"/>
      <c r="FF277" s="89"/>
      <c r="FG277" s="89"/>
      <c r="FH277" s="89"/>
      <c r="FI277" s="89"/>
      <c r="FJ277" s="89"/>
      <c r="FK277" s="89"/>
      <c r="FL277" s="89"/>
      <c r="FM277" s="89"/>
      <c r="FN277" s="89"/>
      <c r="FO277" s="89"/>
      <c r="FP277" s="89"/>
      <c r="FQ277" s="89"/>
      <c r="FR277" s="89"/>
      <c r="FS277" s="89"/>
      <c r="FT277" s="89"/>
      <c r="FU277" s="89"/>
      <c r="FV277" s="89"/>
      <c r="FW277" s="89"/>
      <c r="FX277" s="89"/>
      <c r="FY277" s="89"/>
      <c r="FZ277" s="89"/>
      <c r="GA277" s="89"/>
      <c r="GB277" s="89"/>
      <c r="GC277" s="89"/>
      <c r="GD277" s="89"/>
      <c r="GE277" s="89"/>
      <c r="GF277" s="89"/>
      <c r="GG277" s="89"/>
      <c r="GH277" s="89"/>
      <c r="GI277" s="89"/>
      <c r="GJ277" s="89"/>
      <c r="GK277" s="89"/>
      <c r="GL277" s="89"/>
      <c r="GM277" s="89"/>
      <c r="GN277" s="89"/>
      <c r="GO277" s="89"/>
      <c r="GP277" s="89"/>
      <c r="GQ277" s="89"/>
      <c r="GR277" s="89"/>
      <c r="GS277" s="89"/>
      <c r="GT277" s="89"/>
      <c r="GU277" s="89"/>
      <c r="GV277" s="89"/>
      <c r="GW277" s="89"/>
      <c r="GX277" s="89"/>
      <c r="GY277" s="89"/>
      <c r="GZ277" s="89"/>
      <c r="HA277" s="89"/>
      <c r="HB277" s="89"/>
      <c r="HC277" s="89"/>
      <c r="HD277" s="89"/>
      <c r="HE277" s="89"/>
      <c r="HF277" s="89"/>
      <c r="HG277" s="89"/>
      <c r="HH277" s="89"/>
      <c r="HI277" s="89"/>
      <c r="HJ277" s="89"/>
      <c r="HK277" s="89"/>
      <c r="HL277" s="89"/>
      <c r="HM277" s="89"/>
      <c r="HN277" s="89"/>
      <c r="HO277" s="89"/>
      <c r="HP277" s="89"/>
      <c r="HQ277" s="89"/>
      <c r="HR277" s="89"/>
      <c r="HS277" s="89"/>
      <c r="HT277" s="89"/>
      <c r="HU277" s="89"/>
      <c r="HV277" s="89"/>
      <c r="HW277" s="89"/>
      <c r="HX277" s="89"/>
      <c r="HY277" s="89"/>
      <c r="HZ277" s="89"/>
      <c r="IA277" s="89"/>
      <c r="IB277" s="89"/>
      <c r="IC277" s="89"/>
      <c r="ID277" s="89"/>
      <c r="IE277" s="89"/>
      <c r="IF277" s="89"/>
      <c r="IG277" s="89"/>
      <c r="IH277" s="89"/>
      <c r="II277" s="89"/>
      <c r="IJ277" s="89"/>
      <c r="IK277" s="89"/>
      <c r="IL277" s="89"/>
      <c r="IM277" s="89"/>
      <c r="IN277" s="89"/>
      <c r="IO277" s="89"/>
      <c r="IP277" s="89"/>
      <c r="IQ277" s="89"/>
      <c r="IR277" s="89"/>
      <c r="IS277" s="89"/>
      <c r="IT277" s="89"/>
      <c r="IU277" s="89"/>
      <c r="IV277" s="89"/>
    </row>
    <row r="278" spans="1:256" s="90" customFormat="1" ht="34" customHeight="1" x14ac:dyDescent="0.15">
      <c r="A278" s="148"/>
      <c r="B278" s="145"/>
      <c r="C278" s="128"/>
      <c r="D278" s="154"/>
      <c r="E278" s="93"/>
      <c r="F278" s="95" t="s">
        <v>505</v>
      </c>
      <c r="G278" s="86" t="s">
        <v>67</v>
      </c>
      <c r="H278" s="86">
        <f t="shared" si="8"/>
        <v>5</v>
      </c>
      <c r="I278" s="86">
        <f>IF([1]项目总工作量!B$6="交易类",H278*1.5/22,IF([1]项目总工作量!B$6="数据分析类",H278*1.5*0.9/22,IF([1]项目总工作量!B$6="流程管理类",H278*1.5*0.8/22,IF([1]项目总工作量!B$6="渠道类",H278*1.5*0.7/22,FALSE))))</f>
        <v>0.34090909090909088</v>
      </c>
      <c r="J278" s="86" t="s">
        <v>44</v>
      </c>
      <c r="K278" s="89"/>
      <c r="L278" s="89"/>
      <c r="M278" s="89"/>
      <c r="N278" s="89"/>
      <c r="O278" s="89"/>
      <c r="P278" s="89"/>
      <c r="Q278" s="89"/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  <c r="AE278" s="89"/>
      <c r="AF278" s="89"/>
      <c r="AG278" s="89"/>
      <c r="AH278" s="89"/>
      <c r="AI278" s="89"/>
      <c r="AJ278" s="89"/>
      <c r="AK278" s="89"/>
      <c r="AL278" s="89"/>
      <c r="AM278" s="89"/>
      <c r="AN278" s="89"/>
      <c r="AO278" s="89"/>
      <c r="AP278" s="89"/>
      <c r="AQ278" s="89"/>
      <c r="AR278" s="89"/>
      <c r="AS278" s="89"/>
      <c r="AT278" s="89"/>
      <c r="AU278" s="89"/>
      <c r="AV278" s="89"/>
      <c r="AW278" s="89"/>
      <c r="AX278" s="89"/>
      <c r="AY278" s="89"/>
      <c r="AZ278" s="89"/>
      <c r="BA278" s="89"/>
      <c r="BB278" s="89"/>
      <c r="BC278" s="89"/>
      <c r="BD278" s="89"/>
      <c r="BE278" s="89"/>
      <c r="BF278" s="89"/>
      <c r="BG278" s="89"/>
      <c r="BH278" s="89"/>
      <c r="BI278" s="89"/>
      <c r="BJ278" s="89"/>
      <c r="BK278" s="89"/>
      <c r="BL278" s="89"/>
      <c r="BM278" s="89"/>
      <c r="BN278" s="89"/>
      <c r="BO278" s="89"/>
      <c r="BP278" s="89"/>
      <c r="BQ278" s="89"/>
      <c r="BR278" s="89"/>
      <c r="BS278" s="89"/>
      <c r="BT278" s="89"/>
      <c r="BU278" s="89"/>
      <c r="BV278" s="89"/>
      <c r="BW278" s="89"/>
      <c r="BX278" s="89"/>
      <c r="BY278" s="89"/>
      <c r="BZ278" s="89"/>
      <c r="CA278" s="89"/>
      <c r="CB278" s="89"/>
      <c r="CC278" s="89"/>
      <c r="CD278" s="89"/>
      <c r="CE278" s="89"/>
      <c r="CF278" s="89"/>
      <c r="CG278" s="89"/>
      <c r="CH278" s="89"/>
      <c r="CI278" s="89"/>
      <c r="CJ278" s="89"/>
      <c r="CK278" s="89"/>
      <c r="CL278" s="89"/>
      <c r="CM278" s="89"/>
      <c r="CN278" s="89"/>
      <c r="CO278" s="89"/>
      <c r="CP278" s="89"/>
      <c r="CQ278" s="89"/>
      <c r="CR278" s="89"/>
      <c r="CS278" s="89"/>
      <c r="CT278" s="89"/>
      <c r="CU278" s="89"/>
      <c r="CV278" s="89"/>
      <c r="CW278" s="89"/>
      <c r="CX278" s="89"/>
      <c r="CY278" s="89"/>
      <c r="CZ278" s="89"/>
      <c r="DA278" s="89"/>
      <c r="DB278" s="89"/>
      <c r="DC278" s="89"/>
      <c r="DD278" s="89"/>
      <c r="DE278" s="89"/>
      <c r="DF278" s="89"/>
      <c r="DG278" s="89"/>
      <c r="DH278" s="89"/>
      <c r="DI278" s="89"/>
      <c r="DJ278" s="89"/>
      <c r="DK278" s="89"/>
      <c r="DL278" s="89"/>
      <c r="DM278" s="89"/>
      <c r="DN278" s="89"/>
      <c r="DO278" s="89"/>
      <c r="DP278" s="89"/>
      <c r="DQ278" s="89"/>
      <c r="DR278" s="89"/>
      <c r="DS278" s="89"/>
      <c r="DT278" s="89"/>
      <c r="DU278" s="89"/>
      <c r="DV278" s="89"/>
      <c r="DW278" s="89"/>
      <c r="DX278" s="89"/>
      <c r="DY278" s="89"/>
      <c r="DZ278" s="89"/>
      <c r="EA278" s="89"/>
      <c r="EB278" s="89"/>
      <c r="EC278" s="89"/>
      <c r="ED278" s="89"/>
      <c r="EE278" s="89"/>
      <c r="EF278" s="89"/>
      <c r="EG278" s="89"/>
      <c r="EH278" s="89"/>
      <c r="EI278" s="89"/>
      <c r="EJ278" s="89"/>
      <c r="EK278" s="89"/>
      <c r="EL278" s="89"/>
      <c r="EM278" s="89"/>
      <c r="EN278" s="89"/>
      <c r="EO278" s="89"/>
      <c r="EP278" s="89"/>
      <c r="EQ278" s="89"/>
      <c r="ER278" s="89"/>
      <c r="ES278" s="89"/>
      <c r="ET278" s="89"/>
      <c r="EU278" s="89"/>
      <c r="EV278" s="89"/>
      <c r="EW278" s="89"/>
      <c r="EX278" s="89"/>
      <c r="EY278" s="89"/>
      <c r="EZ278" s="89"/>
      <c r="FA278" s="89"/>
      <c r="FB278" s="89"/>
      <c r="FC278" s="89"/>
      <c r="FD278" s="89"/>
      <c r="FE278" s="89"/>
      <c r="FF278" s="89"/>
      <c r="FG278" s="89"/>
      <c r="FH278" s="89"/>
      <c r="FI278" s="89"/>
      <c r="FJ278" s="89"/>
      <c r="FK278" s="89"/>
      <c r="FL278" s="89"/>
      <c r="FM278" s="89"/>
      <c r="FN278" s="89"/>
      <c r="FO278" s="89"/>
      <c r="FP278" s="89"/>
      <c r="FQ278" s="89"/>
      <c r="FR278" s="89"/>
      <c r="FS278" s="89"/>
      <c r="FT278" s="89"/>
      <c r="FU278" s="89"/>
      <c r="FV278" s="89"/>
      <c r="FW278" s="89"/>
      <c r="FX278" s="89"/>
      <c r="FY278" s="89"/>
      <c r="FZ278" s="89"/>
      <c r="GA278" s="89"/>
      <c r="GB278" s="89"/>
      <c r="GC278" s="89"/>
      <c r="GD278" s="89"/>
      <c r="GE278" s="89"/>
      <c r="GF278" s="89"/>
      <c r="GG278" s="89"/>
      <c r="GH278" s="89"/>
      <c r="GI278" s="89"/>
      <c r="GJ278" s="89"/>
      <c r="GK278" s="89"/>
      <c r="GL278" s="89"/>
      <c r="GM278" s="89"/>
      <c r="GN278" s="89"/>
      <c r="GO278" s="89"/>
      <c r="GP278" s="89"/>
      <c r="GQ278" s="89"/>
      <c r="GR278" s="89"/>
      <c r="GS278" s="89"/>
      <c r="GT278" s="89"/>
      <c r="GU278" s="89"/>
      <c r="GV278" s="89"/>
      <c r="GW278" s="89"/>
      <c r="GX278" s="89"/>
      <c r="GY278" s="89"/>
      <c r="GZ278" s="89"/>
      <c r="HA278" s="89"/>
      <c r="HB278" s="89"/>
      <c r="HC278" s="89"/>
      <c r="HD278" s="89"/>
      <c r="HE278" s="89"/>
      <c r="HF278" s="89"/>
      <c r="HG278" s="89"/>
      <c r="HH278" s="89"/>
      <c r="HI278" s="89"/>
      <c r="HJ278" s="89"/>
      <c r="HK278" s="89"/>
      <c r="HL278" s="89"/>
      <c r="HM278" s="89"/>
      <c r="HN278" s="89"/>
      <c r="HO278" s="89"/>
      <c r="HP278" s="89"/>
      <c r="HQ278" s="89"/>
      <c r="HR278" s="89"/>
      <c r="HS278" s="89"/>
      <c r="HT278" s="89"/>
      <c r="HU278" s="89"/>
      <c r="HV278" s="89"/>
      <c r="HW278" s="89"/>
      <c r="HX278" s="89"/>
      <c r="HY278" s="89"/>
      <c r="HZ278" s="89"/>
      <c r="IA278" s="89"/>
      <c r="IB278" s="89"/>
      <c r="IC278" s="89"/>
      <c r="ID278" s="89"/>
      <c r="IE278" s="89"/>
      <c r="IF278" s="89"/>
      <c r="IG278" s="89"/>
      <c r="IH278" s="89"/>
      <c r="II278" s="89"/>
      <c r="IJ278" s="89"/>
      <c r="IK278" s="89"/>
      <c r="IL278" s="89"/>
      <c r="IM278" s="89"/>
      <c r="IN278" s="89"/>
      <c r="IO278" s="89"/>
      <c r="IP278" s="89"/>
      <c r="IQ278" s="89"/>
      <c r="IR278" s="89"/>
      <c r="IS278" s="89"/>
      <c r="IT278" s="89"/>
      <c r="IU278" s="89"/>
      <c r="IV278" s="89"/>
    </row>
    <row r="279" spans="1:256" s="90" customFormat="1" ht="17" customHeight="1" x14ac:dyDescent="0.15">
      <c r="A279" s="148"/>
      <c r="B279" s="145"/>
      <c r="C279" s="128"/>
      <c r="D279" s="154"/>
      <c r="E279" s="93"/>
      <c r="F279" s="94" t="s">
        <v>506</v>
      </c>
      <c r="G279" s="86" t="s">
        <v>67</v>
      </c>
      <c r="H279" s="86">
        <f t="shared" si="8"/>
        <v>5</v>
      </c>
      <c r="I279" s="86">
        <f>IF([1]项目总工作量!B$6="交易类",H279*1.5/22,IF([1]项目总工作量!B$6="数据分析类",H279*1.5*0.9/22,IF([1]项目总工作量!B$6="流程管理类",H279*1.5*0.8/22,IF([1]项目总工作量!B$6="渠道类",H279*1.5*0.7/22,FALSE))))</f>
        <v>0.34090909090909088</v>
      </c>
      <c r="J279" s="86" t="s">
        <v>44</v>
      </c>
      <c r="K279" s="89"/>
      <c r="L279" s="89"/>
      <c r="M279" s="89"/>
      <c r="N279" s="89"/>
      <c r="O279" s="89"/>
      <c r="P279" s="89"/>
      <c r="Q279" s="89"/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  <c r="AE279" s="89"/>
      <c r="AF279" s="89"/>
      <c r="AG279" s="89"/>
      <c r="AH279" s="89"/>
      <c r="AI279" s="89"/>
      <c r="AJ279" s="89"/>
      <c r="AK279" s="89"/>
      <c r="AL279" s="89"/>
      <c r="AM279" s="89"/>
      <c r="AN279" s="89"/>
      <c r="AO279" s="89"/>
      <c r="AP279" s="89"/>
      <c r="AQ279" s="89"/>
      <c r="AR279" s="89"/>
      <c r="AS279" s="89"/>
      <c r="AT279" s="89"/>
      <c r="AU279" s="89"/>
      <c r="AV279" s="89"/>
      <c r="AW279" s="89"/>
      <c r="AX279" s="89"/>
      <c r="AY279" s="89"/>
      <c r="AZ279" s="89"/>
      <c r="BA279" s="89"/>
      <c r="BB279" s="89"/>
      <c r="BC279" s="89"/>
      <c r="BD279" s="89"/>
      <c r="BE279" s="89"/>
      <c r="BF279" s="89"/>
      <c r="BG279" s="89"/>
      <c r="BH279" s="89"/>
      <c r="BI279" s="89"/>
      <c r="BJ279" s="89"/>
      <c r="BK279" s="89"/>
      <c r="BL279" s="89"/>
      <c r="BM279" s="89"/>
      <c r="BN279" s="89"/>
      <c r="BO279" s="89"/>
      <c r="BP279" s="89"/>
      <c r="BQ279" s="89"/>
      <c r="BR279" s="89"/>
      <c r="BS279" s="89"/>
      <c r="BT279" s="89"/>
      <c r="BU279" s="89"/>
      <c r="BV279" s="89"/>
      <c r="BW279" s="89"/>
      <c r="BX279" s="89"/>
      <c r="BY279" s="89"/>
      <c r="BZ279" s="89"/>
      <c r="CA279" s="89"/>
      <c r="CB279" s="89"/>
      <c r="CC279" s="89"/>
      <c r="CD279" s="89"/>
      <c r="CE279" s="89"/>
      <c r="CF279" s="89"/>
      <c r="CG279" s="89"/>
      <c r="CH279" s="89"/>
      <c r="CI279" s="89"/>
      <c r="CJ279" s="89"/>
      <c r="CK279" s="89"/>
      <c r="CL279" s="89"/>
      <c r="CM279" s="89"/>
      <c r="CN279" s="89"/>
      <c r="CO279" s="89"/>
      <c r="CP279" s="89"/>
      <c r="CQ279" s="89"/>
      <c r="CR279" s="89"/>
      <c r="CS279" s="89"/>
      <c r="CT279" s="89"/>
      <c r="CU279" s="89"/>
      <c r="CV279" s="89"/>
      <c r="CW279" s="89"/>
      <c r="CX279" s="89"/>
      <c r="CY279" s="89"/>
      <c r="CZ279" s="89"/>
      <c r="DA279" s="89"/>
      <c r="DB279" s="89"/>
      <c r="DC279" s="89"/>
      <c r="DD279" s="89"/>
      <c r="DE279" s="89"/>
      <c r="DF279" s="89"/>
      <c r="DG279" s="89"/>
      <c r="DH279" s="89"/>
      <c r="DI279" s="89"/>
      <c r="DJ279" s="89"/>
      <c r="DK279" s="89"/>
      <c r="DL279" s="89"/>
      <c r="DM279" s="89"/>
      <c r="DN279" s="89"/>
      <c r="DO279" s="89"/>
      <c r="DP279" s="89"/>
      <c r="DQ279" s="89"/>
      <c r="DR279" s="89"/>
      <c r="DS279" s="89"/>
      <c r="DT279" s="89"/>
      <c r="DU279" s="89"/>
      <c r="DV279" s="89"/>
      <c r="DW279" s="89"/>
      <c r="DX279" s="89"/>
      <c r="DY279" s="89"/>
      <c r="DZ279" s="89"/>
      <c r="EA279" s="89"/>
      <c r="EB279" s="89"/>
      <c r="EC279" s="89"/>
      <c r="ED279" s="89"/>
      <c r="EE279" s="89"/>
      <c r="EF279" s="89"/>
      <c r="EG279" s="89"/>
      <c r="EH279" s="89"/>
      <c r="EI279" s="89"/>
      <c r="EJ279" s="89"/>
      <c r="EK279" s="89"/>
      <c r="EL279" s="89"/>
      <c r="EM279" s="89"/>
      <c r="EN279" s="89"/>
      <c r="EO279" s="89"/>
      <c r="EP279" s="89"/>
      <c r="EQ279" s="89"/>
      <c r="ER279" s="89"/>
      <c r="ES279" s="89"/>
      <c r="ET279" s="89"/>
      <c r="EU279" s="89"/>
      <c r="EV279" s="89"/>
      <c r="EW279" s="89"/>
      <c r="EX279" s="89"/>
      <c r="EY279" s="89"/>
      <c r="EZ279" s="89"/>
      <c r="FA279" s="89"/>
      <c r="FB279" s="89"/>
      <c r="FC279" s="89"/>
      <c r="FD279" s="89"/>
      <c r="FE279" s="89"/>
      <c r="FF279" s="89"/>
      <c r="FG279" s="89"/>
      <c r="FH279" s="89"/>
      <c r="FI279" s="89"/>
      <c r="FJ279" s="89"/>
      <c r="FK279" s="89"/>
      <c r="FL279" s="89"/>
      <c r="FM279" s="89"/>
      <c r="FN279" s="89"/>
      <c r="FO279" s="89"/>
      <c r="FP279" s="89"/>
      <c r="FQ279" s="89"/>
      <c r="FR279" s="89"/>
      <c r="FS279" s="89"/>
      <c r="FT279" s="89"/>
      <c r="FU279" s="89"/>
      <c r="FV279" s="89"/>
      <c r="FW279" s="89"/>
      <c r="FX279" s="89"/>
      <c r="FY279" s="89"/>
      <c r="FZ279" s="89"/>
      <c r="GA279" s="89"/>
      <c r="GB279" s="89"/>
      <c r="GC279" s="89"/>
      <c r="GD279" s="89"/>
      <c r="GE279" s="89"/>
      <c r="GF279" s="89"/>
      <c r="GG279" s="89"/>
      <c r="GH279" s="89"/>
      <c r="GI279" s="89"/>
      <c r="GJ279" s="89"/>
      <c r="GK279" s="89"/>
      <c r="GL279" s="89"/>
      <c r="GM279" s="89"/>
      <c r="GN279" s="89"/>
      <c r="GO279" s="89"/>
      <c r="GP279" s="89"/>
      <c r="GQ279" s="89"/>
      <c r="GR279" s="89"/>
      <c r="GS279" s="89"/>
      <c r="GT279" s="89"/>
      <c r="GU279" s="89"/>
      <c r="GV279" s="89"/>
      <c r="GW279" s="89"/>
      <c r="GX279" s="89"/>
      <c r="GY279" s="89"/>
      <c r="GZ279" s="89"/>
      <c r="HA279" s="89"/>
      <c r="HB279" s="89"/>
      <c r="HC279" s="89"/>
      <c r="HD279" s="89"/>
      <c r="HE279" s="89"/>
      <c r="HF279" s="89"/>
      <c r="HG279" s="89"/>
      <c r="HH279" s="89"/>
      <c r="HI279" s="89"/>
      <c r="HJ279" s="89"/>
      <c r="HK279" s="89"/>
      <c r="HL279" s="89"/>
      <c r="HM279" s="89"/>
      <c r="HN279" s="89"/>
      <c r="HO279" s="89"/>
      <c r="HP279" s="89"/>
      <c r="HQ279" s="89"/>
      <c r="HR279" s="89"/>
      <c r="HS279" s="89"/>
      <c r="HT279" s="89"/>
      <c r="HU279" s="89"/>
      <c r="HV279" s="89"/>
      <c r="HW279" s="89"/>
      <c r="HX279" s="89"/>
      <c r="HY279" s="89"/>
      <c r="HZ279" s="89"/>
      <c r="IA279" s="89"/>
      <c r="IB279" s="89"/>
      <c r="IC279" s="89"/>
      <c r="ID279" s="89"/>
      <c r="IE279" s="89"/>
      <c r="IF279" s="89"/>
      <c r="IG279" s="89"/>
      <c r="IH279" s="89"/>
      <c r="II279" s="89"/>
      <c r="IJ279" s="89"/>
      <c r="IK279" s="89"/>
      <c r="IL279" s="89"/>
      <c r="IM279" s="89"/>
      <c r="IN279" s="89"/>
      <c r="IO279" s="89"/>
      <c r="IP279" s="89"/>
      <c r="IQ279" s="89"/>
      <c r="IR279" s="89"/>
      <c r="IS279" s="89"/>
      <c r="IT279" s="89"/>
      <c r="IU279" s="89"/>
      <c r="IV279" s="89"/>
    </row>
    <row r="280" spans="1:256" s="90" customFormat="1" ht="17" customHeight="1" x14ac:dyDescent="0.15">
      <c r="A280" s="148"/>
      <c r="B280" s="145"/>
      <c r="C280" s="128"/>
      <c r="D280" s="154"/>
      <c r="E280" s="93"/>
      <c r="F280" s="99" t="s">
        <v>507</v>
      </c>
      <c r="G280" s="86" t="s">
        <v>67</v>
      </c>
      <c r="H280" s="86">
        <f t="shared" si="8"/>
        <v>5</v>
      </c>
      <c r="I280" s="86">
        <f>IF([1]项目总工作量!B$6="交易类",H280*1.5/22,IF([1]项目总工作量!B$6="数据分析类",H280*1.5*0.9/22,IF([1]项目总工作量!B$6="流程管理类",H280*1.5*0.8/22,IF([1]项目总工作量!B$6="渠道类",H280*1.5*0.7/22,FALSE))))</f>
        <v>0.34090909090909088</v>
      </c>
      <c r="J280" s="86" t="s">
        <v>44</v>
      </c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89"/>
      <c r="AK280" s="89"/>
      <c r="AL280" s="89"/>
      <c r="AM280" s="89"/>
      <c r="AN280" s="89"/>
      <c r="AO280" s="89"/>
      <c r="AP280" s="89"/>
      <c r="AQ280" s="89"/>
      <c r="AR280" s="89"/>
      <c r="AS280" s="89"/>
      <c r="AT280" s="89"/>
      <c r="AU280" s="89"/>
      <c r="AV280" s="89"/>
      <c r="AW280" s="89"/>
      <c r="AX280" s="89"/>
      <c r="AY280" s="89"/>
      <c r="AZ280" s="89"/>
      <c r="BA280" s="89"/>
      <c r="BB280" s="89"/>
      <c r="BC280" s="89"/>
      <c r="BD280" s="89"/>
      <c r="BE280" s="89"/>
      <c r="BF280" s="89"/>
      <c r="BG280" s="89"/>
      <c r="BH280" s="89"/>
      <c r="BI280" s="89"/>
      <c r="BJ280" s="89"/>
      <c r="BK280" s="89"/>
      <c r="BL280" s="89"/>
      <c r="BM280" s="89"/>
      <c r="BN280" s="89"/>
      <c r="BO280" s="89"/>
      <c r="BP280" s="89"/>
      <c r="BQ280" s="89"/>
      <c r="BR280" s="89"/>
      <c r="BS280" s="89"/>
      <c r="BT280" s="89"/>
      <c r="BU280" s="89"/>
      <c r="BV280" s="89"/>
      <c r="BW280" s="89"/>
      <c r="BX280" s="89"/>
      <c r="BY280" s="89"/>
      <c r="BZ280" s="89"/>
      <c r="CA280" s="89"/>
      <c r="CB280" s="89"/>
      <c r="CC280" s="89"/>
      <c r="CD280" s="89"/>
      <c r="CE280" s="89"/>
      <c r="CF280" s="89"/>
      <c r="CG280" s="89"/>
      <c r="CH280" s="89"/>
      <c r="CI280" s="89"/>
      <c r="CJ280" s="89"/>
      <c r="CK280" s="89"/>
      <c r="CL280" s="89"/>
      <c r="CM280" s="89"/>
      <c r="CN280" s="89"/>
      <c r="CO280" s="89"/>
      <c r="CP280" s="89"/>
      <c r="CQ280" s="89"/>
      <c r="CR280" s="89"/>
      <c r="CS280" s="89"/>
      <c r="CT280" s="89"/>
      <c r="CU280" s="89"/>
      <c r="CV280" s="89"/>
      <c r="CW280" s="89"/>
      <c r="CX280" s="89"/>
      <c r="CY280" s="89"/>
      <c r="CZ280" s="89"/>
      <c r="DA280" s="89"/>
      <c r="DB280" s="89"/>
      <c r="DC280" s="89"/>
      <c r="DD280" s="89"/>
      <c r="DE280" s="89"/>
      <c r="DF280" s="89"/>
      <c r="DG280" s="89"/>
      <c r="DH280" s="89"/>
      <c r="DI280" s="89"/>
      <c r="DJ280" s="89"/>
      <c r="DK280" s="89"/>
      <c r="DL280" s="89"/>
      <c r="DM280" s="89"/>
      <c r="DN280" s="89"/>
      <c r="DO280" s="89"/>
      <c r="DP280" s="89"/>
      <c r="DQ280" s="89"/>
      <c r="DR280" s="89"/>
      <c r="DS280" s="89"/>
      <c r="DT280" s="89"/>
      <c r="DU280" s="89"/>
      <c r="DV280" s="89"/>
      <c r="DW280" s="89"/>
      <c r="DX280" s="89"/>
      <c r="DY280" s="89"/>
      <c r="DZ280" s="89"/>
      <c r="EA280" s="89"/>
      <c r="EB280" s="89"/>
      <c r="EC280" s="89"/>
      <c r="ED280" s="89"/>
      <c r="EE280" s="89"/>
      <c r="EF280" s="89"/>
      <c r="EG280" s="89"/>
      <c r="EH280" s="89"/>
      <c r="EI280" s="89"/>
      <c r="EJ280" s="89"/>
      <c r="EK280" s="89"/>
      <c r="EL280" s="89"/>
      <c r="EM280" s="89"/>
      <c r="EN280" s="89"/>
      <c r="EO280" s="89"/>
      <c r="EP280" s="89"/>
      <c r="EQ280" s="89"/>
      <c r="ER280" s="89"/>
      <c r="ES280" s="89"/>
      <c r="ET280" s="89"/>
      <c r="EU280" s="89"/>
      <c r="EV280" s="89"/>
      <c r="EW280" s="89"/>
      <c r="EX280" s="89"/>
      <c r="EY280" s="89"/>
      <c r="EZ280" s="89"/>
      <c r="FA280" s="89"/>
      <c r="FB280" s="89"/>
      <c r="FC280" s="89"/>
      <c r="FD280" s="89"/>
      <c r="FE280" s="89"/>
      <c r="FF280" s="89"/>
      <c r="FG280" s="89"/>
      <c r="FH280" s="89"/>
      <c r="FI280" s="89"/>
      <c r="FJ280" s="89"/>
      <c r="FK280" s="89"/>
      <c r="FL280" s="89"/>
      <c r="FM280" s="89"/>
      <c r="FN280" s="89"/>
      <c r="FO280" s="89"/>
      <c r="FP280" s="89"/>
      <c r="FQ280" s="89"/>
      <c r="FR280" s="89"/>
      <c r="FS280" s="89"/>
      <c r="FT280" s="89"/>
      <c r="FU280" s="89"/>
      <c r="FV280" s="89"/>
      <c r="FW280" s="89"/>
      <c r="FX280" s="89"/>
      <c r="FY280" s="89"/>
      <c r="FZ280" s="89"/>
      <c r="GA280" s="89"/>
      <c r="GB280" s="89"/>
      <c r="GC280" s="89"/>
      <c r="GD280" s="89"/>
      <c r="GE280" s="89"/>
      <c r="GF280" s="89"/>
      <c r="GG280" s="89"/>
      <c r="GH280" s="89"/>
      <c r="GI280" s="89"/>
      <c r="GJ280" s="89"/>
      <c r="GK280" s="89"/>
      <c r="GL280" s="89"/>
      <c r="GM280" s="89"/>
      <c r="GN280" s="89"/>
      <c r="GO280" s="89"/>
      <c r="GP280" s="89"/>
      <c r="GQ280" s="89"/>
      <c r="GR280" s="89"/>
      <c r="GS280" s="89"/>
      <c r="GT280" s="89"/>
      <c r="GU280" s="89"/>
      <c r="GV280" s="89"/>
      <c r="GW280" s="89"/>
      <c r="GX280" s="89"/>
      <c r="GY280" s="89"/>
      <c r="GZ280" s="89"/>
      <c r="HA280" s="89"/>
      <c r="HB280" s="89"/>
      <c r="HC280" s="89"/>
      <c r="HD280" s="89"/>
      <c r="HE280" s="89"/>
      <c r="HF280" s="89"/>
      <c r="HG280" s="89"/>
      <c r="HH280" s="89"/>
      <c r="HI280" s="89"/>
      <c r="HJ280" s="89"/>
      <c r="HK280" s="89"/>
      <c r="HL280" s="89"/>
      <c r="HM280" s="89"/>
      <c r="HN280" s="89"/>
      <c r="HO280" s="89"/>
      <c r="HP280" s="89"/>
      <c r="HQ280" s="89"/>
      <c r="HR280" s="89"/>
      <c r="HS280" s="89"/>
      <c r="HT280" s="89"/>
      <c r="HU280" s="89"/>
      <c r="HV280" s="89"/>
      <c r="HW280" s="89"/>
      <c r="HX280" s="89"/>
      <c r="HY280" s="89"/>
      <c r="HZ280" s="89"/>
      <c r="IA280" s="89"/>
      <c r="IB280" s="89"/>
      <c r="IC280" s="89"/>
      <c r="ID280" s="89"/>
      <c r="IE280" s="89"/>
      <c r="IF280" s="89"/>
      <c r="IG280" s="89"/>
      <c r="IH280" s="89"/>
      <c r="II280" s="89"/>
      <c r="IJ280" s="89"/>
      <c r="IK280" s="89"/>
      <c r="IL280" s="89"/>
      <c r="IM280" s="89"/>
      <c r="IN280" s="89"/>
      <c r="IO280" s="89"/>
      <c r="IP280" s="89"/>
      <c r="IQ280" s="89"/>
      <c r="IR280" s="89"/>
      <c r="IS280" s="89"/>
      <c r="IT280" s="89"/>
      <c r="IU280" s="89"/>
      <c r="IV280" s="89"/>
    </row>
    <row r="281" spans="1:256" s="90" customFormat="1" ht="17" customHeight="1" x14ac:dyDescent="0.15">
      <c r="A281" s="148"/>
      <c r="B281" s="145"/>
      <c r="C281" s="128"/>
      <c r="D281" s="154"/>
      <c r="E281" s="93"/>
      <c r="F281" s="99" t="s">
        <v>508</v>
      </c>
      <c r="G281" s="86" t="s">
        <v>67</v>
      </c>
      <c r="H281" s="86">
        <f t="shared" si="8"/>
        <v>5</v>
      </c>
      <c r="I281" s="86">
        <f>IF([1]项目总工作量!B$6="交易类",H281*1.5/22,IF([1]项目总工作量!B$6="数据分析类",H281*1.5*0.9/22,IF([1]项目总工作量!B$6="流程管理类",H281*1.5*0.8/22,IF([1]项目总工作量!B$6="渠道类",H281*1.5*0.7/22,FALSE))))</f>
        <v>0.34090909090909088</v>
      </c>
      <c r="J281" s="86" t="s">
        <v>44</v>
      </c>
      <c r="K281" s="89"/>
      <c r="L281" s="89"/>
      <c r="M281" s="89"/>
      <c r="N281" s="89"/>
      <c r="O281" s="89"/>
      <c r="P281" s="89"/>
      <c r="Q281" s="89"/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  <c r="AE281" s="89"/>
      <c r="AF281" s="89"/>
      <c r="AG281" s="89"/>
      <c r="AH281" s="89"/>
      <c r="AI281" s="89"/>
      <c r="AJ281" s="89"/>
      <c r="AK281" s="89"/>
      <c r="AL281" s="89"/>
      <c r="AM281" s="89"/>
      <c r="AN281" s="89"/>
      <c r="AO281" s="89"/>
      <c r="AP281" s="89"/>
      <c r="AQ281" s="89"/>
      <c r="AR281" s="89"/>
      <c r="AS281" s="89"/>
      <c r="AT281" s="89"/>
      <c r="AU281" s="89"/>
      <c r="AV281" s="89"/>
      <c r="AW281" s="89"/>
      <c r="AX281" s="89"/>
      <c r="AY281" s="89"/>
      <c r="AZ281" s="89"/>
      <c r="BA281" s="89"/>
      <c r="BB281" s="89"/>
      <c r="BC281" s="89"/>
      <c r="BD281" s="89"/>
      <c r="BE281" s="89"/>
      <c r="BF281" s="89"/>
      <c r="BG281" s="89"/>
      <c r="BH281" s="89"/>
      <c r="BI281" s="89"/>
      <c r="BJ281" s="89"/>
      <c r="BK281" s="89"/>
      <c r="BL281" s="89"/>
      <c r="BM281" s="89"/>
      <c r="BN281" s="89"/>
      <c r="BO281" s="89"/>
      <c r="BP281" s="89"/>
      <c r="BQ281" s="89"/>
      <c r="BR281" s="89"/>
      <c r="BS281" s="89"/>
      <c r="BT281" s="89"/>
      <c r="BU281" s="89"/>
      <c r="BV281" s="89"/>
      <c r="BW281" s="89"/>
      <c r="BX281" s="89"/>
      <c r="BY281" s="89"/>
      <c r="BZ281" s="89"/>
      <c r="CA281" s="89"/>
      <c r="CB281" s="89"/>
      <c r="CC281" s="89"/>
      <c r="CD281" s="89"/>
      <c r="CE281" s="89"/>
      <c r="CF281" s="89"/>
      <c r="CG281" s="89"/>
      <c r="CH281" s="89"/>
      <c r="CI281" s="89"/>
      <c r="CJ281" s="89"/>
      <c r="CK281" s="89"/>
      <c r="CL281" s="89"/>
      <c r="CM281" s="89"/>
      <c r="CN281" s="89"/>
      <c r="CO281" s="89"/>
      <c r="CP281" s="89"/>
      <c r="CQ281" s="89"/>
      <c r="CR281" s="89"/>
      <c r="CS281" s="89"/>
      <c r="CT281" s="89"/>
      <c r="CU281" s="89"/>
      <c r="CV281" s="89"/>
      <c r="CW281" s="89"/>
      <c r="CX281" s="89"/>
      <c r="CY281" s="89"/>
      <c r="CZ281" s="89"/>
      <c r="DA281" s="89"/>
      <c r="DB281" s="89"/>
      <c r="DC281" s="89"/>
      <c r="DD281" s="89"/>
      <c r="DE281" s="89"/>
      <c r="DF281" s="89"/>
      <c r="DG281" s="89"/>
      <c r="DH281" s="89"/>
      <c r="DI281" s="89"/>
      <c r="DJ281" s="89"/>
      <c r="DK281" s="89"/>
      <c r="DL281" s="89"/>
      <c r="DM281" s="89"/>
      <c r="DN281" s="89"/>
      <c r="DO281" s="89"/>
      <c r="DP281" s="89"/>
      <c r="DQ281" s="89"/>
      <c r="DR281" s="89"/>
      <c r="DS281" s="89"/>
      <c r="DT281" s="89"/>
      <c r="DU281" s="89"/>
      <c r="DV281" s="89"/>
      <c r="DW281" s="89"/>
      <c r="DX281" s="89"/>
      <c r="DY281" s="89"/>
      <c r="DZ281" s="89"/>
      <c r="EA281" s="89"/>
      <c r="EB281" s="89"/>
      <c r="EC281" s="89"/>
      <c r="ED281" s="89"/>
      <c r="EE281" s="89"/>
      <c r="EF281" s="89"/>
      <c r="EG281" s="89"/>
      <c r="EH281" s="89"/>
      <c r="EI281" s="89"/>
      <c r="EJ281" s="89"/>
      <c r="EK281" s="89"/>
      <c r="EL281" s="89"/>
      <c r="EM281" s="89"/>
      <c r="EN281" s="89"/>
      <c r="EO281" s="89"/>
      <c r="EP281" s="89"/>
      <c r="EQ281" s="89"/>
      <c r="ER281" s="89"/>
      <c r="ES281" s="89"/>
      <c r="ET281" s="89"/>
      <c r="EU281" s="89"/>
      <c r="EV281" s="89"/>
      <c r="EW281" s="89"/>
      <c r="EX281" s="89"/>
      <c r="EY281" s="89"/>
      <c r="EZ281" s="89"/>
      <c r="FA281" s="89"/>
      <c r="FB281" s="89"/>
      <c r="FC281" s="89"/>
      <c r="FD281" s="89"/>
      <c r="FE281" s="89"/>
      <c r="FF281" s="89"/>
      <c r="FG281" s="89"/>
      <c r="FH281" s="89"/>
      <c r="FI281" s="89"/>
      <c r="FJ281" s="89"/>
      <c r="FK281" s="89"/>
      <c r="FL281" s="89"/>
      <c r="FM281" s="89"/>
      <c r="FN281" s="89"/>
      <c r="FO281" s="89"/>
      <c r="FP281" s="89"/>
      <c r="FQ281" s="89"/>
      <c r="FR281" s="89"/>
      <c r="FS281" s="89"/>
      <c r="FT281" s="89"/>
      <c r="FU281" s="89"/>
      <c r="FV281" s="89"/>
      <c r="FW281" s="89"/>
      <c r="FX281" s="89"/>
      <c r="FY281" s="89"/>
      <c r="FZ281" s="89"/>
      <c r="GA281" s="89"/>
      <c r="GB281" s="89"/>
      <c r="GC281" s="89"/>
      <c r="GD281" s="89"/>
      <c r="GE281" s="89"/>
      <c r="GF281" s="89"/>
      <c r="GG281" s="89"/>
      <c r="GH281" s="89"/>
      <c r="GI281" s="89"/>
      <c r="GJ281" s="89"/>
      <c r="GK281" s="89"/>
      <c r="GL281" s="89"/>
      <c r="GM281" s="89"/>
      <c r="GN281" s="89"/>
      <c r="GO281" s="89"/>
      <c r="GP281" s="89"/>
      <c r="GQ281" s="89"/>
      <c r="GR281" s="89"/>
      <c r="GS281" s="89"/>
      <c r="GT281" s="89"/>
      <c r="GU281" s="89"/>
      <c r="GV281" s="89"/>
      <c r="GW281" s="89"/>
      <c r="GX281" s="89"/>
      <c r="GY281" s="89"/>
      <c r="GZ281" s="89"/>
      <c r="HA281" s="89"/>
      <c r="HB281" s="89"/>
      <c r="HC281" s="89"/>
      <c r="HD281" s="89"/>
      <c r="HE281" s="89"/>
      <c r="HF281" s="89"/>
      <c r="HG281" s="89"/>
      <c r="HH281" s="89"/>
      <c r="HI281" s="89"/>
      <c r="HJ281" s="89"/>
      <c r="HK281" s="89"/>
      <c r="HL281" s="89"/>
      <c r="HM281" s="89"/>
      <c r="HN281" s="89"/>
      <c r="HO281" s="89"/>
      <c r="HP281" s="89"/>
      <c r="HQ281" s="89"/>
      <c r="HR281" s="89"/>
      <c r="HS281" s="89"/>
      <c r="HT281" s="89"/>
      <c r="HU281" s="89"/>
      <c r="HV281" s="89"/>
      <c r="HW281" s="89"/>
      <c r="HX281" s="89"/>
      <c r="HY281" s="89"/>
      <c r="HZ281" s="89"/>
      <c r="IA281" s="89"/>
      <c r="IB281" s="89"/>
      <c r="IC281" s="89"/>
      <c r="ID281" s="89"/>
      <c r="IE281" s="89"/>
      <c r="IF281" s="89"/>
      <c r="IG281" s="89"/>
      <c r="IH281" s="89"/>
      <c r="II281" s="89"/>
      <c r="IJ281" s="89"/>
      <c r="IK281" s="89"/>
      <c r="IL281" s="89"/>
      <c r="IM281" s="89"/>
      <c r="IN281" s="89"/>
      <c r="IO281" s="89"/>
      <c r="IP281" s="89"/>
      <c r="IQ281" s="89"/>
      <c r="IR281" s="89"/>
      <c r="IS281" s="89"/>
      <c r="IT281" s="89"/>
      <c r="IU281" s="89"/>
      <c r="IV281" s="89"/>
    </row>
    <row r="282" spans="1:256" s="90" customFormat="1" ht="17" customHeight="1" x14ac:dyDescent="0.15">
      <c r="A282" s="148"/>
      <c r="B282" s="145"/>
      <c r="C282" s="128"/>
      <c r="D282" s="154"/>
      <c r="E282" s="93"/>
      <c r="F282" s="99" t="s">
        <v>509</v>
      </c>
      <c r="G282" s="86" t="s">
        <v>67</v>
      </c>
      <c r="H282" s="86">
        <f t="shared" si="8"/>
        <v>5</v>
      </c>
      <c r="I282" s="86">
        <f>IF([1]项目总工作量!B$6="交易类",H282*1.5/22,IF([1]项目总工作量!B$6="数据分析类",H282*1.5*0.9/22,IF([1]项目总工作量!B$6="流程管理类",H282*1.5*0.8/22,IF([1]项目总工作量!B$6="渠道类",H282*1.5*0.7/22,FALSE))))</f>
        <v>0.34090909090909088</v>
      </c>
      <c r="J282" s="86" t="s">
        <v>44</v>
      </c>
      <c r="K282" s="89"/>
      <c r="L282" s="89"/>
      <c r="M282" s="89"/>
      <c r="N282" s="89"/>
      <c r="O282" s="89"/>
      <c r="P282" s="89"/>
      <c r="Q282" s="89"/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  <c r="AE282" s="89"/>
      <c r="AF282" s="89"/>
      <c r="AG282" s="89"/>
      <c r="AH282" s="89"/>
      <c r="AI282" s="89"/>
      <c r="AJ282" s="89"/>
      <c r="AK282" s="89"/>
      <c r="AL282" s="89"/>
      <c r="AM282" s="89"/>
      <c r="AN282" s="89"/>
      <c r="AO282" s="89"/>
      <c r="AP282" s="89"/>
      <c r="AQ282" s="89"/>
      <c r="AR282" s="89"/>
      <c r="AS282" s="89"/>
      <c r="AT282" s="89"/>
      <c r="AU282" s="89"/>
      <c r="AV282" s="89"/>
      <c r="AW282" s="89"/>
      <c r="AX282" s="89"/>
      <c r="AY282" s="89"/>
      <c r="AZ282" s="89"/>
      <c r="BA282" s="89"/>
      <c r="BB282" s="89"/>
      <c r="BC282" s="89"/>
      <c r="BD282" s="89"/>
      <c r="BE282" s="89"/>
      <c r="BF282" s="89"/>
      <c r="BG282" s="89"/>
      <c r="BH282" s="89"/>
      <c r="BI282" s="89"/>
      <c r="BJ282" s="89"/>
      <c r="BK282" s="89"/>
      <c r="BL282" s="89"/>
      <c r="BM282" s="89"/>
      <c r="BN282" s="89"/>
      <c r="BO282" s="89"/>
      <c r="BP282" s="89"/>
      <c r="BQ282" s="89"/>
      <c r="BR282" s="89"/>
      <c r="BS282" s="89"/>
      <c r="BT282" s="89"/>
      <c r="BU282" s="89"/>
      <c r="BV282" s="89"/>
      <c r="BW282" s="89"/>
      <c r="BX282" s="89"/>
      <c r="BY282" s="89"/>
      <c r="BZ282" s="89"/>
      <c r="CA282" s="89"/>
      <c r="CB282" s="89"/>
      <c r="CC282" s="89"/>
      <c r="CD282" s="89"/>
      <c r="CE282" s="89"/>
      <c r="CF282" s="89"/>
      <c r="CG282" s="89"/>
      <c r="CH282" s="89"/>
      <c r="CI282" s="89"/>
      <c r="CJ282" s="89"/>
      <c r="CK282" s="89"/>
      <c r="CL282" s="89"/>
      <c r="CM282" s="89"/>
      <c r="CN282" s="89"/>
      <c r="CO282" s="89"/>
      <c r="CP282" s="89"/>
      <c r="CQ282" s="89"/>
      <c r="CR282" s="89"/>
      <c r="CS282" s="89"/>
      <c r="CT282" s="89"/>
      <c r="CU282" s="89"/>
      <c r="CV282" s="89"/>
      <c r="CW282" s="89"/>
      <c r="CX282" s="89"/>
      <c r="CY282" s="89"/>
      <c r="CZ282" s="89"/>
      <c r="DA282" s="89"/>
      <c r="DB282" s="89"/>
      <c r="DC282" s="89"/>
      <c r="DD282" s="89"/>
      <c r="DE282" s="89"/>
      <c r="DF282" s="89"/>
      <c r="DG282" s="89"/>
      <c r="DH282" s="89"/>
      <c r="DI282" s="89"/>
      <c r="DJ282" s="89"/>
      <c r="DK282" s="89"/>
      <c r="DL282" s="89"/>
      <c r="DM282" s="89"/>
      <c r="DN282" s="89"/>
      <c r="DO282" s="89"/>
      <c r="DP282" s="89"/>
      <c r="DQ282" s="89"/>
      <c r="DR282" s="89"/>
      <c r="DS282" s="89"/>
      <c r="DT282" s="89"/>
      <c r="DU282" s="89"/>
      <c r="DV282" s="89"/>
      <c r="DW282" s="89"/>
      <c r="DX282" s="89"/>
      <c r="DY282" s="89"/>
      <c r="DZ282" s="89"/>
      <c r="EA282" s="89"/>
      <c r="EB282" s="89"/>
      <c r="EC282" s="89"/>
      <c r="ED282" s="89"/>
      <c r="EE282" s="89"/>
      <c r="EF282" s="89"/>
      <c r="EG282" s="89"/>
      <c r="EH282" s="89"/>
      <c r="EI282" s="89"/>
      <c r="EJ282" s="89"/>
      <c r="EK282" s="89"/>
      <c r="EL282" s="89"/>
      <c r="EM282" s="89"/>
      <c r="EN282" s="89"/>
      <c r="EO282" s="89"/>
      <c r="EP282" s="89"/>
      <c r="EQ282" s="89"/>
      <c r="ER282" s="89"/>
      <c r="ES282" s="89"/>
      <c r="ET282" s="89"/>
      <c r="EU282" s="89"/>
      <c r="EV282" s="89"/>
      <c r="EW282" s="89"/>
      <c r="EX282" s="89"/>
      <c r="EY282" s="89"/>
      <c r="EZ282" s="89"/>
      <c r="FA282" s="89"/>
      <c r="FB282" s="89"/>
      <c r="FC282" s="89"/>
      <c r="FD282" s="89"/>
      <c r="FE282" s="89"/>
      <c r="FF282" s="89"/>
      <c r="FG282" s="89"/>
      <c r="FH282" s="89"/>
      <c r="FI282" s="89"/>
      <c r="FJ282" s="89"/>
      <c r="FK282" s="89"/>
      <c r="FL282" s="89"/>
      <c r="FM282" s="89"/>
      <c r="FN282" s="89"/>
      <c r="FO282" s="89"/>
      <c r="FP282" s="89"/>
      <c r="FQ282" s="89"/>
      <c r="FR282" s="89"/>
      <c r="FS282" s="89"/>
      <c r="FT282" s="89"/>
      <c r="FU282" s="89"/>
      <c r="FV282" s="89"/>
      <c r="FW282" s="89"/>
      <c r="FX282" s="89"/>
      <c r="FY282" s="89"/>
      <c r="FZ282" s="89"/>
      <c r="GA282" s="89"/>
      <c r="GB282" s="89"/>
      <c r="GC282" s="89"/>
      <c r="GD282" s="89"/>
      <c r="GE282" s="89"/>
      <c r="GF282" s="89"/>
      <c r="GG282" s="89"/>
      <c r="GH282" s="89"/>
      <c r="GI282" s="89"/>
      <c r="GJ282" s="89"/>
      <c r="GK282" s="89"/>
      <c r="GL282" s="89"/>
      <c r="GM282" s="89"/>
      <c r="GN282" s="89"/>
      <c r="GO282" s="89"/>
      <c r="GP282" s="89"/>
      <c r="GQ282" s="89"/>
      <c r="GR282" s="89"/>
      <c r="GS282" s="89"/>
      <c r="GT282" s="89"/>
      <c r="GU282" s="89"/>
      <c r="GV282" s="89"/>
      <c r="GW282" s="89"/>
      <c r="GX282" s="89"/>
      <c r="GY282" s="89"/>
      <c r="GZ282" s="89"/>
      <c r="HA282" s="89"/>
      <c r="HB282" s="89"/>
      <c r="HC282" s="89"/>
      <c r="HD282" s="89"/>
      <c r="HE282" s="89"/>
      <c r="HF282" s="89"/>
      <c r="HG282" s="89"/>
      <c r="HH282" s="89"/>
      <c r="HI282" s="89"/>
      <c r="HJ282" s="89"/>
      <c r="HK282" s="89"/>
      <c r="HL282" s="89"/>
      <c r="HM282" s="89"/>
      <c r="HN282" s="89"/>
      <c r="HO282" s="89"/>
      <c r="HP282" s="89"/>
      <c r="HQ282" s="89"/>
      <c r="HR282" s="89"/>
      <c r="HS282" s="89"/>
      <c r="HT282" s="89"/>
      <c r="HU282" s="89"/>
      <c r="HV282" s="89"/>
      <c r="HW282" s="89"/>
      <c r="HX282" s="89"/>
      <c r="HY282" s="89"/>
      <c r="HZ282" s="89"/>
      <c r="IA282" s="89"/>
      <c r="IB282" s="89"/>
      <c r="IC282" s="89"/>
      <c r="ID282" s="89"/>
      <c r="IE282" s="89"/>
      <c r="IF282" s="89"/>
      <c r="IG282" s="89"/>
      <c r="IH282" s="89"/>
      <c r="II282" s="89"/>
      <c r="IJ282" s="89"/>
      <c r="IK282" s="89"/>
      <c r="IL282" s="89"/>
      <c r="IM282" s="89"/>
      <c r="IN282" s="89"/>
      <c r="IO282" s="89"/>
      <c r="IP282" s="89"/>
      <c r="IQ282" s="89"/>
      <c r="IR282" s="89"/>
      <c r="IS282" s="89"/>
      <c r="IT282" s="89"/>
      <c r="IU282" s="89"/>
      <c r="IV282" s="89"/>
    </row>
    <row r="283" spans="1:256" s="90" customFormat="1" ht="17" customHeight="1" x14ac:dyDescent="0.15">
      <c r="A283" s="148"/>
      <c r="B283" s="145"/>
      <c r="C283" s="128"/>
      <c r="D283" s="154"/>
      <c r="E283" s="93"/>
      <c r="F283" s="99" t="s">
        <v>510</v>
      </c>
      <c r="G283" s="86" t="s">
        <v>67</v>
      </c>
      <c r="H283" s="86">
        <f t="shared" si="8"/>
        <v>5</v>
      </c>
      <c r="I283" s="86">
        <f>IF([1]项目总工作量!B$6="交易类",H283*1.5/22,IF([1]项目总工作量!B$6="数据分析类",H283*1.5*0.9/22,IF([1]项目总工作量!B$6="流程管理类",H283*1.5*0.8/22,IF([1]项目总工作量!B$6="渠道类",H283*1.5*0.7/22,FALSE))))</f>
        <v>0.34090909090909088</v>
      </c>
      <c r="J283" s="86" t="s">
        <v>44</v>
      </c>
      <c r="K283" s="89"/>
      <c r="L283" s="89"/>
      <c r="M283" s="89"/>
      <c r="N283" s="89"/>
      <c r="O283" s="89"/>
      <c r="P283" s="89"/>
      <c r="Q283" s="89"/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  <c r="AE283" s="89"/>
      <c r="AF283" s="89"/>
      <c r="AG283" s="89"/>
      <c r="AH283" s="89"/>
      <c r="AI283" s="89"/>
      <c r="AJ283" s="89"/>
      <c r="AK283" s="89"/>
      <c r="AL283" s="89"/>
      <c r="AM283" s="89"/>
      <c r="AN283" s="89"/>
      <c r="AO283" s="89"/>
      <c r="AP283" s="89"/>
      <c r="AQ283" s="89"/>
      <c r="AR283" s="89"/>
      <c r="AS283" s="89"/>
      <c r="AT283" s="89"/>
      <c r="AU283" s="89"/>
      <c r="AV283" s="89"/>
      <c r="AW283" s="89"/>
      <c r="AX283" s="89"/>
      <c r="AY283" s="89"/>
      <c r="AZ283" s="89"/>
      <c r="BA283" s="89"/>
      <c r="BB283" s="89"/>
      <c r="BC283" s="89"/>
      <c r="BD283" s="89"/>
      <c r="BE283" s="89"/>
      <c r="BF283" s="89"/>
      <c r="BG283" s="89"/>
      <c r="BH283" s="89"/>
      <c r="BI283" s="89"/>
      <c r="BJ283" s="89"/>
      <c r="BK283" s="89"/>
      <c r="BL283" s="89"/>
      <c r="BM283" s="89"/>
      <c r="BN283" s="89"/>
      <c r="BO283" s="89"/>
      <c r="BP283" s="89"/>
      <c r="BQ283" s="89"/>
      <c r="BR283" s="89"/>
      <c r="BS283" s="89"/>
      <c r="BT283" s="89"/>
      <c r="BU283" s="89"/>
      <c r="BV283" s="89"/>
      <c r="BW283" s="89"/>
      <c r="BX283" s="89"/>
      <c r="BY283" s="89"/>
      <c r="BZ283" s="89"/>
      <c r="CA283" s="89"/>
      <c r="CB283" s="89"/>
      <c r="CC283" s="89"/>
      <c r="CD283" s="89"/>
      <c r="CE283" s="89"/>
      <c r="CF283" s="89"/>
      <c r="CG283" s="89"/>
      <c r="CH283" s="89"/>
      <c r="CI283" s="89"/>
      <c r="CJ283" s="89"/>
      <c r="CK283" s="89"/>
      <c r="CL283" s="89"/>
      <c r="CM283" s="89"/>
      <c r="CN283" s="89"/>
      <c r="CO283" s="89"/>
      <c r="CP283" s="89"/>
      <c r="CQ283" s="89"/>
      <c r="CR283" s="89"/>
      <c r="CS283" s="89"/>
      <c r="CT283" s="89"/>
      <c r="CU283" s="89"/>
      <c r="CV283" s="89"/>
      <c r="CW283" s="89"/>
      <c r="CX283" s="89"/>
      <c r="CY283" s="89"/>
      <c r="CZ283" s="89"/>
      <c r="DA283" s="89"/>
      <c r="DB283" s="89"/>
      <c r="DC283" s="89"/>
      <c r="DD283" s="89"/>
      <c r="DE283" s="89"/>
      <c r="DF283" s="89"/>
      <c r="DG283" s="89"/>
      <c r="DH283" s="89"/>
      <c r="DI283" s="89"/>
      <c r="DJ283" s="89"/>
      <c r="DK283" s="89"/>
      <c r="DL283" s="89"/>
      <c r="DM283" s="89"/>
      <c r="DN283" s="89"/>
      <c r="DO283" s="89"/>
      <c r="DP283" s="89"/>
      <c r="DQ283" s="89"/>
      <c r="DR283" s="89"/>
      <c r="DS283" s="89"/>
      <c r="DT283" s="89"/>
      <c r="DU283" s="89"/>
      <c r="DV283" s="89"/>
      <c r="DW283" s="89"/>
      <c r="DX283" s="89"/>
      <c r="DY283" s="89"/>
      <c r="DZ283" s="89"/>
      <c r="EA283" s="89"/>
      <c r="EB283" s="89"/>
      <c r="EC283" s="89"/>
      <c r="ED283" s="89"/>
      <c r="EE283" s="89"/>
      <c r="EF283" s="89"/>
      <c r="EG283" s="89"/>
      <c r="EH283" s="89"/>
      <c r="EI283" s="89"/>
      <c r="EJ283" s="89"/>
      <c r="EK283" s="89"/>
      <c r="EL283" s="89"/>
      <c r="EM283" s="89"/>
      <c r="EN283" s="89"/>
      <c r="EO283" s="89"/>
      <c r="EP283" s="89"/>
      <c r="EQ283" s="89"/>
      <c r="ER283" s="89"/>
      <c r="ES283" s="89"/>
      <c r="ET283" s="89"/>
      <c r="EU283" s="89"/>
      <c r="EV283" s="89"/>
      <c r="EW283" s="89"/>
      <c r="EX283" s="89"/>
      <c r="EY283" s="89"/>
      <c r="EZ283" s="89"/>
      <c r="FA283" s="89"/>
      <c r="FB283" s="89"/>
      <c r="FC283" s="89"/>
      <c r="FD283" s="89"/>
      <c r="FE283" s="89"/>
      <c r="FF283" s="89"/>
      <c r="FG283" s="89"/>
      <c r="FH283" s="89"/>
      <c r="FI283" s="89"/>
      <c r="FJ283" s="89"/>
      <c r="FK283" s="89"/>
      <c r="FL283" s="89"/>
      <c r="FM283" s="89"/>
      <c r="FN283" s="89"/>
      <c r="FO283" s="89"/>
      <c r="FP283" s="89"/>
      <c r="FQ283" s="89"/>
      <c r="FR283" s="89"/>
      <c r="FS283" s="89"/>
      <c r="FT283" s="89"/>
      <c r="FU283" s="89"/>
      <c r="FV283" s="89"/>
      <c r="FW283" s="89"/>
      <c r="FX283" s="89"/>
      <c r="FY283" s="89"/>
      <c r="FZ283" s="89"/>
      <c r="GA283" s="89"/>
      <c r="GB283" s="89"/>
      <c r="GC283" s="89"/>
      <c r="GD283" s="89"/>
      <c r="GE283" s="89"/>
      <c r="GF283" s="89"/>
      <c r="GG283" s="89"/>
      <c r="GH283" s="89"/>
      <c r="GI283" s="89"/>
      <c r="GJ283" s="89"/>
      <c r="GK283" s="89"/>
      <c r="GL283" s="89"/>
      <c r="GM283" s="89"/>
      <c r="GN283" s="89"/>
      <c r="GO283" s="89"/>
      <c r="GP283" s="89"/>
      <c r="GQ283" s="89"/>
      <c r="GR283" s="89"/>
      <c r="GS283" s="89"/>
      <c r="GT283" s="89"/>
      <c r="GU283" s="89"/>
      <c r="GV283" s="89"/>
      <c r="GW283" s="89"/>
      <c r="GX283" s="89"/>
      <c r="GY283" s="89"/>
      <c r="GZ283" s="89"/>
      <c r="HA283" s="89"/>
      <c r="HB283" s="89"/>
      <c r="HC283" s="89"/>
      <c r="HD283" s="89"/>
      <c r="HE283" s="89"/>
      <c r="HF283" s="89"/>
      <c r="HG283" s="89"/>
      <c r="HH283" s="89"/>
      <c r="HI283" s="89"/>
      <c r="HJ283" s="89"/>
      <c r="HK283" s="89"/>
      <c r="HL283" s="89"/>
      <c r="HM283" s="89"/>
      <c r="HN283" s="89"/>
      <c r="HO283" s="89"/>
      <c r="HP283" s="89"/>
      <c r="HQ283" s="89"/>
      <c r="HR283" s="89"/>
      <c r="HS283" s="89"/>
      <c r="HT283" s="89"/>
      <c r="HU283" s="89"/>
      <c r="HV283" s="89"/>
      <c r="HW283" s="89"/>
      <c r="HX283" s="89"/>
      <c r="HY283" s="89"/>
      <c r="HZ283" s="89"/>
      <c r="IA283" s="89"/>
      <c r="IB283" s="89"/>
      <c r="IC283" s="89"/>
      <c r="ID283" s="89"/>
      <c r="IE283" s="89"/>
      <c r="IF283" s="89"/>
      <c r="IG283" s="89"/>
      <c r="IH283" s="89"/>
      <c r="II283" s="89"/>
      <c r="IJ283" s="89"/>
      <c r="IK283" s="89"/>
      <c r="IL283" s="89"/>
      <c r="IM283" s="89"/>
      <c r="IN283" s="89"/>
      <c r="IO283" s="89"/>
      <c r="IP283" s="89"/>
      <c r="IQ283" s="89"/>
      <c r="IR283" s="89"/>
      <c r="IS283" s="89"/>
      <c r="IT283" s="89"/>
      <c r="IU283" s="89"/>
      <c r="IV283" s="89"/>
    </row>
    <row r="284" spans="1:256" s="90" customFormat="1" ht="17" customHeight="1" x14ac:dyDescent="0.15">
      <c r="A284" s="148"/>
      <c r="B284" s="145"/>
      <c r="C284" s="128"/>
      <c r="D284" s="154"/>
      <c r="E284" s="93"/>
      <c r="F284" s="99" t="s">
        <v>497</v>
      </c>
      <c r="G284" s="86" t="s">
        <v>67</v>
      </c>
      <c r="H284" s="86">
        <f t="shared" si="8"/>
        <v>5</v>
      </c>
      <c r="I284" s="86">
        <f>IF([1]项目总工作量!B$6="交易类",H284*1.5/22,IF([1]项目总工作量!B$6="数据分析类",H284*1.5*0.9/22,IF([1]项目总工作量!B$6="流程管理类",H284*1.5*0.8/22,IF([1]项目总工作量!B$6="渠道类",H284*1.5*0.7/22,FALSE))))</f>
        <v>0.34090909090909088</v>
      </c>
      <c r="J284" s="86" t="s">
        <v>44</v>
      </c>
      <c r="K284" s="89"/>
      <c r="L284" s="89"/>
      <c r="M284" s="89"/>
      <c r="N284" s="89"/>
      <c r="O284" s="89"/>
      <c r="P284" s="89"/>
      <c r="Q284" s="89"/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  <c r="AE284" s="89"/>
      <c r="AF284" s="89"/>
      <c r="AG284" s="89"/>
      <c r="AH284" s="89"/>
      <c r="AI284" s="89"/>
      <c r="AJ284" s="89"/>
      <c r="AK284" s="89"/>
      <c r="AL284" s="89"/>
      <c r="AM284" s="89"/>
      <c r="AN284" s="89"/>
      <c r="AO284" s="89"/>
      <c r="AP284" s="89"/>
      <c r="AQ284" s="89"/>
      <c r="AR284" s="89"/>
      <c r="AS284" s="89"/>
      <c r="AT284" s="89"/>
      <c r="AU284" s="89"/>
      <c r="AV284" s="89"/>
      <c r="AW284" s="89"/>
      <c r="AX284" s="89"/>
      <c r="AY284" s="89"/>
      <c r="AZ284" s="89"/>
      <c r="BA284" s="89"/>
      <c r="BB284" s="89"/>
      <c r="BC284" s="89"/>
      <c r="BD284" s="89"/>
      <c r="BE284" s="89"/>
      <c r="BF284" s="89"/>
      <c r="BG284" s="89"/>
      <c r="BH284" s="89"/>
      <c r="BI284" s="89"/>
      <c r="BJ284" s="89"/>
      <c r="BK284" s="89"/>
      <c r="BL284" s="89"/>
      <c r="BM284" s="89"/>
      <c r="BN284" s="89"/>
      <c r="BO284" s="89"/>
      <c r="BP284" s="89"/>
      <c r="BQ284" s="89"/>
      <c r="BR284" s="89"/>
      <c r="BS284" s="89"/>
      <c r="BT284" s="89"/>
      <c r="BU284" s="89"/>
      <c r="BV284" s="89"/>
      <c r="BW284" s="89"/>
      <c r="BX284" s="89"/>
      <c r="BY284" s="89"/>
      <c r="BZ284" s="89"/>
      <c r="CA284" s="89"/>
      <c r="CB284" s="89"/>
      <c r="CC284" s="89"/>
      <c r="CD284" s="89"/>
      <c r="CE284" s="89"/>
      <c r="CF284" s="89"/>
      <c r="CG284" s="89"/>
      <c r="CH284" s="89"/>
      <c r="CI284" s="89"/>
      <c r="CJ284" s="89"/>
      <c r="CK284" s="89"/>
      <c r="CL284" s="89"/>
      <c r="CM284" s="89"/>
      <c r="CN284" s="89"/>
      <c r="CO284" s="89"/>
      <c r="CP284" s="89"/>
      <c r="CQ284" s="89"/>
      <c r="CR284" s="89"/>
      <c r="CS284" s="89"/>
      <c r="CT284" s="89"/>
      <c r="CU284" s="89"/>
      <c r="CV284" s="89"/>
      <c r="CW284" s="89"/>
      <c r="CX284" s="89"/>
      <c r="CY284" s="89"/>
      <c r="CZ284" s="89"/>
      <c r="DA284" s="89"/>
      <c r="DB284" s="89"/>
      <c r="DC284" s="89"/>
      <c r="DD284" s="89"/>
      <c r="DE284" s="89"/>
      <c r="DF284" s="89"/>
      <c r="DG284" s="89"/>
      <c r="DH284" s="89"/>
      <c r="DI284" s="89"/>
      <c r="DJ284" s="89"/>
      <c r="DK284" s="89"/>
      <c r="DL284" s="89"/>
      <c r="DM284" s="89"/>
      <c r="DN284" s="89"/>
      <c r="DO284" s="89"/>
      <c r="DP284" s="89"/>
      <c r="DQ284" s="89"/>
      <c r="DR284" s="89"/>
      <c r="DS284" s="89"/>
      <c r="DT284" s="89"/>
      <c r="DU284" s="89"/>
      <c r="DV284" s="89"/>
      <c r="DW284" s="89"/>
      <c r="DX284" s="89"/>
      <c r="DY284" s="89"/>
      <c r="DZ284" s="89"/>
      <c r="EA284" s="89"/>
      <c r="EB284" s="89"/>
      <c r="EC284" s="89"/>
      <c r="ED284" s="89"/>
      <c r="EE284" s="89"/>
      <c r="EF284" s="89"/>
      <c r="EG284" s="89"/>
      <c r="EH284" s="89"/>
      <c r="EI284" s="89"/>
      <c r="EJ284" s="89"/>
      <c r="EK284" s="89"/>
      <c r="EL284" s="89"/>
      <c r="EM284" s="89"/>
      <c r="EN284" s="89"/>
      <c r="EO284" s="89"/>
      <c r="EP284" s="89"/>
      <c r="EQ284" s="89"/>
      <c r="ER284" s="89"/>
      <c r="ES284" s="89"/>
      <c r="ET284" s="89"/>
      <c r="EU284" s="89"/>
      <c r="EV284" s="89"/>
      <c r="EW284" s="89"/>
      <c r="EX284" s="89"/>
      <c r="EY284" s="89"/>
      <c r="EZ284" s="89"/>
      <c r="FA284" s="89"/>
      <c r="FB284" s="89"/>
      <c r="FC284" s="89"/>
      <c r="FD284" s="89"/>
      <c r="FE284" s="89"/>
      <c r="FF284" s="89"/>
      <c r="FG284" s="89"/>
      <c r="FH284" s="89"/>
      <c r="FI284" s="89"/>
      <c r="FJ284" s="89"/>
      <c r="FK284" s="89"/>
      <c r="FL284" s="89"/>
      <c r="FM284" s="89"/>
      <c r="FN284" s="89"/>
      <c r="FO284" s="89"/>
      <c r="FP284" s="89"/>
      <c r="FQ284" s="89"/>
      <c r="FR284" s="89"/>
      <c r="FS284" s="89"/>
      <c r="FT284" s="89"/>
      <c r="FU284" s="89"/>
      <c r="FV284" s="89"/>
      <c r="FW284" s="89"/>
      <c r="FX284" s="89"/>
      <c r="FY284" s="89"/>
      <c r="FZ284" s="89"/>
      <c r="GA284" s="89"/>
      <c r="GB284" s="89"/>
      <c r="GC284" s="89"/>
      <c r="GD284" s="89"/>
      <c r="GE284" s="89"/>
      <c r="GF284" s="89"/>
      <c r="GG284" s="89"/>
      <c r="GH284" s="89"/>
      <c r="GI284" s="89"/>
      <c r="GJ284" s="89"/>
      <c r="GK284" s="89"/>
      <c r="GL284" s="89"/>
      <c r="GM284" s="89"/>
      <c r="GN284" s="89"/>
      <c r="GO284" s="89"/>
      <c r="GP284" s="89"/>
      <c r="GQ284" s="89"/>
      <c r="GR284" s="89"/>
      <c r="GS284" s="89"/>
      <c r="GT284" s="89"/>
      <c r="GU284" s="89"/>
      <c r="GV284" s="89"/>
      <c r="GW284" s="89"/>
      <c r="GX284" s="89"/>
      <c r="GY284" s="89"/>
      <c r="GZ284" s="89"/>
      <c r="HA284" s="89"/>
      <c r="HB284" s="89"/>
      <c r="HC284" s="89"/>
      <c r="HD284" s="89"/>
      <c r="HE284" s="89"/>
      <c r="HF284" s="89"/>
      <c r="HG284" s="89"/>
      <c r="HH284" s="89"/>
      <c r="HI284" s="89"/>
      <c r="HJ284" s="89"/>
      <c r="HK284" s="89"/>
      <c r="HL284" s="89"/>
      <c r="HM284" s="89"/>
      <c r="HN284" s="89"/>
      <c r="HO284" s="89"/>
      <c r="HP284" s="89"/>
      <c r="HQ284" s="89"/>
      <c r="HR284" s="89"/>
      <c r="HS284" s="89"/>
      <c r="HT284" s="89"/>
      <c r="HU284" s="89"/>
      <c r="HV284" s="89"/>
      <c r="HW284" s="89"/>
      <c r="HX284" s="89"/>
      <c r="HY284" s="89"/>
      <c r="HZ284" s="89"/>
      <c r="IA284" s="89"/>
      <c r="IB284" s="89"/>
      <c r="IC284" s="89"/>
      <c r="ID284" s="89"/>
      <c r="IE284" s="89"/>
      <c r="IF284" s="89"/>
      <c r="IG284" s="89"/>
      <c r="IH284" s="89"/>
      <c r="II284" s="89"/>
      <c r="IJ284" s="89"/>
      <c r="IK284" s="89"/>
      <c r="IL284" s="89"/>
      <c r="IM284" s="89"/>
      <c r="IN284" s="89"/>
      <c r="IO284" s="89"/>
      <c r="IP284" s="89"/>
      <c r="IQ284" s="89"/>
      <c r="IR284" s="89"/>
      <c r="IS284" s="89"/>
      <c r="IT284" s="89"/>
      <c r="IU284" s="89"/>
      <c r="IV284" s="89"/>
    </row>
    <row r="285" spans="1:256" s="90" customFormat="1" ht="17" customHeight="1" x14ac:dyDescent="0.15">
      <c r="A285" s="148"/>
      <c r="B285" s="145"/>
      <c r="C285" s="128"/>
      <c r="D285" s="154"/>
      <c r="E285" s="93"/>
      <c r="F285" s="99" t="s">
        <v>498</v>
      </c>
      <c r="G285" s="86" t="s">
        <v>67</v>
      </c>
      <c r="H285" s="86">
        <f t="shared" si="8"/>
        <v>5</v>
      </c>
      <c r="I285" s="86">
        <f>IF([1]项目总工作量!B$6="交易类",H285*1.5/22,IF([1]项目总工作量!B$6="数据分析类",H285*1.5*0.9/22,IF([1]项目总工作量!B$6="流程管理类",H285*1.5*0.8/22,IF([1]项目总工作量!B$6="渠道类",H285*1.5*0.7/22,FALSE))))</f>
        <v>0.34090909090909088</v>
      </c>
      <c r="J285" s="86" t="s">
        <v>44</v>
      </c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89"/>
      <c r="AI285" s="89"/>
      <c r="AJ285" s="89"/>
      <c r="AK285" s="89"/>
      <c r="AL285" s="89"/>
      <c r="AM285" s="89"/>
      <c r="AN285" s="89"/>
      <c r="AO285" s="89"/>
      <c r="AP285" s="89"/>
      <c r="AQ285" s="89"/>
      <c r="AR285" s="89"/>
      <c r="AS285" s="89"/>
      <c r="AT285" s="89"/>
      <c r="AU285" s="89"/>
      <c r="AV285" s="89"/>
      <c r="AW285" s="89"/>
      <c r="AX285" s="89"/>
      <c r="AY285" s="89"/>
      <c r="AZ285" s="89"/>
      <c r="BA285" s="89"/>
      <c r="BB285" s="89"/>
      <c r="BC285" s="89"/>
      <c r="BD285" s="89"/>
      <c r="BE285" s="89"/>
      <c r="BF285" s="89"/>
      <c r="BG285" s="89"/>
      <c r="BH285" s="89"/>
      <c r="BI285" s="89"/>
      <c r="BJ285" s="89"/>
      <c r="BK285" s="89"/>
      <c r="BL285" s="89"/>
      <c r="BM285" s="89"/>
      <c r="BN285" s="89"/>
      <c r="BO285" s="89"/>
      <c r="BP285" s="89"/>
      <c r="BQ285" s="89"/>
      <c r="BR285" s="89"/>
      <c r="BS285" s="89"/>
      <c r="BT285" s="89"/>
      <c r="BU285" s="89"/>
      <c r="BV285" s="89"/>
      <c r="BW285" s="89"/>
      <c r="BX285" s="89"/>
      <c r="BY285" s="89"/>
      <c r="BZ285" s="89"/>
      <c r="CA285" s="89"/>
      <c r="CB285" s="89"/>
      <c r="CC285" s="89"/>
      <c r="CD285" s="89"/>
      <c r="CE285" s="89"/>
      <c r="CF285" s="89"/>
      <c r="CG285" s="89"/>
      <c r="CH285" s="89"/>
      <c r="CI285" s="89"/>
      <c r="CJ285" s="89"/>
      <c r="CK285" s="89"/>
      <c r="CL285" s="89"/>
      <c r="CM285" s="89"/>
      <c r="CN285" s="89"/>
      <c r="CO285" s="89"/>
      <c r="CP285" s="89"/>
      <c r="CQ285" s="89"/>
      <c r="CR285" s="89"/>
      <c r="CS285" s="89"/>
      <c r="CT285" s="89"/>
      <c r="CU285" s="89"/>
      <c r="CV285" s="89"/>
      <c r="CW285" s="89"/>
      <c r="CX285" s="89"/>
      <c r="CY285" s="89"/>
      <c r="CZ285" s="89"/>
      <c r="DA285" s="89"/>
      <c r="DB285" s="89"/>
      <c r="DC285" s="89"/>
      <c r="DD285" s="89"/>
      <c r="DE285" s="89"/>
      <c r="DF285" s="89"/>
      <c r="DG285" s="89"/>
      <c r="DH285" s="89"/>
      <c r="DI285" s="89"/>
      <c r="DJ285" s="89"/>
      <c r="DK285" s="89"/>
      <c r="DL285" s="89"/>
      <c r="DM285" s="89"/>
      <c r="DN285" s="89"/>
      <c r="DO285" s="89"/>
      <c r="DP285" s="89"/>
      <c r="DQ285" s="89"/>
      <c r="DR285" s="89"/>
      <c r="DS285" s="89"/>
      <c r="DT285" s="89"/>
      <c r="DU285" s="89"/>
      <c r="DV285" s="89"/>
      <c r="DW285" s="89"/>
      <c r="DX285" s="89"/>
      <c r="DY285" s="89"/>
      <c r="DZ285" s="89"/>
      <c r="EA285" s="89"/>
      <c r="EB285" s="89"/>
      <c r="EC285" s="89"/>
      <c r="ED285" s="89"/>
      <c r="EE285" s="89"/>
      <c r="EF285" s="89"/>
      <c r="EG285" s="89"/>
      <c r="EH285" s="89"/>
      <c r="EI285" s="89"/>
      <c r="EJ285" s="89"/>
      <c r="EK285" s="89"/>
      <c r="EL285" s="89"/>
      <c r="EM285" s="89"/>
      <c r="EN285" s="89"/>
      <c r="EO285" s="89"/>
      <c r="EP285" s="89"/>
      <c r="EQ285" s="89"/>
      <c r="ER285" s="89"/>
      <c r="ES285" s="89"/>
      <c r="ET285" s="89"/>
      <c r="EU285" s="89"/>
      <c r="EV285" s="89"/>
      <c r="EW285" s="89"/>
      <c r="EX285" s="89"/>
      <c r="EY285" s="89"/>
      <c r="EZ285" s="89"/>
      <c r="FA285" s="89"/>
      <c r="FB285" s="89"/>
      <c r="FC285" s="89"/>
      <c r="FD285" s="89"/>
      <c r="FE285" s="89"/>
      <c r="FF285" s="89"/>
      <c r="FG285" s="89"/>
      <c r="FH285" s="89"/>
      <c r="FI285" s="89"/>
      <c r="FJ285" s="89"/>
      <c r="FK285" s="89"/>
      <c r="FL285" s="89"/>
      <c r="FM285" s="89"/>
      <c r="FN285" s="89"/>
      <c r="FO285" s="89"/>
      <c r="FP285" s="89"/>
      <c r="FQ285" s="89"/>
      <c r="FR285" s="89"/>
      <c r="FS285" s="89"/>
      <c r="FT285" s="89"/>
      <c r="FU285" s="89"/>
      <c r="FV285" s="89"/>
      <c r="FW285" s="89"/>
      <c r="FX285" s="89"/>
      <c r="FY285" s="89"/>
      <c r="FZ285" s="89"/>
      <c r="GA285" s="89"/>
      <c r="GB285" s="89"/>
      <c r="GC285" s="89"/>
      <c r="GD285" s="89"/>
      <c r="GE285" s="89"/>
      <c r="GF285" s="89"/>
      <c r="GG285" s="89"/>
      <c r="GH285" s="89"/>
      <c r="GI285" s="89"/>
      <c r="GJ285" s="89"/>
      <c r="GK285" s="89"/>
      <c r="GL285" s="89"/>
      <c r="GM285" s="89"/>
      <c r="GN285" s="89"/>
      <c r="GO285" s="89"/>
      <c r="GP285" s="89"/>
      <c r="GQ285" s="89"/>
      <c r="GR285" s="89"/>
      <c r="GS285" s="89"/>
      <c r="GT285" s="89"/>
      <c r="GU285" s="89"/>
      <c r="GV285" s="89"/>
      <c r="GW285" s="89"/>
      <c r="GX285" s="89"/>
      <c r="GY285" s="89"/>
      <c r="GZ285" s="89"/>
      <c r="HA285" s="89"/>
      <c r="HB285" s="89"/>
      <c r="HC285" s="89"/>
      <c r="HD285" s="89"/>
      <c r="HE285" s="89"/>
      <c r="HF285" s="89"/>
      <c r="HG285" s="89"/>
      <c r="HH285" s="89"/>
      <c r="HI285" s="89"/>
      <c r="HJ285" s="89"/>
      <c r="HK285" s="89"/>
      <c r="HL285" s="89"/>
      <c r="HM285" s="89"/>
      <c r="HN285" s="89"/>
      <c r="HO285" s="89"/>
      <c r="HP285" s="89"/>
      <c r="HQ285" s="89"/>
      <c r="HR285" s="89"/>
      <c r="HS285" s="89"/>
      <c r="HT285" s="89"/>
      <c r="HU285" s="89"/>
      <c r="HV285" s="89"/>
      <c r="HW285" s="89"/>
      <c r="HX285" s="89"/>
      <c r="HY285" s="89"/>
      <c r="HZ285" s="89"/>
      <c r="IA285" s="89"/>
      <c r="IB285" s="89"/>
      <c r="IC285" s="89"/>
      <c r="ID285" s="89"/>
      <c r="IE285" s="89"/>
      <c r="IF285" s="89"/>
      <c r="IG285" s="89"/>
      <c r="IH285" s="89"/>
      <c r="II285" s="89"/>
      <c r="IJ285" s="89"/>
      <c r="IK285" s="89"/>
      <c r="IL285" s="89"/>
      <c r="IM285" s="89"/>
      <c r="IN285" s="89"/>
      <c r="IO285" s="89"/>
      <c r="IP285" s="89"/>
      <c r="IQ285" s="89"/>
      <c r="IR285" s="89"/>
      <c r="IS285" s="89"/>
      <c r="IT285" s="89"/>
      <c r="IU285" s="89"/>
      <c r="IV285" s="89"/>
    </row>
    <row r="286" spans="1:256" s="90" customFormat="1" ht="17" customHeight="1" x14ac:dyDescent="0.15">
      <c r="A286" s="148"/>
      <c r="B286" s="145"/>
      <c r="C286" s="128"/>
      <c r="D286" s="154"/>
      <c r="E286" s="93"/>
      <c r="F286" s="99" t="s">
        <v>499</v>
      </c>
      <c r="G286" s="86" t="s">
        <v>67</v>
      </c>
      <c r="H286" s="86">
        <f t="shared" si="8"/>
        <v>5</v>
      </c>
      <c r="I286" s="86">
        <f>IF([1]项目总工作量!B$6="交易类",H286*1.5/22,IF([1]项目总工作量!B$6="数据分析类",H286*1.5*0.9/22,IF([1]项目总工作量!B$6="流程管理类",H286*1.5*0.8/22,IF([1]项目总工作量!B$6="渠道类",H286*1.5*0.7/22,FALSE))))</f>
        <v>0.34090909090909088</v>
      </c>
      <c r="J286" s="86" t="s">
        <v>44</v>
      </c>
      <c r="K286" s="89"/>
      <c r="L286" s="89"/>
      <c r="M286" s="89"/>
      <c r="N286" s="89"/>
      <c r="O286" s="89"/>
      <c r="P286" s="89"/>
      <c r="Q286" s="89"/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  <c r="AE286" s="89"/>
      <c r="AF286" s="89"/>
      <c r="AG286" s="89"/>
      <c r="AH286" s="89"/>
      <c r="AI286" s="89"/>
      <c r="AJ286" s="89"/>
      <c r="AK286" s="89"/>
      <c r="AL286" s="89"/>
      <c r="AM286" s="89"/>
      <c r="AN286" s="89"/>
      <c r="AO286" s="89"/>
      <c r="AP286" s="89"/>
      <c r="AQ286" s="89"/>
      <c r="AR286" s="89"/>
      <c r="AS286" s="89"/>
      <c r="AT286" s="89"/>
      <c r="AU286" s="89"/>
      <c r="AV286" s="89"/>
      <c r="AW286" s="89"/>
      <c r="AX286" s="89"/>
      <c r="AY286" s="89"/>
      <c r="AZ286" s="89"/>
      <c r="BA286" s="89"/>
      <c r="BB286" s="89"/>
      <c r="BC286" s="89"/>
      <c r="BD286" s="89"/>
      <c r="BE286" s="89"/>
      <c r="BF286" s="89"/>
      <c r="BG286" s="89"/>
      <c r="BH286" s="89"/>
      <c r="BI286" s="89"/>
      <c r="BJ286" s="89"/>
      <c r="BK286" s="89"/>
      <c r="BL286" s="89"/>
      <c r="BM286" s="89"/>
      <c r="BN286" s="89"/>
      <c r="BO286" s="89"/>
      <c r="BP286" s="89"/>
      <c r="BQ286" s="89"/>
      <c r="BR286" s="89"/>
      <c r="BS286" s="89"/>
      <c r="BT286" s="89"/>
      <c r="BU286" s="89"/>
      <c r="BV286" s="89"/>
      <c r="BW286" s="89"/>
      <c r="BX286" s="89"/>
      <c r="BY286" s="89"/>
      <c r="BZ286" s="89"/>
      <c r="CA286" s="89"/>
      <c r="CB286" s="89"/>
      <c r="CC286" s="89"/>
      <c r="CD286" s="89"/>
      <c r="CE286" s="89"/>
      <c r="CF286" s="89"/>
      <c r="CG286" s="89"/>
      <c r="CH286" s="89"/>
      <c r="CI286" s="89"/>
      <c r="CJ286" s="89"/>
      <c r="CK286" s="89"/>
      <c r="CL286" s="89"/>
      <c r="CM286" s="89"/>
      <c r="CN286" s="89"/>
      <c r="CO286" s="89"/>
      <c r="CP286" s="89"/>
      <c r="CQ286" s="89"/>
      <c r="CR286" s="89"/>
      <c r="CS286" s="89"/>
      <c r="CT286" s="89"/>
      <c r="CU286" s="89"/>
      <c r="CV286" s="89"/>
      <c r="CW286" s="89"/>
      <c r="CX286" s="89"/>
      <c r="CY286" s="89"/>
      <c r="CZ286" s="89"/>
      <c r="DA286" s="89"/>
      <c r="DB286" s="89"/>
      <c r="DC286" s="89"/>
      <c r="DD286" s="89"/>
      <c r="DE286" s="89"/>
      <c r="DF286" s="89"/>
      <c r="DG286" s="89"/>
      <c r="DH286" s="89"/>
      <c r="DI286" s="89"/>
      <c r="DJ286" s="89"/>
      <c r="DK286" s="89"/>
      <c r="DL286" s="89"/>
      <c r="DM286" s="89"/>
      <c r="DN286" s="89"/>
      <c r="DO286" s="89"/>
      <c r="DP286" s="89"/>
      <c r="DQ286" s="89"/>
      <c r="DR286" s="89"/>
      <c r="DS286" s="89"/>
      <c r="DT286" s="89"/>
      <c r="DU286" s="89"/>
      <c r="DV286" s="89"/>
      <c r="DW286" s="89"/>
      <c r="DX286" s="89"/>
      <c r="DY286" s="89"/>
      <c r="DZ286" s="89"/>
      <c r="EA286" s="89"/>
      <c r="EB286" s="89"/>
      <c r="EC286" s="89"/>
      <c r="ED286" s="89"/>
      <c r="EE286" s="89"/>
      <c r="EF286" s="89"/>
      <c r="EG286" s="89"/>
      <c r="EH286" s="89"/>
      <c r="EI286" s="89"/>
      <c r="EJ286" s="89"/>
      <c r="EK286" s="89"/>
      <c r="EL286" s="89"/>
      <c r="EM286" s="89"/>
      <c r="EN286" s="89"/>
      <c r="EO286" s="89"/>
      <c r="EP286" s="89"/>
      <c r="EQ286" s="89"/>
      <c r="ER286" s="89"/>
      <c r="ES286" s="89"/>
      <c r="ET286" s="89"/>
      <c r="EU286" s="89"/>
      <c r="EV286" s="89"/>
      <c r="EW286" s="89"/>
      <c r="EX286" s="89"/>
      <c r="EY286" s="89"/>
      <c r="EZ286" s="89"/>
      <c r="FA286" s="89"/>
      <c r="FB286" s="89"/>
      <c r="FC286" s="89"/>
      <c r="FD286" s="89"/>
      <c r="FE286" s="89"/>
      <c r="FF286" s="89"/>
      <c r="FG286" s="89"/>
      <c r="FH286" s="89"/>
      <c r="FI286" s="89"/>
      <c r="FJ286" s="89"/>
      <c r="FK286" s="89"/>
      <c r="FL286" s="89"/>
      <c r="FM286" s="89"/>
      <c r="FN286" s="89"/>
      <c r="FO286" s="89"/>
      <c r="FP286" s="89"/>
      <c r="FQ286" s="89"/>
      <c r="FR286" s="89"/>
      <c r="FS286" s="89"/>
      <c r="FT286" s="89"/>
      <c r="FU286" s="89"/>
      <c r="FV286" s="89"/>
      <c r="FW286" s="89"/>
      <c r="FX286" s="89"/>
      <c r="FY286" s="89"/>
      <c r="FZ286" s="89"/>
      <c r="GA286" s="89"/>
      <c r="GB286" s="89"/>
      <c r="GC286" s="89"/>
      <c r="GD286" s="89"/>
      <c r="GE286" s="89"/>
      <c r="GF286" s="89"/>
      <c r="GG286" s="89"/>
      <c r="GH286" s="89"/>
      <c r="GI286" s="89"/>
      <c r="GJ286" s="89"/>
      <c r="GK286" s="89"/>
      <c r="GL286" s="89"/>
      <c r="GM286" s="89"/>
      <c r="GN286" s="89"/>
      <c r="GO286" s="89"/>
      <c r="GP286" s="89"/>
      <c r="GQ286" s="89"/>
      <c r="GR286" s="89"/>
      <c r="GS286" s="89"/>
      <c r="GT286" s="89"/>
      <c r="GU286" s="89"/>
      <c r="GV286" s="89"/>
      <c r="GW286" s="89"/>
      <c r="GX286" s="89"/>
      <c r="GY286" s="89"/>
      <c r="GZ286" s="89"/>
      <c r="HA286" s="89"/>
      <c r="HB286" s="89"/>
      <c r="HC286" s="89"/>
      <c r="HD286" s="89"/>
      <c r="HE286" s="89"/>
      <c r="HF286" s="89"/>
      <c r="HG286" s="89"/>
      <c r="HH286" s="89"/>
      <c r="HI286" s="89"/>
      <c r="HJ286" s="89"/>
      <c r="HK286" s="89"/>
      <c r="HL286" s="89"/>
      <c r="HM286" s="89"/>
      <c r="HN286" s="89"/>
      <c r="HO286" s="89"/>
      <c r="HP286" s="89"/>
      <c r="HQ286" s="89"/>
      <c r="HR286" s="89"/>
      <c r="HS286" s="89"/>
      <c r="HT286" s="89"/>
      <c r="HU286" s="89"/>
      <c r="HV286" s="89"/>
      <c r="HW286" s="89"/>
      <c r="HX286" s="89"/>
      <c r="HY286" s="89"/>
      <c r="HZ286" s="89"/>
      <c r="IA286" s="89"/>
      <c r="IB286" s="89"/>
      <c r="IC286" s="89"/>
      <c r="ID286" s="89"/>
      <c r="IE286" s="89"/>
      <c r="IF286" s="89"/>
      <c r="IG286" s="89"/>
      <c r="IH286" s="89"/>
      <c r="II286" s="89"/>
      <c r="IJ286" s="89"/>
      <c r="IK286" s="89"/>
      <c r="IL286" s="89"/>
      <c r="IM286" s="89"/>
      <c r="IN286" s="89"/>
      <c r="IO286" s="89"/>
      <c r="IP286" s="89"/>
      <c r="IQ286" s="89"/>
      <c r="IR286" s="89"/>
      <c r="IS286" s="89"/>
      <c r="IT286" s="89"/>
      <c r="IU286" s="89"/>
      <c r="IV286" s="89"/>
    </row>
    <row r="287" spans="1:256" s="90" customFormat="1" ht="17" customHeight="1" x14ac:dyDescent="0.15">
      <c r="A287" s="148"/>
      <c r="B287" s="145"/>
      <c r="C287" s="128"/>
      <c r="D287" s="154"/>
      <c r="E287" s="93"/>
      <c r="F287" s="99" t="s">
        <v>511</v>
      </c>
      <c r="G287" s="86" t="s">
        <v>67</v>
      </c>
      <c r="H287" s="86">
        <f t="shared" si="8"/>
        <v>5</v>
      </c>
      <c r="I287" s="86">
        <f>IF([1]项目总工作量!B$6="交易类",H287*1.5/22,IF([1]项目总工作量!B$6="数据分析类",H287*1.5*0.9/22,IF([1]项目总工作量!B$6="流程管理类",H287*1.5*0.8/22,IF([1]项目总工作量!B$6="渠道类",H287*1.5*0.7/22,FALSE))))</f>
        <v>0.34090909090909088</v>
      </c>
      <c r="J287" s="86" t="s">
        <v>44</v>
      </c>
      <c r="K287" s="89"/>
      <c r="L287" s="89"/>
      <c r="M287" s="89"/>
      <c r="N287" s="89"/>
      <c r="O287" s="89"/>
      <c r="P287" s="89"/>
      <c r="Q287" s="89"/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  <c r="AE287" s="89"/>
      <c r="AF287" s="89"/>
      <c r="AG287" s="89"/>
      <c r="AH287" s="89"/>
      <c r="AI287" s="89"/>
      <c r="AJ287" s="89"/>
      <c r="AK287" s="89"/>
      <c r="AL287" s="89"/>
      <c r="AM287" s="89"/>
      <c r="AN287" s="89"/>
      <c r="AO287" s="89"/>
      <c r="AP287" s="89"/>
      <c r="AQ287" s="89"/>
      <c r="AR287" s="89"/>
      <c r="AS287" s="89"/>
      <c r="AT287" s="89"/>
      <c r="AU287" s="89"/>
      <c r="AV287" s="89"/>
      <c r="AW287" s="89"/>
      <c r="AX287" s="89"/>
      <c r="AY287" s="89"/>
      <c r="AZ287" s="89"/>
      <c r="BA287" s="89"/>
      <c r="BB287" s="89"/>
      <c r="BC287" s="89"/>
      <c r="BD287" s="89"/>
      <c r="BE287" s="89"/>
      <c r="BF287" s="89"/>
      <c r="BG287" s="89"/>
      <c r="BH287" s="89"/>
      <c r="BI287" s="89"/>
      <c r="BJ287" s="89"/>
      <c r="BK287" s="89"/>
      <c r="BL287" s="89"/>
      <c r="BM287" s="89"/>
      <c r="BN287" s="89"/>
      <c r="BO287" s="89"/>
      <c r="BP287" s="89"/>
      <c r="BQ287" s="89"/>
      <c r="BR287" s="89"/>
      <c r="BS287" s="89"/>
      <c r="BT287" s="89"/>
      <c r="BU287" s="89"/>
      <c r="BV287" s="89"/>
      <c r="BW287" s="89"/>
      <c r="BX287" s="89"/>
      <c r="BY287" s="89"/>
      <c r="BZ287" s="89"/>
      <c r="CA287" s="89"/>
      <c r="CB287" s="89"/>
      <c r="CC287" s="89"/>
      <c r="CD287" s="89"/>
      <c r="CE287" s="89"/>
      <c r="CF287" s="89"/>
      <c r="CG287" s="89"/>
      <c r="CH287" s="89"/>
      <c r="CI287" s="89"/>
      <c r="CJ287" s="89"/>
      <c r="CK287" s="89"/>
      <c r="CL287" s="89"/>
      <c r="CM287" s="89"/>
      <c r="CN287" s="89"/>
      <c r="CO287" s="89"/>
      <c r="CP287" s="89"/>
      <c r="CQ287" s="89"/>
      <c r="CR287" s="89"/>
      <c r="CS287" s="89"/>
      <c r="CT287" s="89"/>
      <c r="CU287" s="89"/>
      <c r="CV287" s="89"/>
      <c r="CW287" s="89"/>
      <c r="CX287" s="89"/>
      <c r="CY287" s="89"/>
      <c r="CZ287" s="89"/>
      <c r="DA287" s="89"/>
      <c r="DB287" s="89"/>
      <c r="DC287" s="89"/>
      <c r="DD287" s="89"/>
      <c r="DE287" s="89"/>
      <c r="DF287" s="89"/>
      <c r="DG287" s="89"/>
      <c r="DH287" s="89"/>
      <c r="DI287" s="89"/>
      <c r="DJ287" s="89"/>
      <c r="DK287" s="89"/>
      <c r="DL287" s="89"/>
      <c r="DM287" s="89"/>
      <c r="DN287" s="89"/>
      <c r="DO287" s="89"/>
      <c r="DP287" s="89"/>
      <c r="DQ287" s="89"/>
      <c r="DR287" s="89"/>
      <c r="DS287" s="89"/>
      <c r="DT287" s="89"/>
      <c r="DU287" s="89"/>
      <c r="DV287" s="89"/>
      <c r="DW287" s="89"/>
      <c r="DX287" s="89"/>
      <c r="DY287" s="89"/>
      <c r="DZ287" s="89"/>
      <c r="EA287" s="89"/>
      <c r="EB287" s="89"/>
      <c r="EC287" s="89"/>
      <c r="ED287" s="89"/>
      <c r="EE287" s="89"/>
      <c r="EF287" s="89"/>
      <c r="EG287" s="89"/>
      <c r="EH287" s="89"/>
      <c r="EI287" s="89"/>
      <c r="EJ287" s="89"/>
      <c r="EK287" s="89"/>
      <c r="EL287" s="89"/>
      <c r="EM287" s="89"/>
      <c r="EN287" s="89"/>
      <c r="EO287" s="89"/>
      <c r="EP287" s="89"/>
      <c r="EQ287" s="89"/>
      <c r="ER287" s="89"/>
      <c r="ES287" s="89"/>
      <c r="ET287" s="89"/>
      <c r="EU287" s="89"/>
      <c r="EV287" s="89"/>
      <c r="EW287" s="89"/>
      <c r="EX287" s="89"/>
      <c r="EY287" s="89"/>
      <c r="EZ287" s="89"/>
      <c r="FA287" s="89"/>
      <c r="FB287" s="89"/>
      <c r="FC287" s="89"/>
      <c r="FD287" s="89"/>
      <c r="FE287" s="89"/>
      <c r="FF287" s="89"/>
      <c r="FG287" s="89"/>
      <c r="FH287" s="89"/>
      <c r="FI287" s="89"/>
      <c r="FJ287" s="89"/>
      <c r="FK287" s="89"/>
      <c r="FL287" s="89"/>
      <c r="FM287" s="89"/>
      <c r="FN287" s="89"/>
      <c r="FO287" s="89"/>
      <c r="FP287" s="89"/>
      <c r="FQ287" s="89"/>
      <c r="FR287" s="89"/>
      <c r="FS287" s="89"/>
      <c r="FT287" s="89"/>
      <c r="FU287" s="89"/>
      <c r="FV287" s="89"/>
      <c r="FW287" s="89"/>
      <c r="FX287" s="89"/>
      <c r="FY287" s="89"/>
      <c r="FZ287" s="89"/>
      <c r="GA287" s="89"/>
      <c r="GB287" s="89"/>
      <c r="GC287" s="89"/>
      <c r="GD287" s="89"/>
      <c r="GE287" s="89"/>
      <c r="GF287" s="89"/>
      <c r="GG287" s="89"/>
      <c r="GH287" s="89"/>
      <c r="GI287" s="89"/>
      <c r="GJ287" s="89"/>
      <c r="GK287" s="89"/>
      <c r="GL287" s="89"/>
      <c r="GM287" s="89"/>
      <c r="GN287" s="89"/>
      <c r="GO287" s="89"/>
      <c r="GP287" s="89"/>
      <c r="GQ287" s="89"/>
      <c r="GR287" s="89"/>
      <c r="GS287" s="89"/>
      <c r="GT287" s="89"/>
      <c r="GU287" s="89"/>
      <c r="GV287" s="89"/>
      <c r="GW287" s="89"/>
      <c r="GX287" s="89"/>
      <c r="GY287" s="89"/>
      <c r="GZ287" s="89"/>
      <c r="HA287" s="89"/>
      <c r="HB287" s="89"/>
      <c r="HC287" s="89"/>
      <c r="HD287" s="89"/>
      <c r="HE287" s="89"/>
      <c r="HF287" s="89"/>
      <c r="HG287" s="89"/>
      <c r="HH287" s="89"/>
      <c r="HI287" s="89"/>
      <c r="HJ287" s="89"/>
      <c r="HK287" s="89"/>
      <c r="HL287" s="89"/>
      <c r="HM287" s="89"/>
      <c r="HN287" s="89"/>
      <c r="HO287" s="89"/>
      <c r="HP287" s="89"/>
      <c r="HQ287" s="89"/>
      <c r="HR287" s="89"/>
      <c r="HS287" s="89"/>
      <c r="HT287" s="89"/>
      <c r="HU287" s="89"/>
      <c r="HV287" s="89"/>
      <c r="HW287" s="89"/>
      <c r="HX287" s="89"/>
      <c r="HY287" s="89"/>
      <c r="HZ287" s="89"/>
      <c r="IA287" s="89"/>
      <c r="IB287" s="89"/>
      <c r="IC287" s="89"/>
      <c r="ID287" s="89"/>
      <c r="IE287" s="89"/>
      <c r="IF287" s="89"/>
      <c r="IG287" s="89"/>
      <c r="IH287" s="89"/>
      <c r="II287" s="89"/>
      <c r="IJ287" s="89"/>
      <c r="IK287" s="89"/>
      <c r="IL287" s="89"/>
      <c r="IM287" s="89"/>
      <c r="IN287" s="89"/>
      <c r="IO287" s="89"/>
      <c r="IP287" s="89"/>
      <c r="IQ287" s="89"/>
      <c r="IR287" s="89"/>
      <c r="IS287" s="89"/>
      <c r="IT287" s="89"/>
      <c r="IU287" s="89"/>
      <c r="IV287" s="89"/>
    </row>
    <row r="288" spans="1:256" s="90" customFormat="1" ht="17" customHeight="1" x14ac:dyDescent="0.15">
      <c r="A288" s="148"/>
      <c r="B288" s="145"/>
      <c r="C288" s="128"/>
      <c r="D288" s="154"/>
      <c r="E288" s="93"/>
      <c r="F288" s="99" t="s">
        <v>512</v>
      </c>
      <c r="G288" s="86" t="s">
        <v>67</v>
      </c>
      <c r="H288" s="86">
        <f t="shared" si="8"/>
        <v>5</v>
      </c>
      <c r="I288" s="86">
        <f>IF([1]项目总工作量!B$6="交易类",H288*1.5/22,IF([1]项目总工作量!B$6="数据分析类",H288*1.5*0.9/22,IF([1]项目总工作量!B$6="流程管理类",H288*1.5*0.8/22,IF([1]项目总工作量!B$6="渠道类",H288*1.5*0.7/22,FALSE))))</f>
        <v>0.34090909090909088</v>
      </c>
      <c r="J288" s="86" t="s">
        <v>44</v>
      </c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89"/>
      <c r="AK288" s="89"/>
      <c r="AL288" s="89"/>
      <c r="AM288" s="89"/>
      <c r="AN288" s="89"/>
      <c r="AO288" s="89"/>
      <c r="AP288" s="89"/>
      <c r="AQ288" s="89"/>
      <c r="AR288" s="89"/>
      <c r="AS288" s="89"/>
      <c r="AT288" s="89"/>
      <c r="AU288" s="89"/>
      <c r="AV288" s="89"/>
      <c r="AW288" s="89"/>
      <c r="AX288" s="89"/>
      <c r="AY288" s="89"/>
      <c r="AZ288" s="89"/>
      <c r="BA288" s="89"/>
      <c r="BB288" s="89"/>
      <c r="BC288" s="89"/>
      <c r="BD288" s="89"/>
      <c r="BE288" s="89"/>
      <c r="BF288" s="89"/>
      <c r="BG288" s="89"/>
      <c r="BH288" s="89"/>
      <c r="BI288" s="89"/>
      <c r="BJ288" s="89"/>
      <c r="BK288" s="89"/>
      <c r="BL288" s="89"/>
      <c r="BM288" s="89"/>
      <c r="BN288" s="89"/>
      <c r="BO288" s="89"/>
      <c r="BP288" s="89"/>
      <c r="BQ288" s="89"/>
      <c r="BR288" s="89"/>
      <c r="BS288" s="89"/>
      <c r="BT288" s="89"/>
      <c r="BU288" s="89"/>
      <c r="BV288" s="89"/>
      <c r="BW288" s="89"/>
      <c r="BX288" s="89"/>
      <c r="BY288" s="89"/>
      <c r="BZ288" s="89"/>
      <c r="CA288" s="89"/>
      <c r="CB288" s="89"/>
      <c r="CC288" s="89"/>
      <c r="CD288" s="89"/>
      <c r="CE288" s="89"/>
      <c r="CF288" s="89"/>
      <c r="CG288" s="89"/>
      <c r="CH288" s="89"/>
      <c r="CI288" s="89"/>
      <c r="CJ288" s="89"/>
      <c r="CK288" s="89"/>
      <c r="CL288" s="89"/>
      <c r="CM288" s="89"/>
      <c r="CN288" s="89"/>
      <c r="CO288" s="89"/>
      <c r="CP288" s="89"/>
      <c r="CQ288" s="89"/>
      <c r="CR288" s="89"/>
      <c r="CS288" s="89"/>
      <c r="CT288" s="89"/>
      <c r="CU288" s="89"/>
      <c r="CV288" s="89"/>
      <c r="CW288" s="89"/>
      <c r="CX288" s="89"/>
      <c r="CY288" s="89"/>
      <c r="CZ288" s="89"/>
      <c r="DA288" s="89"/>
      <c r="DB288" s="89"/>
      <c r="DC288" s="89"/>
      <c r="DD288" s="89"/>
      <c r="DE288" s="89"/>
      <c r="DF288" s="89"/>
      <c r="DG288" s="89"/>
      <c r="DH288" s="89"/>
      <c r="DI288" s="89"/>
      <c r="DJ288" s="89"/>
      <c r="DK288" s="89"/>
      <c r="DL288" s="89"/>
      <c r="DM288" s="89"/>
      <c r="DN288" s="89"/>
      <c r="DO288" s="89"/>
      <c r="DP288" s="89"/>
      <c r="DQ288" s="89"/>
      <c r="DR288" s="89"/>
      <c r="DS288" s="89"/>
      <c r="DT288" s="89"/>
      <c r="DU288" s="89"/>
      <c r="DV288" s="89"/>
      <c r="DW288" s="89"/>
      <c r="DX288" s="89"/>
      <c r="DY288" s="89"/>
      <c r="DZ288" s="89"/>
      <c r="EA288" s="89"/>
      <c r="EB288" s="89"/>
      <c r="EC288" s="89"/>
      <c r="ED288" s="89"/>
      <c r="EE288" s="89"/>
      <c r="EF288" s="89"/>
      <c r="EG288" s="89"/>
      <c r="EH288" s="89"/>
      <c r="EI288" s="89"/>
      <c r="EJ288" s="89"/>
      <c r="EK288" s="89"/>
      <c r="EL288" s="89"/>
      <c r="EM288" s="89"/>
      <c r="EN288" s="89"/>
      <c r="EO288" s="89"/>
      <c r="EP288" s="89"/>
      <c r="EQ288" s="89"/>
      <c r="ER288" s="89"/>
      <c r="ES288" s="89"/>
      <c r="ET288" s="89"/>
      <c r="EU288" s="89"/>
      <c r="EV288" s="89"/>
      <c r="EW288" s="89"/>
      <c r="EX288" s="89"/>
      <c r="EY288" s="89"/>
      <c r="EZ288" s="89"/>
      <c r="FA288" s="89"/>
      <c r="FB288" s="89"/>
      <c r="FC288" s="89"/>
      <c r="FD288" s="89"/>
      <c r="FE288" s="89"/>
      <c r="FF288" s="89"/>
      <c r="FG288" s="89"/>
      <c r="FH288" s="89"/>
      <c r="FI288" s="89"/>
      <c r="FJ288" s="89"/>
      <c r="FK288" s="89"/>
      <c r="FL288" s="89"/>
      <c r="FM288" s="89"/>
      <c r="FN288" s="89"/>
      <c r="FO288" s="89"/>
      <c r="FP288" s="89"/>
      <c r="FQ288" s="89"/>
      <c r="FR288" s="89"/>
      <c r="FS288" s="89"/>
      <c r="FT288" s="89"/>
      <c r="FU288" s="89"/>
      <c r="FV288" s="89"/>
      <c r="FW288" s="89"/>
      <c r="FX288" s="89"/>
      <c r="FY288" s="89"/>
      <c r="FZ288" s="89"/>
      <c r="GA288" s="89"/>
      <c r="GB288" s="89"/>
      <c r="GC288" s="89"/>
      <c r="GD288" s="89"/>
      <c r="GE288" s="89"/>
      <c r="GF288" s="89"/>
      <c r="GG288" s="89"/>
      <c r="GH288" s="89"/>
      <c r="GI288" s="89"/>
      <c r="GJ288" s="89"/>
      <c r="GK288" s="89"/>
      <c r="GL288" s="89"/>
      <c r="GM288" s="89"/>
      <c r="GN288" s="89"/>
      <c r="GO288" s="89"/>
      <c r="GP288" s="89"/>
      <c r="GQ288" s="89"/>
      <c r="GR288" s="89"/>
      <c r="GS288" s="89"/>
      <c r="GT288" s="89"/>
      <c r="GU288" s="89"/>
      <c r="GV288" s="89"/>
      <c r="GW288" s="89"/>
      <c r="GX288" s="89"/>
      <c r="GY288" s="89"/>
      <c r="GZ288" s="89"/>
      <c r="HA288" s="89"/>
      <c r="HB288" s="89"/>
      <c r="HC288" s="89"/>
      <c r="HD288" s="89"/>
      <c r="HE288" s="89"/>
      <c r="HF288" s="89"/>
      <c r="HG288" s="89"/>
      <c r="HH288" s="89"/>
      <c r="HI288" s="89"/>
      <c r="HJ288" s="89"/>
      <c r="HK288" s="89"/>
      <c r="HL288" s="89"/>
      <c r="HM288" s="89"/>
      <c r="HN288" s="89"/>
      <c r="HO288" s="89"/>
      <c r="HP288" s="89"/>
      <c r="HQ288" s="89"/>
      <c r="HR288" s="89"/>
      <c r="HS288" s="89"/>
      <c r="HT288" s="89"/>
      <c r="HU288" s="89"/>
      <c r="HV288" s="89"/>
      <c r="HW288" s="89"/>
      <c r="HX288" s="89"/>
      <c r="HY288" s="89"/>
      <c r="HZ288" s="89"/>
      <c r="IA288" s="89"/>
      <c r="IB288" s="89"/>
      <c r="IC288" s="89"/>
      <c r="ID288" s="89"/>
      <c r="IE288" s="89"/>
      <c r="IF288" s="89"/>
      <c r="IG288" s="89"/>
      <c r="IH288" s="89"/>
      <c r="II288" s="89"/>
      <c r="IJ288" s="89"/>
      <c r="IK288" s="89"/>
      <c r="IL288" s="89"/>
      <c r="IM288" s="89"/>
      <c r="IN288" s="89"/>
      <c r="IO288" s="89"/>
      <c r="IP288" s="89"/>
      <c r="IQ288" s="89"/>
      <c r="IR288" s="89"/>
      <c r="IS288" s="89"/>
      <c r="IT288" s="89"/>
      <c r="IU288" s="89"/>
      <c r="IV288" s="89"/>
    </row>
    <row r="289" spans="1:256" s="90" customFormat="1" ht="17" customHeight="1" x14ac:dyDescent="0.15">
      <c r="A289" s="148"/>
      <c r="B289" s="145"/>
      <c r="C289" s="128"/>
      <c r="D289" s="154"/>
      <c r="E289" s="93"/>
      <c r="F289" s="99" t="s">
        <v>513</v>
      </c>
      <c r="G289" s="86" t="s">
        <v>67</v>
      </c>
      <c r="H289" s="86">
        <f t="shared" si="8"/>
        <v>5</v>
      </c>
      <c r="I289" s="86">
        <f>IF([1]项目总工作量!B$6="交易类",H289*1.5/22,IF([1]项目总工作量!B$6="数据分析类",H289*1.5*0.9/22,IF([1]项目总工作量!B$6="流程管理类",H289*1.5*0.8/22,IF([1]项目总工作量!B$6="渠道类",H289*1.5*0.7/22,FALSE))))</f>
        <v>0.34090909090909088</v>
      </c>
      <c r="J289" s="86" t="s">
        <v>44</v>
      </c>
      <c r="K289" s="89"/>
      <c r="L289" s="89"/>
      <c r="M289" s="89"/>
      <c r="N289" s="89"/>
      <c r="O289" s="89"/>
      <c r="P289" s="89"/>
      <c r="Q289" s="89"/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  <c r="AE289" s="89"/>
      <c r="AF289" s="89"/>
      <c r="AG289" s="89"/>
      <c r="AH289" s="89"/>
      <c r="AI289" s="89"/>
      <c r="AJ289" s="89"/>
      <c r="AK289" s="89"/>
      <c r="AL289" s="89"/>
      <c r="AM289" s="89"/>
      <c r="AN289" s="89"/>
      <c r="AO289" s="89"/>
      <c r="AP289" s="89"/>
      <c r="AQ289" s="89"/>
      <c r="AR289" s="89"/>
      <c r="AS289" s="89"/>
      <c r="AT289" s="89"/>
      <c r="AU289" s="89"/>
      <c r="AV289" s="89"/>
      <c r="AW289" s="89"/>
      <c r="AX289" s="89"/>
      <c r="AY289" s="89"/>
      <c r="AZ289" s="89"/>
      <c r="BA289" s="89"/>
      <c r="BB289" s="89"/>
      <c r="BC289" s="89"/>
      <c r="BD289" s="89"/>
      <c r="BE289" s="89"/>
      <c r="BF289" s="89"/>
      <c r="BG289" s="89"/>
      <c r="BH289" s="89"/>
      <c r="BI289" s="89"/>
      <c r="BJ289" s="89"/>
      <c r="BK289" s="89"/>
      <c r="BL289" s="89"/>
      <c r="BM289" s="89"/>
      <c r="BN289" s="89"/>
      <c r="BO289" s="89"/>
      <c r="BP289" s="89"/>
      <c r="BQ289" s="89"/>
      <c r="BR289" s="89"/>
      <c r="BS289" s="89"/>
      <c r="BT289" s="89"/>
      <c r="BU289" s="89"/>
      <c r="BV289" s="89"/>
      <c r="BW289" s="89"/>
      <c r="BX289" s="89"/>
      <c r="BY289" s="89"/>
      <c r="BZ289" s="89"/>
      <c r="CA289" s="89"/>
      <c r="CB289" s="89"/>
      <c r="CC289" s="89"/>
      <c r="CD289" s="89"/>
      <c r="CE289" s="89"/>
      <c r="CF289" s="89"/>
      <c r="CG289" s="89"/>
      <c r="CH289" s="89"/>
      <c r="CI289" s="89"/>
      <c r="CJ289" s="89"/>
      <c r="CK289" s="89"/>
      <c r="CL289" s="89"/>
      <c r="CM289" s="89"/>
      <c r="CN289" s="89"/>
      <c r="CO289" s="89"/>
      <c r="CP289" s="89"/>
      <c r="CQ289" s="89"/>
      <c r="CR289" s="89"/>
      <c r="CS289" s="89"/>
      <c r="CT289" s="89"/>
      <c r="CU289" s="89"/>
      <c r="CV289" s="89"/>
      <c r="CW289" s="89"/>
      <c r="CX289" s="89"/>
      <c r="CY289" s="89"/>
      <c r="CZ289" s="89"/>
      <c r="DA289" s="89"/>
      <c r="DB289" s="89"/>
      <c r="DC289" s="89"/>
      <c r="DD289" s="89"/>
      <c r="DE289" s="89"/>
      <c r="DF289" s="89"/>
      <c r="DG289" s="89"/>
      <c r="DH289" s="89"/>
      <c r="DI289" s="89"/>
      <c r="DJ289" s="89"/>
      <c r="DK289" s="89"/>
      <c r="DL289" s="89"/>
      <c r="DM289" s="89"/>
      <c r="DN289" s="89"/>
      <c r="DO289" s="89"/>
      <c r="DP289" s="89"/>
      <c r="DQ289" s="89"/>
      <c r="DR289" s="89"/>
      <c r="DS289" s="89"/>
      <c r="DT289" s="89"/>
      <c r="DU289" s="89"/>
      <c r="DV289" s="89"/>
      <c r="DW289" s="89"/>
      <c r="DX289" s="89"/>
      <c r="DY289" s="89"/>
      <c r="DZ289" s="89"/>
      <c r="EA289" s="89"/>
      <c r="EB289" s="89"/>
      <c r="EC289" s="89"/>
      <c r="ED289" s="89"/>
      <c r="EE289" s="89"/>
      <c r="EF289" s="89"/>
      <c r="EG289" s="89"/>
      <c r="EH289" s="89"/>
      <c r="EI289" s="89"/>
      <c r="EJ289" s="89"/>
      <c r="EK289" s="89"/>
      <c r="EL289" s="89"/>
      <c r="EM289" s="89"/>
      <c r="EN289" s="89"/>
      <c r="EO289" s="89"/>
      <c r="EP289" s="89"/>
      <c r="EQ289" s="89"/>
      <c r="ER289" s="89"/>
      <c r="ES289" s="89"/>
      <c r="ET289" s="89"/>
      <c r="EU289" s="89"/>
      <c r="EV289" s="89"/>
      <c r="EW289" s="89"/>
      <c r="EX289" s="89"/>
      <c r="EY289" s="89"/>
      <c r="EZ289" s="89"/>
      <c r="FA289" s="89"/>
      <c r="FB289" s="89"/>
      <c r="FC289" s="89"/>
      <c r="FD289" s="89"/>
      <c r="FE289" s="89"/>
      <c r="FF289" s="89"/>
      <c r="FG289" s="89"/>
      <c r="FH289" s="89"/>
      <c r="FI289" s="89"/>
      <c r="FJ289" s="89"/>
      <c r="FK289" s="89"/>
      <c r="FL289" s="89"/>
      <c r="FM289" s="89"/>
      <c r="FN289" s="89"/>
      <c r="FO289" s="89"/>
      <c r="FP289" s="89"/>
      <c r="FQ289" s="89"/>
      <c r="FR289" s="89"/>
      <c r="FS289" s="89"/>
      <c r="FT289" s="89"/>
      <c r="FU289" s="89"/>
      <c r="FV289" s="89"/>
      <c r="FW289" s="89"/>
      <c r="FX289" s="89"/>
      <c r="FY289" s="89"/>
      <c r="FZ289" s="89"/>
      <c r="GA289" s="89"/>
      <c r="GB289" s="89"/>
      <c r="GC289" s="89"/>
      <c r="GD289" s="89"/>
      <c r="GE289" s="89"/>
      <c r="GF289" s="89"/>
      <c r="GG289" s="89"/>
      <c r="GH289" s="89"/>
      <c r="GI289" s="89"/>
      <c r="GJ289" s="89"/>
      <c r="GK289" s="89"/>
      <c r="GL289" s="89"/>
      <c r="GM289" s="89"/>
      <c r="GN289" s="89"/>
      <c r="GO289" s="89"/>
      <c r="GP289" s="89"/>
      <c r="GQ289" s="89"/>
      <c r="GR289" s="89"/>
      <c r="GS289" s="89"/>
      <c r="GT289" s="89"/>
      <c r="GU289" s="89"/>
      <c r="GV289" s="89"/>
      <c r="GW289" s="89"/>
      <c r="GX289" s="89"/>
      <c r="GY289" s="89"/>
      <c r="GZ289" s="89"/>
      <c r="HA289" s="89"/>
      <c r="HB289" s="89"/>
      <c r="HC289" s="89"/>
      <c r="HD289" s="89"/>
      <c r="HE289" s="89"/>
      <c r="HF289" s="89"/>
      <c r="HG289" s="89"/>
      <c r="HH289" s="89"/>
      <c r="HI289" s="89"/>
      <c r="HJ289" s="89"/>
      <c r="HK289" s="89"/>
      <c r="HL289" s="89"/>
      <c r="HM289" s="89"/>
      <c r="HN289" s="89"/>
      <c r="HO289" s="89"/>
      <c r="HP289" s="89"/>
      <c r="HQ289" s="89"/>
      <c r="HR289" s="89"/>
      <c r="HS289" s="89"/>
      <c r="HT289" s="89"/>
      <c r="HU289" s="89"/>
      <c r="HV289" s="89"/>
      <c r="HW289" s="89"/>
      <c r="HX289" s="89"/>
      <c r="HY289" s="89"/>
      <c r="HZ289" s="89"/>
      <c r="IA289" s="89"/>
      <c r="IB289" s="89"/>
      <c r="IC289" s="89"/>
      <c r="ID289" s="89"/>
      <c r="IE289" s="89"/>
      <c r="IF289" s="89"/>
      <c r="IG289" s="89"/>
      <c r="IH289" s="89"/>
      <c r="II289" s="89"/>
      <c r="IJ289" s="89"/>
      <c r="IK289" s="89"/>
      <c r="IL289" s="89"/>
      <c r="IM289" s="89"/>
      <c r="IN289" s="89"/>
      <c r="IO289" s="89"/>
      <c r="IP289" s="89"/>
      <c r="IQ289" s="89"/>
      <c r="IR289" s="89"/>
      <c r="IS289" s="89"/>
      <c r="IT289" s="89"/>
      <c r="IU289" s="89"/>
      <c r="IV289" s="89"/>
    </row>
    <row r="290" spans="1:256" s="90" customFormat="1" ht="17" customHeight="1" x14ac:dyDescent="0.15">
      <c r="A290" s="148"/>
      <c r="B290" s="145"/>
      <c r="C290" s="128"/>
      <c r="D290" s="154"/>
      <c r="E290" s="93"/>
      <c r="F290" s="99" t="s">
        <v>514</v>
      </c>
      <c r="G290" s="86" t="s">
        <v>67</v>
      </c>
      <c r="H290" s="86">
        <f t="shared" si="8"/>
        <v>5</v>
      </c>
      <c r="I290" s="86">
        <f>IF([1]项目总工作量!B$6="交易类",H290*1.5/22,IF([1]项目总工作量!B$6="数据分析类",H290*1.5*0.9/22,IF([1]项目总工作量!B$6="流程管理类",H290*1.5*0.8/22,IF([1]项目总工作量!B$6="渠道类",H290*1.5*0.7/22,FALSE))))</f>
        <v>0.34090909090909088</v>
      </c>
      <c r="J290" s="86" t="s">
        <v>44</v>
      </c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89"/>
      <c r="AH290" s="89"/>
      <c r="AI290" s="89"/>
      <c r="AJ290" s="89"/>
      <c r="AK290" s="89"/>
      <c r="AL290" s="89"/>
      <c r="AM290" s="89"/>
      <c r="AN290" s="89"/>
      <c r="AO290" s="89"/>
      <c r="AP290" s="89"/>
      <c r="AQ290" s="89"/>
      <c r="AR290" s="89"/>
      <c r="AS290" s="89"/>
      <c r="AT290" s="89"/>
      <c r="AU290" s="89"/>
      <c r="AV290" s="89"/>
      <c r="AW290" s="89"/>
      <c r="AX290" s="89"/>
      <c r="AY290" s="89"/>
      <c r="AZ290" s="89"/>
      <c r="BA290" s="89"/>
      <c r="BB290" s="89"/>
      <c r="BC290" s="89"/>
      <c r="BD290" s="89"/>
      <c r="BE290" s="89"/>
      <c r="BF290" s="89"/>
      <c r="BG290" s="89"/>
      <c r="BH290" s="89"/>
      <c r="BI290" s="89"/>
      <c r="BJ290" s="89"/>
      <c r="BK290" s="89"/>
      <c r="BL290" s="89"/>
      <c r="BM290" s="89"/>
      <c r="BN290" s="89"/>
      <c r="BO290" s="89"/>
      <c r="BP290" s="89"/>
      <c r="BQ290" s="89"/>
      <c r="BR290" s="89"/>
      <c r="BS290" s="89"/>
      <c r="BT290" s="89"/>
      <c r="BU290" s="89"/>
      <c r="BV290" s="89"/>
      <c r="BW290" s="89"/>
      <c r="BX290" s="89"/>
      <c r="BY290" s="89"/>
      <c r="BZ290" s="89"/>
      <c r="CA290" s="89"/>
      <c r="CB290" s="89"/>
      <c r="CC290" s="89"/>
      <c r="CD290" s="89"/>
      <c r="CE290" s="89"/>
      <c r="CF290" s="89"/>
      <c r="CG290" s="89"/>
      <c r="CH290" s="89"/>
      <c r="CI290" s="89"/>
      <c r="CJ290" s="89"/>
      <c r="CK290" s="89"/>
      <c r="CL290" s="89"/>
      <c r="CM290" s="89"/>
      <c r="CN290" s="89"/>
      <c r="CO290" s="89"/>
      <c r="CP290" s="89"/>
      <c r="CQ290" s="89"/>
      <c r="CR290" s="89"/>
      <c r="CS290" s="89"/>
      <c r="CT290" s="89"/>
      <c r="CU290" s="89"/>
      <c r="CV290" s="89"/>
      <c r="CW290" s="89"/>
      <c r="CX290" s="89"/>
      <c r="CY290" s="89"/>
      <c r="CZ290" s="89"/>
      <c r="DA290" s="89"/>
      <c r="DB290" s="89"/>
      <c r="DC290" s="89"/>
      <c r="DD290" s="89"/>
      <c r="DE290" s="89"/>
      <c r="DF290" s="89"/>
      <c r="DG290" s="89"/>
      <c r="DH290" s="89"/>
      <c r="DI290" s="89"/>
      <c r="DJ290" s="89"/>
      <c r="DK290" s="89"/>
      <c r="DL290" s="89"/>
      <c r="DM290" s="89"/>
      <c r="DN290" s="89"/>
      <c r="DO290" s="89"/>
      <c r="DP290" s="89"/>
      <c r="DQ290" s="89"/>
      <c r="DR290" s="89"/>
      <c r="DS290" s="89"/>
      <c r="DT290" s="89"/>
      <c r="DU290" s="89"/>
      <c r="DV290" s="89"/>
      <c r="DW290" s="89"/>
      <c r="DX290" s="89"/>
      <c r="DY290" s="89"/>
      <c r="DZ290" s="89"/>
      <c r="EA290" s="89"/>
      <c r="EB290" s="89"/>
      <c r="EC290" s="89"/>
      <c r="ED290" s="89"/>
      <c r="EE290" s="89"/>
      <c r="EF290" s="89"/>
      <c r="EG290" s="89"/>
      <c r="EH290" s="89"/>
      <c r="EI290" s="89"/>
      <c r="EJ290" s="89"/>
      <c r="EK290" s="89"/>
      <c r="EL290" s="89"/>
      <c r="EM290" s="89"/>
      <c r="EN290" s="89"/>
      <c r="EO290" s="89"/>
      <c r="EP290" s="89"/>
      <c r="EQ290" s="89"/>
      <c r="ER290" s="89"/>
      <c r="ES290" s="89"/>
      <c r="ET290" s="89"/>
      <c r="EU290" s="89"/>
      <c r="EV290" s="89"/>
      <c r="EW290" s="89"/>
      <c r="EX290" s="89"/>
      <c r="EY290" s="89"/>
      <c r="EZ290" s="89"/>
      <c r="FA290" s="89"/>
      <c r="FB290" s="89"/>
      <c r="FC290" s="89"/>
      <c r="FD290" s="89"/>
      <c r="FE290" s="89"/>
      <c r="FF290" s="89"/>
      <c r="FG290" s="89"/>
      <c r="FH290" s="89"/>
      <c r="FI290" s="89"/>
      <c r="FJ290" s="89"/>
      <c r="FK290" s="89"/>
      <c r="FL290" s="89"/>
      <c r="FM290" s="89"/>
      <c r="FN290" s="89"/>
      <c r="FO290" s="89"/>
      <c r="FP290" s="89"/>
      <c r="FQ290" s="89"/>
      <c r="FR290" s="89"/>
      <c r="FS290" s="89"/>
      <c r="FT290" s="89"/>
      <c r="FU290" s="89"/>
      <c r="FV290" s="89"/>
      <c r="FW290" s="89"/>
      <c r="FX290" s="89"/>
      <c r="FY290" s="89"/>
      <c r="FZ290" s="89"/>
      <c r="GA290" s="89"/>
      <c r="GB290" s="89"/>
      <c r="GC290" s="89"/>
      <c r="GD290" s="89"/>
      <c r="GE290" s="89"/>
      <c r="GF290" s="89"/>
      <c r="GG290" s="89"/>
      <c r="GH290" s="89"/>
      <c r="GI290" s="89"/>
      <c r="GJ290" s="89"/>
      <c r="GK290" s="89"/>
      <c r="GL290" s="89"/>
      <c r="GM290" s="89"/>
      <c r="GN290" s="89"/>
      <c r="GO290" s="89"/>
      <c r="GP290" s="89"/>
      <c r="GQ290" s="89"/>
      <c r="GR290" s="89"/>
      <c r="GS290" s="89"/>
      <c r="GT290" s="89"/>
      <c r="GU290" s="89"/>
      <c r="GV290" s="89"/>
      <c r="GW290" s="89"/>
      <c r="GX290" s="89"/>
      <c r="GY290" s="89"/>
      <c r="GZ290" s="89"/>
      <c r="HA290" s="89"/>
      <c r="HB290" s="89"/>
      <c r="HC290" s="89"/>
      <c r="HD290" s="89"/>
      <c r="HE290" s="89"/>
      <c r="HF290" s="89"/>
      <c r="HG290" s="89"/>
      <c r="HH290" s="89"/>
      <c r="HI290" s="89"/>
      <c r="HJ290" s="89"/>
      <c r="HK290" s="89"/>
      <c r="HL290" s="89"/>
      <c r="HM290" s="89"/>
      <c r="HN290" s="89"/>
      <c r="HO290" s="89"/>
      <c r="HP290" s="89"/>
      <c r="HQ290" s="89"/>
      <c r="HR290" s="89"/>
      <c r="HS290" s="89"/>
      <c r="HT290" s="89"/>
      <c r="HU290" s="89"/>
      <c r="HV290" s="89"/>
      <c r="HW290" s="89"/>
      <c r="HX290" s="89"/>
      <c r="HY290" s="89"/>
      <c r="HZ290" s="89"/>
      <c r="IA290" s="89"/>
      <c r="IB290" s="89"/>
      <c r="IC290" s="89"/>
      <c r="ID290" s="89"/>
      <c r="IE290" s="89"/>
      <c r="IF290" s="89"/>
      <c r="IG290" s="89"/>
      <c r="IH290" s="89"/>
      <c r="II290" s="89"/>
      <c r="IJ290" s="89"/>
      <c r="IK290" s="89"/>
      <c r="IL290" s="89"/>
      <c r="IM290" s="89"/>
      <c r="IN290" s="89"/>
      <c r="IO290" s="89"/>
      <c r="IP290" s="89"/>
      <c r="IQ290" s="89"/>
      <c r="IR290" s="89"/>
      <c r="IS290" s="89"/>
      <c r="IT290" s="89"/>
      <c r="IU290" s="89"/>
      <c r="IV290" s="89"/>
    </row>
    <row r="291" spans="1:256" s="90" customFormat="1" ht="17" customHeight="1" x14ac:dyDescent="0.15">
      <c r="A291" s="148"/>
      <c r="B291" s="145"/>
      <c r="C291" s="128"/>
      <c r="D291" s="154"/>
      <c r="E291" s="93"/>
      <c r="F291" s="99" t="s">
        <v>515</v>
      </c>
      <c r="G291" s="86" t="s">
        <v>67</v>
      </c>
      <c r="H291" s="86">
        <f t="shared" si="8"/>
        <v>5</v>
      </c>
      <c r="I291" s="86">
        <f>IF([1]项目总工作量!B$6="交易类",H291*1.5/22,IF([1]项目总工作量!B$6="数据分析类",H291*1.5*0.9/22,IF([1]项目总工作量!B$6="流程管理类",H291*1.5*0.8/22,IF([1]项目总工作量!B$6="渠道类",H291*1.5*0.7/22,FALSE))))</f>
        <v>0.34090909090909088</v>
      </c>
      <c r="J291" s="86" t="s">
        <v>44</v>
      </c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89"/>
      <c r="AK291" s="89"/>
      <c r="AL291" s="89"/>
      <c r="AM291" s="89"/>
      <c r="AN291" s="89"/>
      <c r="AO291" s="89"/>
      <c r="AP291" s="89"/>
      <c r="AQ291" s="89"/>
      <c r="AR291" s="89"/>
      <c r="AS291" s="89"/>
      <c r="AT291" s="89"/>
      <c r="AU291" s="89"/>
      <c r="AV291" s="89"/>
      <c r="AW291" s="89"/>
      <c r="AX291" s="89"/>
      <c r="AY291" s="89"/>
      <c r="AZ291" s="89"/>
      <c r="BA291" s="89"/>
      <c r="BB291" s="89"/>
      <c r="BC291" s="89"/>
      <c r="BD291" s="89"/>
      <c r="BE291" s="89"/>
      <c r="BF291" s="89"/>
      <c r="BG291" s="89"/>
      <c r="BH291" s="89"/>
      <c r="BI291" s="89"/>
      <c r="BJ291" s="89"/>
      <c r="BK291" s="89"/>
      <c r="BL291" s="89"/>
      <c r="BM291" s="89"/>
      <c r="BN291" s="89"/>
      <c r="BO291" s="89"/>
      <c r="BP291" s="89"/>
      <c r="BQ291" s="89"/>
      <c r="BR291" s="89"/>
      <c r="BS291" s="89"/>
      <c r="BT291" s="89"/>
      <c r="BU291" s="89"/>
      <c r="BV291" s="89"/>
      <c r="BW291" s="89"/>
      <c r="BX291" s="89"/>
      <c r="BY291" s="89"/>
      <c r="BZ291" s="89"/>
      <c r="CA291" s="89"/>
      <c r="CB291" s="89"/>
      <c r="CC291" s="89"/>
      <c r="CD291" s="89"/>
      <c r="CE291" s="89"/>
      <c r="CF291" s="89"/>
      <c r="CG291" s="89"/>
      <c r="CH291" s="89"/>
      <c r="CI291" s="89"/>
      <c r="CJ291" s="89"/>
      <c r="CK291" s="89"/>
      <c r="CL291" s="89"/>
      <c r="CM291" s="89"/>
      <c r="CN291" s="89"/>
      <c r="CO291" s="89"/>
      <c r="CP291" s="89"/>
      <c r="CQ291" s="89"/>
      <c r="CR291" s="89"/>
      <c r="CS291" s="89"/>
      <c r="CT291" s="89"/>
      <c r="CU291" s="89"/>
      <c r="CV291" s="89"/>
      <c r="CW291" s="89"/>
      <c r="CX291" s="89"/>
      <c r="CY291" s="89"/>
      <c r="CZ291" s="89"/>
      <c r="DA291" s="89"/>
      <c r="DB291" s="89"/>
      <c r="DC291" s="89"/>
      <c r="DD291" s="89"/>
      <c r="DE291" s="89"/>
      <c r="DF291" s="89"/>
      <c r="DG291" s="89"/>
      <c r="DH291" s="89"/>
      <c r="DI291" s="89"/>
      <c r="DJ291" s="89"/>
      <c r="DK291" s="89"/>
      <c r="DL291" s="89"/>
      <c r="DM291" s="89"/>
      <c r="DN291" s="89"/>
      <c r="DO291" s="89"/>
      <c r="DP291" s="89"/>
      <c r="DQ291" s="89"/>
      <c r="DR291" s="89"/>
      <c r="DS291" s="89"/>
      <c r="DT291" s="89"/>
      <c r="DU291" s="89"/>
      <c r="DV291" s="89"/>
      <c r="DW291" s="89"/>
      <c r="DX291" s="89"/>
      <c r="DY291" s="89"/>
      <c r="DZ291" s="89"/>
      <c r="EA291" s="89"/>
      <c r="EB291" s="89"/>
      <c r="EC291" s="89"/>
      <c r="ED291" s="89"/>
      <c r="EE291" s="89"/>
      <c r="EF291" s="89"/>
      <c r="EG291" s="89"/>
      <c r="EH291" s="89"/>
      <c r="EI291" s="89"/>
      <c r="EJ291" s="89"/>
      <c r="EK291" s="89"/>
      <c r="EL291" s="89"/>
      <c r="EM291" s="89"/>
      <c r="EN291" s="89"/>
      <c r="EO291" s="89"/>
      <c r="EP291" s="89"/>
      <c r="EQ291" s="89"/>
      <c r="ER291" s="89"/>
      <c r="ES291" s="89"/>
      <c r="ET291" s="89"/>
      <c r="EU291" s="89"/>
      <c r="EV291" s="89"/>
      <c r="EW291" s="89"/>
      <c r="EX291" s="89"/>
      <c r="EY291" s="89"/>
      <c r="EZ291" s="89"/>
      <c r="FA291" s="89"/>
      <c r="FB291" s="89"/>
      <c r="FC291" s="89"/>
      <c r="FD291" s="89"/>
      <c r="FE291" s="89"/>
      <c r="FF291" s="89"/>
      <c r="FG291" s="89"/>
      <c r="FH291" s="89"/>
      <c r="FI291" s="89"/>
      <c r="FJ291" s="89"/>
      <c r="FK291" s="89"/>
      <c r="FL291" s="89"/>
      <c r="FM291" s="89"/>
      <c r="FN291" s="89"/>
      <c r="FO291" s="89"/>
      <c r="FP291" s="89"/>
      <c r="FQ291" s="89"/>
      <c r="FR291" s="89"/>
      <c r="FS291" s="89"/>
      <c r="FT291" s="89"/>
      <c r="FU291" s="89"/>
      <c r="FV291" s="89"/>
      <c r="FW291" s="89"/>
      <c r="FX291" s="89"/>
      <c r="FY291" s="89"/>
      <c r="FZ291" s="89"/>
      <c r="GA291" s="89"/>
      <c r="GB291" s="89"/>
      <c r="GC291" s="89"/>
      <c r="GD291" s="89"/>
      <c r="GE291" s="89"/>
      <c r="GF291" s="89"/>
      <c r="GG291" s="89"/>
      <c r="GH291" s="89"/>
      <c r="GI291" s="89"/>
      <c r="GJ291" s="89"/>
      <c r="GK291" s="89"/>
      <c r="GL291" s="89"/>
      <c r="GM291" s="89"/>
      <c r="GN291" s="89"/>
      <c r="GO291" s="89"/>
      <c r="GP291" s="89"/>
      <c r="GQ291" s="89"/>
      <c r="GR291" s="89"/>
      <c r="GS291" s="89"/>
      <c r="GT291" s="89"/>
      <c r="GU291" s="89"/>
      <c r="GV291" s="89"/>
      <c r="GW291" s="89"/>
      <c r="GX291" s="89"/>
      <c r="GY291" s="89"/>
      <c r="GZ291" s="89"/>
      <c r="HA291" s="89"/>
      <c r="HB291" s="89"/>
      <c r="HC291" s="89"/>
      <c r="HD291" s="89"/>
      <c r="HE291" s="89"/>
      <c r="HF291" s="89"/>
      <c r="HG291" s="89"/>
      <c r="HH291" s="89"/>
      <c r="HI291" s="89"/>
      <c r="HJ291" s="89"/>
      <c r="HK291" s="89"/>
      <c r="HL291" s="89"/>
      <c r="HM291" s="89"/>
      <c r="HN291" s="89"/>
      <c r="HO291" s="89"/>
      <c r="HP291" s="89"/>
      <c r="HQ291" s="89"/>
      <c r="HR291" s="89"/>
      <c r="HS291" s="89"/>
      <c r="HT291" s="89"/>
      <c r="HU291" s="89"/>
      <c r="HV291" s="89"/>
      <c r="HW291" s="89"/>
      <c r="HX291" s="89"/>
      <c r="HY291" s="89"/>
      <c r="HZ291" s="89"/>
      <c r="IA291" s="89"/>
      <c r="IB291" s="89"/>
      <c r="IC291" s="89"/>
      <c r="ID291" s="89"/>
      <c r="IE291" s="89"/>
      <c r="IF291" s="89"/>
      <c r="IG291" s="89"/>
      <c r="IH291" s="89"/>
      <c r="II291" s="89"/>
      <c r="IJ291" s="89"/>
      <c r="IK291" s="89"/>
      <c r="IL291" s="89"/>
      <c r="IM291" s="89"/>
      <c r="IN291" s="89"/>
      <c r="IO291" s="89"/>
      <c r="IP291" s="89"/>
      <c r="IQ291" s="89"/>
      <c r="IR291" s="89"/>
      <c r="IS291" s="89"/>
      <c r="IT291" s="89"/>
      <c r="IU291" s="89"/>
      <c r="IV291" s="89"/>
    </row>
    <row r="292" spans="1:256" s="90" customFormat="1" ht="34" customHeight="1" x14ac:dyDescent="0.15">
      <c r="A292" s="148"/>
      <c r="B292" s="145"/>
      <c r="C292" s="128"/>
      <c r="D292" s="154"/>
      <c r="E292" s="93"/>
      <c r="F292" s="100" t="s">
        <v>516</v>
      </c>
      <c r="G292" s="86" t="s">
        <v>67</v>
      </c>
      <c r="H292" s="86">
        <f t="shared" si="8"/>
        <v>5</v>
      </c>
      <c r="I292" s="86">
        <f>IF([1]项目总工作量!B$6="交易类",H292*1.5/22,IF([1]项目总工作量!B$6="数据分析类",H292*1.5*0.9/22,IF([1]项目总工作量!B$6="流程管理类",H292*1.5*0.8/22,IF([1]项目总工作量!B$6="渠道类",H292*1.5*0.7/22,FALSE))))</f>
        <v>0.34090909090909088</v>
      </c>
      <c r="J292" s="86" t="s">
        <v>44</v>
      </c>
      <c r="K292" s="89"/>
      <c r="L292" s="89"/>
      <c r="M292" s="89"/>
      <c r="N292" s="89"/>
      <c r="O292" s="89"/>
      <c r="P292" s="89"/>
      <c r="Q292" s="89"/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  <c r="AE292" s="89"/>
      <c r="AF292" s="89"/>
      <c r="AG292" s="89"/>
      <c r="AH292" s="89"/>
      <c r="AI292" s="89"/>
      <c r="AJ292" s="89"/>
      <c r="AK292" s="89"/>
      <c r="AL292" s="89"/>
      <c r="AM292" s="89"/>
      <c r="AN292" s="89"/>
      <c r="AO292" s="89"/>
      <c r="AP292" s="89"/>
      <c r="AQ292" s="89"/>
      <c r="AR292" s="89"/>
      <c r="AS292" s="89"/>
      <c r="AT292" s="89"/>
      <c r="AU292" s="89"/>
      <c r="AV292" s="89"/>
      <c r="AW292" s="89"/>
      <c r="AX292" s="89"/>
      <c r="AY292" s="89"/>
      <c r="AZ292" s="89"/>
      <c r="BA292" s="89"/>
      <c r="BB292" s="89"/>
      <c r="BC292" s="89"/>
      <c r="BD292" s="89"/>
      <c r="BE292" s="89"/>
      <c r="BF292" s="89"/>
      <c r="BG292" s="89"/>
      <c r="BH292" s="89"/>
      <c r="BI292" s="89"/>
      <c r="BJ292" s="89"/>
      <c r="BK292" s="89"/>
      <c r="BL292" s="89"/>
      <c r="BM292" s="89"/>
      <c r="BN292" s="89"/>
      <c r="BO292" s="89"/>
      <c r="BP292" s="89"/>
      <c r="BQ292" s="89"/>
      <c r="BR292" s="89"/>
      <c r="BS292" s="89"/>
      <c r="BT292" s="89"/>
      <c r="BU292" s="89"/>
      <c r="BV292" s="89"/>
      <c r="BW292" s="89"/>
      <c r="BX292" s="89"/>
      <c r="BY292" s="89"/>
      <c r="BZ292" s="89"/>
      <c r="CA292" s="89"/>
      <c r="CB292" s="89"/>
      <c r="CC292" s="89"/>
      <c r="CD292" s="89"/>
      <c r="CE292" s="89"/>
      <c r="CF292" s="89"/>
      <c r="CG292" s="89"/>
      <c r="CH292" s="89"/>
      <c r="CI292" s="89"/>
      <c r="CJ292" s="89"/>
      <c r="CK292" s="89"/>
      <c r="CL292" s="89"/>
      <c r="CM292" s="89"/>
      <c r="CN292" s="89"/>
      <c r="CO292" s="89"/>
      <c r="CP292" s="89"/>
      <c r="CQ292" s="89"/>
      <c r="CR292" s="89"/>
      <c r="CS292" s="89"/>
      <c r="CT292" s="89"/>
      <c r="CU292" s="89"/>
      <c r="CV292" s="89"/>
      <c r="CW292" s="89"/>
      <c r="CX292" s="89"/>
      <c r="CY292" s="89"/>
      <c r="CZ292" s="89"/>
      <c r="DA292" s="89"/>
      <c r="DB292" s="89"/>
      <c r="DC292" s="89"/>
      <c r="DD292" s="89"/>
      <c r="DE292" s="89"/>
      <c r="DF292" s="89"/>
      <c r="DG292" s="89"/>
      <c r="DH292" s="89"/>
      <c r="DI292" s="89"/>
      <c r="DJ292" s="89"/>
      <c r="DK292" s="89"/>
      <c r="DL292" s="89"/>
      <c r="DM292" s="89"/>
      <c r="DN292" s="89"/>
      <c r="DO292" s="89"/>
      <c r="DP292" s="89"/>
      <c r="DQ292" s="89"/>
      <c r="DR292" s="89"/>
      <c r="DS292" s="89"/>
      <c r="DT292" s="89"/>
      <c r="DU292" s="89"/>
      <c r="DV292" s="89"/>
      <c r="DW292" s="89"/>
      <c r="DX292" s="89"/>
      <c r="DY292" s="89"/>
      <c r="DZ292" s="89"/>
      <c r="EA292" s="89"/>
      <c r="EB292" s="89"/>
      <c r="EC292" s="89"/>
      <c r="ED292" s="89"/>
      <c r="EE292" s="89"/>
      <c r="EF292" s="89"/>
      <c r="EG292" s="89"/>
      <c r="EH292" s="89"/>
      <c r="EI292" s="89"/>
      <c r="EJ292" s="89"/>
      <c r="EK292" s="89"/>
      <c r="EL292" s="89"/>
      <c r="EM292" s="89"/>
      <c r="EN292" s="89"/>
      <c r="EO292" s="89"/>
      <c r="EP292" s="89"/>
      <c r="EQ292" s="89"/>
      <c r="ER292" s="89"/>
      <c r="ES292" s="89"/>
      <c r="ET292" s="89"/>
      <c r="EU292" s="89"/>
      <c r="EV292" s="89"/>
      <c r="EW292" s="89"/>
      <c r="EX292" s="89"/>
      <c r="EY292" s="89"/>
      <c r="EZ292" s="89"/>
      <c r="FA292" s="89"/>
      <c r="FB292" s="89"/>
      <c r="FC292" s="89"/>
      <c r="FD292" s="89"/>
      <c r="FE292" s="89"/>
      <c r="FF292" s="89"/>
      <c r="FG292" s="89"/>
      <c r="FH292" s="89"/>
      <c r="FI292" s="89"/>
      <c r="FJ292" s="89"/>
      <c r="FK292" s="89"/>
      <c r="FL292" s="89"/>
      <c r="FM292" s="89"/>
      <c r="FN292" s="89"/>
      <c r="FO292" s="89"/>
      <c r="FP292" s="89"/>
      <c r="FQ292" s="89"/>
      <c r="FR292" s="89"/>
      <c r="FS292" s="89"/>
      <c r="FT292" s="89"/>
      <c r="FU292" s="89"/>
      <c r="FV292" s="89"/>
      <c r="FW292" s="89"/>
      <c r="FX292" s="89"/>
      <c r="FY292" s="89"/>
      <c r="FZ292" s="89"/>
      <c r="GA292" s="89"/>
      <c r="GB292" s="89"/>
      <c r="GC292" s="89"/>
      <c r="GD292" s="89"/>
      <c r="GE292" s="89"/>
      <c r="GF292" s="89"/>
      <c r="GG292" s="89"/>
      <c r="GH292" s="89"/>
      <c r="GI292" s="89"/>
      <c r="GJ292" s="89"/>
      <c r="GK292" s="89"/>
      <c r="GL292" s="89"/>
      <c r="GM292" s="89"/>
      <c r="GN292" s="89"/>
      <c r="GO292" s="89"/>
      <c r="GP292" s="89"/>
      <c r="GQ292" s="89"/>
      <c r="GR292" s="89"/>
      <c r="GS292" s="89"/>
      <c r="GT292" s="89"/>
      <c r="GU292" s="89"/>
      <c r="GV292" s="89"/>
      <c r="GW292" s="89"/>
      <c r="GX292" s="89"/>
      <c r="GY292" s="89"/>
      <c r="GZ292" s="89"/>
      <c r="HA292" s="89"/>
      <c r="HB292" s="89"/>
      <c r="HC292" s="89"/>
      <c r="HD292" s="89"/>
      <c r="HE292" s="89"/>
      <c r="HF292" s="89"/>
      <c r="HG292" s="89"/>
      <c r="HH292" s="89"/>
      <c r="HI292" s="89"/>
      <c r="HJ292" s="89"/>
      <c r="HK292" s="89"/>
      <c r="HL292" s="89"/>
      <c r="HM292" s="89"/>
      <c r="HN292" s="89"/>
      <c r="HO292" s="89"/>
      <c r="HP292" s="89"/>
      <c r="HQ292" s="89"/>
      <c r="HR292" s="89"/>
      <c r="HS292" s="89"/>
      <c r="HT292" s="89"/>
      <c r="HU292" s="89"/>
      <c r="HV292" s="89"/>
      <c r="HW292" s="89"/>
      <c r="HX292" s="89"/>
      <c r="HY292" s="89"/>
      <c r="HZ292" s="89"/>
      <c r="IA292" s="89"/>
      <c r="IB292" s="89"/>
      <c r="IC292" s="89"/>
      <c r="ID292" s="89"/>
      <c r="IE292" s="89"/>
      <c r="IF292" s="89"/>
      <c r="IG292" s="89"/>
      <c r="IH292" s="89"/>
      <c r="II292" s="89"/>
      <c r="IJ292" s="89"/>
      <c r="IK292" s="89"/>
      <c r="IL292" s="89"/>
      <c r="IM292" s="89"/>
      <c r="IN292" s="89"/>
      <c r="IO292" s="89"/>
      <c r="IP292" s="89"/>
      <c r="IQ292" s="89"/>
      <c r="IR292" s="89"/>
      <c r="IS292" s="89"/>
      <c r="IT292" s="89"/>
      <c r="IU292" s="89"/>
      <c r="IV292" s="89"/>
    </row>
    <row r="293" spans="1:256" s="90" customFormat="1" ht="17" customHeight="1" x14ac:dyDescent="0.15">
      <c r="A293" s="148"/>
      <c r="B293" s="145"/>
      <c r="C293" s="128"/>
      <c r="D293" s="154"/>
      <c r="E293" s="93"/>
      <c r="F293" s="99" t="s">
        <v>517</v>
      </c>
      <c r="G293" s="86" t="s">
        <v>67</v>
      </c>
      <c r="H293" s="86">
        <f t="shared" si="8"/>
        <v>5</v>
      </c>
      <c r="I293" s="86">
        <f>IF([1]项目总工作量!B$6="交易类",H293*1.5/22,IF([1]项目总工作量!B$6="数据分析类",H293*1.5*0.9/22,IF([1]项目总工作量!B$6="流程管理类",H293*1.5*0.8/22,IF([1]项目总工作量!B$6="渠道类",H293*1.5*0.7/22,FALSE))))</f>
        <v>0.34090909090909088</v>
      </c>
      <c r="J293" s="86" t="s">
        <v>44</v>
      </c>
      <c r="K293" s="89"/>
      <c r="L293" s="89"/>
      <c r="M293" s="89"/>
      <c r="N293" s="89"/>
      <c r="O293" s="89"/>
      <c r="P293" s="89"/>
      <c r="Q293" s="89"/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  <c r="AE293" s="89"/>
      <c r="AF293" s="89"/>
      <c r="AG293" s="89"/>
      <c r="AH293" s="89"/>
      <c r="AI293" s="89"/>
      <c r="AJ293" s="89"/>
      <c r="AK293" s="89"/>
      <c r="AL293" s="89"/>
      <c r="AM293" s="89"/>
      <c r="AN293" s="89"/>
      <c r="AO293" s="89"/>
      <c r="AP293" s="89"/>
      <c r="AQ293" s="89"/>
      <c r="AR293" s="89"/>
      <c r="AS293" s="89"/>
      <c r="AT293" s="89"/>
      <c r="AU293" s="89"/>
      <c r="AV293" s="89"/>
      <c r="AW293" s="89"/>
      <c r="AX293" s="89"/>
      <c r="AY293" s="89"/>
      <c r="AZ293" s="89"/>
      <c r="BA293" s="89"/>
      <c r="BB293" s="89"/>
      <c r="BC293" s="89"/>
      <c r="BD293" s="89"/>
      <c r="BE293" s="89"/>
      <c r="BF293" s="89"/>
      <c r="BG293" s="89"/>
      <c r="BH293" s="89"/>
      <c r="BI293" s="89"/>
      <c r="BJ293" s="89"/>
      <c r="BK293" s="89"/>
      <c r="BL293" s="89"/>
      <c r="BM293" s="89"/>
      <c r="BN293" s="89"/>
      <c r="BO293" s="89"/>
      <c r="BP293" s="89"/>
      <c r="BQ293" s="89"/>
      <c r="BR293" s="89"/>
      <c r="BS293" s="89"/>
      <c r="BT293" s="89"/>
      <c r="BU293" s="89"/>
      <c r="BV293" s="89"/>
      <c r="BW293" s="89"/>
      <c r="BX293" s="89"/>
      <c r="BY293" s="89"/>
      <c r="BZ293" s="89"/>
      <c r="CA293" s="89"/>
      <c r="CB293" s="89"/>
      <c r="CC293" s="89"/>
      <c r="CD293" s="89"/>
      <c r="CE293" s="89"/>
      <c r="CF293" s="89"/>
      <c r="CG293" s="89"/>
      <c r="CH293" s="89"/>
      <c r="CI293" s="89"/>
      <c r="CJ293" s="89"/>
      <c r="CK293" s="89"/>
      <c r="CL293" s="89"/>
      <c r="CM293" s="89"/>
      <c r="CN293" s="89"/>
      <c r="CO293" s="89"/>
      <c r="CP293" s="89"/>
      <c r="CQ293" s="89"/>
      <c r="CR293" s="89"/>
      <c r="CS293" s="89"/>
      <c r="CT293" s="89"/>
      <c r="CU293" s="89"/>
      <c r="CV293" s="89"/>
      <c r="CW293" s="89"/>
      <c r="CX293" s="89"/>
      <c r="CY293" s="89"/>
      <c r="CZ293" s="89"/>
      <c r="DA293" s="89"/>
      <c r="DB293" s="89"/>
      <c r="DC293" s="89"/>
      <c r="DD293" s="89"/>
      <c r="DE293" s="89"/>
      <c r="DF293" s="89"/>
      <c r="DG293" s="89"/>
      <c r="DH293" s="89"/>
      <c r="DI293" s="89"/>
      <c r="DJ293" s="89"/>
      <c r="DK293" s="89"/>
      <c r="DL293" s="89"/>
      <c r="DM293" s="89"/>
      <c r="DN293" s="89"/>
      <c r="DO293" s="89"/>
      <c r="DP293" s="89"/>
      <c r="DQ293" s="89"/>
      <c r="DR293" s="89"/>
      <c r="DS293" s="89"/>
      <c r="DT293" s="89"/>
      <c r="DU293" s="89"/>
      <c r="DV293" s="89"/>
      <c r="DW293" s="89"/>
      <c r="DX293" s="89"/>
      <c r="DY293" s="89"/>
      <c r="DZ293" s="89"/>
      <c r="EA293" s="89"/>
      <c r="EB293" s="89"/>
      <c r="EC293" s="89"/>
      <c r="ED293" s="89"/>
      <c r="EE293" s="89"/>
      <c r="EF293" s="89"/>
      <c r="EG293" s="89"/>
      <c r="EH293" s="89"/>
      <c r="EI293" s="89"/>
      <c r="EJ293" s="89"/>
      <c r="EK293" s="89"/>
      <c r="EL293" s="89"/>
      <c r="EM293" s="89"/>
      <c r="EN293" s="89"/>
      <c r="EO293" s="89"/>
      <c r="EP293" s="89"/>
      <c r="EQ293" s="89"/>
      <c r="ER293" s="89"/>
      <c r="ES293" s="89"/>
      <c r="ET293" s="89"/>
      <c r="EU293" s="89"/>
      <c r="EV293" s="89"/>
      <c r="EW293" s="89"/>
      <c r="EX293" s="89"/>
      <c r="EY293" s="89"/>
      <c r="EZ293" s="89"/>
      <c r="FA293" s="89"/>
      <c r="FB293" s="89"/>
      <c r="FC293" s="89"/>
      <c r="FD293" s="89"/>
      <c r="FE293" s="89"/>
      <c r="FF293" s="89"/>
      <c r="FG293" s="89"/>
      <c r="FH293" s="89"/>
      <c r="FI293" s="89"/>
      <c r="FJ293" s="89"/>
      <c r="FK293" s="89"/>
      <c r="FL293" s="89"/>
      <c r="FM293" s="89"/>
      <c r="FN293" s="89"/>
      <c r="FO293" s="89"/>
      <c r="FP293" s="89"/>
      <c r="FQ293" s="89"/>
      <c r="FR293" s="89"/>
      <c r="FS293" s="89"/>
      <c r="FT293" s="89"/>
      <c r="FU293" s="89"/>
      <c r="FV293" s="89"/>
      <c r="FW293" s="89"/>
      <c r="FX293" s="89"/>
      <c r="FY293" s="89"/>
      <c r="FZ293" s="89"/>
      <c r="GA293" s="89"/>
      <c r="GB293" s="89"/>
      <c r="GC293" s="89"/>
      <c r="GD293" s="89"/>
      <c r="GE293" s="89"/>
      <c r="GF293" s="89"/>
      <c r="GG293" s="89"/>
      <c r="GH293" s="89"/>
      <c r="GI293" s="89"/>
      <c r="GJ293" s="89"/>
      <c r="GK293" s="89"/>
      <c r="GL293" s="89"/>
      <c r="GM293" s="89"/>
      <c r="GN293" s="89"/>
      <c r="GO293" s="89"/>
      <c r="GP293" s="89"/>
      <c r="GQ293" s="89"/>
      <c r="GR293" s="89"/>
      <c r="GS293" s="89"/>
      <c r="GT293" s="89"/>
      <c r="GU293" s="89"/>
      <c r="GV293" s="89"/>
      <c r="GW293" s="89"/>
      <c r="GX293" s="89"/>
      <c r="GY293" s="89"/>
      <c r="GZ293" s="89"/>
      <c r="HA293" s="89"/>
      <c r="HB293" s="89"/>
      <c r="HC293" s="89"/>
      <c r="HD293" s="89"/>
      <c r="HE293" s="89"/>
      <c r="HF293" s="89"/>
      <c r="HG293" s="89"/>
      <c r="HH293" s="89"/>
      <c r="HI293" s="89"/>
      <c r="HJ293" s="89"/>
      <c r="HK293" s="89"/>
      <c r="HL293" s="89"/>
      <c r="HM293" s="89"/>
      <c r="HN293" s="89"/>
      <c r="HO293" s="89"/>
      <c r="HP293" s="89"/>
      <c r="HQ293" s="89"/>
      <c r="HR293" s="89"/>
      <c r="HS293" s="89"/>
      <c r="HT293" s="89"/>
      <c r="HU293" s="89"/>
      <c r="HV293" s="89"/>
      <c r="HW293" s="89"/>
      <c r="HX293" s="89"/>
      <c r="HY293" s="89"/>
      <c r="HZ293" s="89"/>
      <c r="IA293" s="89"/>
      <c r="IB293" s="89"/>
      <c r="IC293" s="89"/>
      <c r="ID293" s="89"/>
      <c r="IE293" s="89"/>
      <c r="IF293" s="89"/>
      <c r="IG293" s="89"/>
      <c r="IH293" s="89"/>
      <c r="II293" s="89"/>
      <c r="IJ293" s="89"/>
      <c r="IK293" s="89"/>
      <c r="IL293" s="89"/>
      <c r="IM293" s="89"/>
      <c r="IN293" s="89"/>
      <c r="IO293" s="89"/>
      <c r="IP293" s="89"/>
      <c r="IQ293" s="89"/>
      <c r="IR293" s="89"/>
      <c r="IS293" s="89"/>
      <c r="IT293" s="89"/>
      <c r="IU293" s="89"/>
      <c r="IV293" s="89"/>
    </row>
    <row r="294" spans="1:256" s="90" customFormat="1" ht="17" customHeight="1" x14ac:dyDescent="0.15">
      <c r="A294" s="148"/>
      <c r="B294" s="145"/>
      <c r="C294" s="128"/>
      <c r="D294" s="154"/>
      <c r="E294" s="93"/>
      <c r="F294" s="94" t="s">
        <v>518</v>
      </c>
      <c r="G294" s="86" t="s">
        <v>67</v>
      </c>
      <c r="H294" s="86">
        <f t="shared" si="8"/>
        <v>5</v>
      </c>
      <c r="I294" s="86">
        <f>IF([1]项目总工作量!B$6="交易类",H294*1.5/22,IF([1]项目总工作量!B$6="数据分析类",H294*1.5*0.9/22,IF([1]项目总工作量!B$6="流程管理类",H294*1.5*0.8/22,IF([1]项目总工作量!B$6="渠道类",H294*1.5*0.7/22,FALSE))))</f>
        <v>0.34090909090909088</v>
      </c>
      <c r="J294" s="86" t="s">
        <v>44</v>
      </c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89"/>
      <c r="AI294" s="89"/>
      <c r="AJ294" s="89"/>
      <c r="AK294" s="89"/>
      <c r="AL294" s="89"/>
      <c r="AM294" s="89"/>
      <c r="AN294" s="89"/>
      <c r="AO294" s="89"/>
      <c r="AP294" s="89"/>
      <c r="AQ294" s="89"/>
      <c r="AR294" s="89"/>
      <c r="AS294" s="89"/>
      <c r="AT294" s="89"/>
      <c r="AU294" s="89"/>
      <c r="AV294" s="89"/>
      <c r="AW294" s="89"/>
      <c r="AX294" s="89"/>
      <c r="AY294" s="89"/>
      <c r="AZ294" s="89"/>
      <c r="BA294" s="89"/>
      <c r="BB294" s="89"/>
      <c r="BC294" s="89"/>
      <c r="BD294" s="89"/>
      <c r="BE294" s="89"/>
      <c r="BF294" s="89"/>
      <c r="BG294" s="89"/>
      <c r="BH294" s="89"/>
      <c r="BI294" s="89"/>
      <c r="BJ294" s="89"/>
      <c r="BK294" s="89"/>
      <c r="BL294" s="89"/>
      <c r="BM294" s="89"/>
      <c r="BN294" s="89"/>
      <c r="BO294" s="89"/>
      <c r="BP294" s="89"/>
      <c r="BQ294" s="89"/>
      <c r="BR294" s="89"/>
      <c r="BS294" s="89"/>
      <c r="BT294" s="89"/>
      <c r="BU294" s="89"/>
      <c r="BV294" s="89"/>
      <c r="BW294" s="89"/>
      <c r="BX294" s="89"/>
      <c r="BY294" s="89"/>
      <c r="BZ294" s="89"/>
      <c r="CA294" s="89"/>
      <c r="CB294" s="89"/>
      <c r="CC294" s="89"/>
      <c r="CD294" s="89"/>
      <c r="CE294" s="89"/>
      <c r="CF294" s="89"/>
      <c r="CG294" s="89"/>
      <c r="CH294" s="89"/>
      <c r="CI294" s="89"/>
      <c r="CJ294" s="89"/>
      <c r="CK294" s="89"/>
      <c r="CL294" s="89"/>
      <c r="CM294" s="89"/>
      <c r="CN294" s="89"/>
      <c r="CO294" s="89"/>
      <c r="CP294" s="89"/>
      <c r="CQ294" s="89"/>
      <c r="CR294" s="89"/>
      <c r="CS294" s="89"/>
      <c r="CT294" s="89"/>
      <c r="CU294" s="89"/>
      <c r="CV294" s="89"/>
      <c r="CW294" s="89"/>
      <c r="CX294" s="89"/>
      <c r="CY294" s="89"/>
      <c r="CZ294" s="89"/>
      <c r="DA294" s="89"/>
      <c r="DB294" s="89"/>
      <c r="DC294" s="89"/>
      <c r="DD294" s="89"/>
      <c r="DE294" s="89"/>
      <c r="DF294" s="89"/>
      <c r="DG294" s="89"/>
      <c r="DH294" s="89"/>
      <c r="DI294" s="89"/>
      <c r="DJ294" s="89"/>
      <c r="DK294" s="89"/>
      <c r="DL294" s="89"/>
      <c r="DM294" s="89"/>
      <c r="DN294" s="89"/>
      <c r="DO294" s="89"/>
      <c r="DP294" s="89"/>
      <c r="DQ294" s="89"/>
      <c r="DR294" s="89"/>
      <c r="DS294" s="89"/>
      <c r="DT294" s="89"/>
      <c r="DU294" s="89"/>
      <c r="DV294" s="89"/>
      <c r="DW294" s="89"/>
      <c r="DX294" s="89"/>
      <c r="DY294" s="89"/>
      <c r="DZ294" s="89"/>
      <c r="EA294" s="89"/>
      <c r="EB294" s="89"/>
      <c r="EC294" s="89"/>
      <c r="ED294" s="89"/>
      <c r="EE294" s="89"/>
      <c r="EF294" s="89"/>
      <c r="EG294" s="89"/>
      <c r="EH294" s="89"/>
      <c r="EI294" s="89"/>
      <c r="EJ294" s="89"/>
      <c r="EK294" s="89"/>
      <c r="EL294" s="89"/>
      <c r="EM294" s="89"/>
      <c r="EN294" s="89"/>
      <c r="EO294" s="89"/>
      <c r="EP294" s="89"/>
      <c r="EQ294" s="89"/>
      <c r="ER294" s="89"/>
      <c r="ES294" s="89"/>
      <c r="ET294" s="89"/>
      <c r="EU294" s="89"/>
      <c r="EV294" s="89"/>
      <c r="EW294" s="89"/>
      <c r="EX294" s="89"/>
      <c r="EY294" s="89"/>
      <c r="EZ294" s="89"/>
      <c r="FA294" s="89"/>
      <c r="FB294" s="89"/>
      <c r="FC294" s="89"/>
      <c r="FD294" s="89"/>
      <c r="FE294" s="89"/>
      <c r="FF294" s="89"/>
      <c r="FG294" s="89"/>
      <c r="FH294" s="89"/>
      <c r="FI294" s="89"/>
      <c r="FJ294" s="89"/>
      <c r="FK294" s="89"/>
      <c r="FL294" s="89"/>
      <c r="FM294" s="89"/>
      <c r="FN294" s="89"/>
      <c r="FO294" s="89"/>
      <c r="FP294" s="89"/>
      <c r="FQ294" s="89"/>
      <c r="FR294" s="89"/>
      <c r="FS294" s="89"/>
      <c r="FT294" s="89"/>
      <c r="FU294" s="89"/>
      <c r="FV294" s="89"/>
      <c r="FW294" s="89"/>
      <c r="FX294" s="89"/>
      <c r="FY294" s="89"/>
      <c r="FZ294" s="89"/>
      <c r="GA294" s="89"/>
      <c r="GB294" s="89"/>
      <c r="GC294" s="89"/>
      <c r="GD294" s="89"/>
      <c r="GE294" s="89"/>
      <c r="GF294" s="89"/>
      <c r="GG294" s="89"/>
      <c r="GH294" s="89"/>
      <c r="GI294" s="89"/>
      <c r="GJ294" s="89"/>
      <c r="GK294" s="89"/>
      <c r="GL294" s="89"/>
      <c r="GM294" s="89"/>
      <c r="GN294" s="89"/>
      <c r="GO294" s="89"/>
      <c r="GP294" s="89"/>
      <c r="GQ294" s="89"/>
      <c r="GR294" s="89"/>
      <c r="GS294" s="89"/>
      <c r="GT294" s="89"/>
      <c r="GU294" s="89"/>
      <c r="GV294" s="89"/>
      <c r="GW294" s="89"/>
      <c r="GX294" s="89"/>
      <c r="GY294" s="89"/>
      <c r="GZ294" s="89"/>
      <c r="HA294" s="89"/>
      <c r="HB294" s="89"/>
      <c r="HC294" s="89"/>
      <c r="HD294" s="89"/>
      <c r="HE294" s="89"/>
      <c r="HF294" s="89"/>
      <c r="HG294" s="89"/>
      <c r="HH294" s="89"/>
      <c r="HI294" s="89"/>
      <c r="HJ294" s="89"/>
      <c r="HK294" s="89"/>
      <c r="HL294" s="89"/>
      <c r="HM294" s="89"/>
      <c r="HN294" s="89"/>
      <c r="HO294" s="89"/>
      <c r="HP294" s="89"/>
      <c r="HQ294" s="89"/>
      <c r="HR294" s="89"/>
      <c r="HS294" s="89"/>
      <c r="HT294" s="89"/>
      <c r="HU294" s="89"/>
      <c r="HV294" s="89"/>
      <c r="HW294" s="89"/>
      <c r="HX294" s="89"/>
      <c r="HY294" s="89"/>
      <c r="HZ294" s="89"/>
      <c r="IA294" s="89"/>
      <c r="IB294" s="89"/>
      <c r="IC294" s="89"/>
      <c r="ID294" s="89"/>
      <c r="IE294" s="89"/>
      <c r="IF294" s="89"/>
      <c r="IG294" s="89"/>
      <c r="IH294" s="89"/>
      <c r="II294" s="89"/>
      <c r="IJ294" s="89"/>
      <c r="IK294" s="89"/>
      <c r="IL294" s="89"/>
      <c r="IM294" s="89"/>
      <c r="IN294" s="89"/>
      <c r="IO294" s="89"/>
      <c r="IP294" s="89"/>
      <c r="IQ294" s="89"/>
      <c r="IR294" s="89"/>
      <c r="IS294" s="89"/>
      <c r="IT294" s="89"/>
      <c r="IU294" s="89"/>
      <c r="IV294" s="89"/>
    </row>
    <row r="295" spans="1:256" s="90" customFormat="1" ht="17" customHeight="1" x14ac:dyDescent="0.15">
      <c r="A295" s="148"/>
      <c r="B295" s="145"/>
      <c r="C295" s="128"/>
      <c r="D295" s="154"/>
      <c r="E295" s="93"/>
      <c r="F295" s="99" t="s">
        <v>519</v>
      </c>
      <c r="G295" s="86" t="s">
        <v>67</v>
      </c>
      <c r="H295" s="86">
        <f t="shared" si="8"/>
        <v>5</v>
      </c>
      <c r="I295" s="86">
        <f>IF([1]项目总工作量!B$6="交易类",H295*1.5/22,IF([1]项目总工作量!B$6="数据分析类",H295*1.5*0.9/22,IF([1]项目总工作量!B$6="流程管理类",H295*1.5*0.8/22,IF([1]项目总工作量!B$6="渠道类",H295*1.5*0.7/22,FALSE))))</f>
        <v>0.34090909090909088</v>
      </c>
      <c r="J295" s="86" t="s">
        <v>44</v>
      </c>
      <c r="K295" s="89"/>
      <c r="L295" s="89"/>
      <c r="M295" s="89"/>
      <c r="N295" s="89"/>
      <c r="O295" s="89"/>
      <c r="P295" s="89"/>
      <c r="Q295" s="89"/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  <c r="AE295" s="89"/>
      <c r="AF295" s="89"/>
      <c r="AG295" s="89"/>
      <c r="AH295" s="89"/>
      <c r="AI295" s="89"/>
      <c r="AJ295" s="89"/>
      <c r="AK295" s="89"/>
      <c r="AL295" s="89"/>
      <c r="AM295" s="89"/>
      <c r="AN295" s="89"/>
      <c r="AO295" s="89"/>
      <c r="AP295" s="89"/>
      <c r="AQ295" s="89"/>
      <c r="AR295" s="89"/>
      <c r="AS295" s="89"/>
      <c r="AT295" s="89"/>
      <c r="AU295" s="89"/>
      <c r="AV295" s="89"/>
      <c r="AW295" s="89"/>
      <c r="AX295" s="89"/>
      <c r="AY295" s="89"/>
      <c r="AZ295" s="89"/>
      <c r="BA295" s="89"/>
      <c r="BB295" s="89"/>
      <c r="BC295" s="89"/>
      <c r="BD295" s="89"/>
      <c r="BE295" s="89"/>
      <c r="BF295" s="89"/>
      <c r="BG295" s="89"/>
      <c r="BH295" s="89"/>
      <c r="BI295" s="89"/>
      <c r="BJ295" s="89"/>
      <c r="BK295" s="89"/>
      <c r="BL295" s="89"/>
      <c r="BM295" s="89"/>
      <c r="BN295" s="89"/>
      <c r="BO295" s="89"/>
      <c r="BP295" s="89"/>
      <c r="BQ295" s="89"/>
      <c r="BR295" s="89"/>
      <c r="BS295" s="89"/>
      <c r="BT295" s="89"/>
      <c r="BU295" s="89"/>
      <c r="BV295" s="89"/>
      <c r="BW295" s="89"/>
      <c r="BX295" s="89"/>
      <c r="BY295" s="89"/>
      <c r="BZ295" s="89"/>
      <c r="CA295" s="89"/>
      <c r="CB295" s="89"/>
      <c r="CC295" s="89"/>
      <c r="CD295" s="89"/>
      <c r="CE295" s="89"/>
      <c r="CF295" s="89"/>
      <c r="CG295" s="89"/>
      <c r="CH295" s="89"/>
      <c r="CI295" s="89"/>
      <c r="CJ295" s="89"/>
      <c r="CK295" s="89"/>
      <c r="CL295" s="89"/>
      <c r="CM295" s="89"/>
      <c r="CN295" s="89"/>
      <c r="CO295" s="89"/>
      <c r="CP295" s="89"/>
      <c r="CQ295" s="89"/>
      <c r="CR295" s="89"/>
      <c r="CS295" s="89"/>
      <c r="CT295" s="89"/>
      <c r="CU295" s="89"/>
      <c r="CV295" s="89"/>
      <c r="CW295" s="89"/>
      <c r="CX295" s="89"/>
      <c r="CY295" s="89"/>
      <c r="CZ295" s="89"/>
      <c r="DA295" s="89"/>
      <c r="DB295" s="89"/>
      <c r="DC295" s="89"/>
      <c r="DD295" s="89"/>
      <c r="DE295" s="89"/>
      <c r="DF295" s="89"/>
      <c r="DG295" s="89"/>
      <c r="DH295" s="89"/>
      <c r="DI295" s="89"/>
      <c r="DJ295" s="89"/>
      <c r="DK295" s="89"/>
      <c r="DL295" s="89"/>
      <c r="DM295" s="89"/>
      <c r="DN295" s="89"/>
      <c r="DO295" s="89"/>
      <c r="DP295" s="89"/>
      <c r="DQ295" s="89"/>
      <c r="DR295" s="89"/>
      <c r="DS295" s="89"/>
      <c r="DT295" s="89"/>
      <c r="DU295" s="89"/>
      <c r="DV295" s="89"/>
      <c r="DW295" s="89"/>
      <c r="DX295" s="89"/>
      <c r="DY295" s="89"/>
      <c r="DZ295" s="89"/>
      <c r="EA295" s="89"/>
      <c r="EB295" s="89"/>
      <c r="EC295" s="89"/>
      <c r="ED295" s="89"/>
      <c r="EE295" s="89"/>
      <c r="EF295" s="89"/>
      <c r="EG295" s="89"/>
      <c r="EH295" s="89"/>
      <c r="EI295" s="89"/>
      <c r="EJ295" s="89"/>
      <c r="EK295" s="89"/>
      <c r="EL295" s="89"/>
      <c r="EM295" s="89"/>
      <c r="EN295" s="89"/>
      <c r="EO295" s="89"/>
      <c r="EP295" s="89"/>
      <c r="EQ295" s="89"/>
      <c r="ER295" s="89"/>
      <c r="ES295" s="89"/>
      <c r="ET295" s="89"/>
      <c r="EU295" s="89"/>
      <c r="EV295" s="89"/>
      <c r="EW295" s="89"/>
      <c r="EX295" s="89"/>
      <c r="EY295" s="89"/>
      <c r="EZ295" s="89"/>
      <c r="FA295" s="89"/>
      <c r="FB295" s="89"/>
      <c r="FC295" s="89"/>
      <c r="FD295" s="89"/>
      <c r="FE295" s="89"/>
      <c r="FF295" s="89"/>
      <c r="FG295" s="89"/>
      <c r="FH295" s="89"/>
      <c r="FI295" s="89"/>
      <c r="FJ295" s="89"/>
      <c r="FK295" s="89"/>
      <c r="FL295" s="89"/>
      <c r="FM295" s="89"/>
      <c r="FN295" s="89"/>
      <c r="FO295" s="89"/>
      <c r="FP295" s="89"/>
      <c r="FQ295" s="89"/>
      <c r="FR295" s="89"/>
      <c r="FS295" s="89"/>
      <c r="FT295" s="89"/>
      <c r="FU295" s="89"/>
      <c r="FV295" s="89"/>
      <c r="FW295" s="89"/>
      <c r="FX295" s="89"/>
      <c r="FY295" s="89"/>
      <c r="FZ295" s="89"/>
      <c r="GA295" s="89"/>
      <c r="GB295" s="89"/>
      <c r="GC295" s="89"/>
      <c r="GD295" s="89"/>
      <c r="GE295" s="89"/>
      <c r="GF295" s="89"/>
      <c r="GG295" s="89"/>
      <c r="GH295" s="89"/>
      <c r="GI295" s="89"/>
      <c r="GJ295" s="89"/>
      <c r="GK295" s="89"/>
      <c r="GL295" s="89"/>
      <c r="GM295" s="89"/>
      <c r="GN295" s="89"/>
      <c r="GO295" s="89"/>
      <c r="GP295" s="89"/>
      <c r="GQ295" s="89"/>
      <c r="GR295" s="89"/>
      <c r="GS295" s="89"/>
      <c r="GT295" s="89"/>
      <c r="GU295" s="89"/>
      <c r="GV295" s="89"/>
      <c r="GW295" s="89"/>
      <c r="GX295" s="89"/>
      <c r="GY295" s="89"/>
      <c r="GZ295" s="89"/>
      <c r="HA295" s="89"/>
      <c r="HB295" s="89"/>
      <c r="HC295" s="89"/>
      <c r="HD295" s="89"/>
      <c r="HE295" s="89"/>
      <c r="HF295" s="89"/>
      <c r="HG295" s="89"/>
      <c r="HH295" s="89"/>
      <c r="HI295" s="89"/>
      <c r="HJ295" s="89"/>
      <c r="HK295" s="89"/>
      <c r="HL295" s="89"/>
      <c r="HM295" s="89"/>
      <c r="HN295" s="89"/>
      <c r="HO295" s="89"/>
      <c r="HP295" s="89"/>
      <c r="HQ295" s="89"/>
      <c r="HR295" s="89"/>
      <c r="HS295" s="89"/>
      <c r="HT295" s="89"/>
      <c r="HU295" s="89"/>
      <c r="HV295" s="89"/>
      <c r="HW295" s="89"/>
      <c r="HX295" s="89"/>
      <c r="HY295" s="89"/>
      <c r="HZ295" s="89"/>
      <c r="IA295" s="89"/>
      <c r="IB295" s="89"/>
      <c r="IC295" s="89"/>
      <c r="ID295" s="89"/>
      <c r="IE295" s="89"/>
      <c r="IF295" s="89"/>
      <c r="IG295" s="89"/>
      <c r="IH295" s="89"/>
      <c r="II295" s="89"/>
      <c r="IJ295" s="89"/>
      <c r="IK295" s="89"/>
      <c r="IL295" s="89"/>
      <c r="IM295" s="89"/>
      <c r="IN295" s="89"/>
      <c r="IO295" s="89"/>
      <c r="IP295" s="89"/>
      <c r="IQ295" s="89"/>
      <c r="IR295" s="89"/>
      <c r="IS295" s="89"/>
      <c r="IT295" s="89"/>
      <c r="IU295" s="89"/>
      <c r="IV295" s="89"/>
    </row>
    <row r="296" spans="1:256" s="90" customFormat="1" ht="17" customHeight="1" x14ac:dyDescent="0.15">
      <c r="A296" s="149"/>
      <c r="B296" s="146"/>
      <c r="C296" s="128"/>
      <c r="D296" s="154"/>
      <c r="E296" s="93"/>
      <c r="F296" s="99" t="s">
        <v>520</v>
      </c>
      <c r="G296" s="86" t="s">
        <v>67</v>
      </c>
      <c r="H296" s="86">
        <f t="shared" si="8"/>
        <v>5</v>
      </c>
      <c r="I296" s="86">
        <f>IF([1]项目总工作量!B$6="交易类",H296*1.5/22,IF([1]项目总工作量!B$6="数据分析类",H296*1.5*0.9/22,IF([1]项目总工作量!B$6="流程管理类",H296*1.5*0.8/22,IF([1]项目总工作量!B$6="渠道类",H296*1.5*0.7/22,FALSE))))</f>
        <v>0.34090909090909088</v>
      </c>
      <c r="J296" s="86" t="s">
        <v>44</v>
      </c>
      <c r="K296" s="89"/>
      <c r="L296" s="89"/>
      <c r="M296" s="89"/>
      <c r="N296" s="89"/>
      <c r="O296" s="89"/>
      <c r="P296" s="89"/>
      <c r="Q296" s="89"/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  <c r="AE296" s="89"/>
      <c r="AF296" s="89"/>
      <c r="AG296" s="89"/>
      <c r="AH296" s="89"/>
      <c r="AI296" s="89"/>
      <c r="AJ296" s="89"/>
      <c r="AK296" s="89"/>
      <c r="AL296" s="89"/>
      <c r="AM296" s="89"/>
      <c r="AN296" s="89"/>
      <c r="AO296" s="89"/>
      <c r="AP296" s="89"/>
      <c r="AQ296" s="89"/>
      <c r="AR296" s="89"/>
      <c r="AS296" s="89"/>
      <c r="AT296" s="89"/>
      <c r="AU296" s="89"/>
      <c r="AV296" s="89"/>
      <c r="AW296" s="89"/>
      <c r="AX296" s="89"/>
      <c r="AY296" s="89"/>
      <c r="AZ296" s="89"/>
      <c r="BA296" s="89"/>
      <c r="BB296" s="89"/>
      <c r="BC296" s="89"/>
      <c r="BD296" s="89"/>
      <c r="BE296" s="89"/>
      <c r="BF296" s="89"/>
      <c r="BG296" s="89"/>
      <c r="BH296" s="89"/>
      <c r="BI296" s="89"/>
      <c r="BJ296" s="89"/>
      <c r="BK296" s="89"/>
      <c r="BL296" s="89"/>
      <c r="BM296" s="89"/>
      <c r="BN296" s="89"/>
      <c r="BO296" s="89"/>
      <c r="BP296" s="89"/>
      <c r="BQ296" s="89"/>
      <c r="BR296" s="89"/>
      <c r="BS296" s="89"/>
      <c r="BT296" s="89"/>
      <c r="BU296" s="89"/>
      <c r="BV296" s="89"/>
      <c r="BW296" s="89"/>
      <c r="BX296" s="89"/>
      <c r="BY296" s="89"/>
      <c r="BZ296" s="89"/>
      <c r="CA296" s="89"/>
      <c r="CB296" s="89"/>
      <c r="CC296" s="89"/>
      <c r="CD296" s="89"/>
      <c r="CE296" s="89"/>
      <c r="CF296" s="89"/>
      <c r="CG296" s="89"/>
      <c r="CH296" s="89"/>
      <c r="CI296" s="89"/>
      <c r="CJ296" s="89"/>
      <c r="CK296" s="89"/>
      <c r="CL296" s="89"/>
      <c r="CM296" s="89"/>
      <c r="CN296" s="89"/>
      <c r="CO296" s="89"/>
      <c r="CP296" s="89"/>
      <c r="CQ296" s="89"/>
      <c r="CR296" s="89"/>
      <c r="CS296" s="89"/>
      <c r="CT296" s="89"/>
      <c r="CU296" s="89"/>
      <c r="CV296" s="89"/>
      <c r="CW296" s="89"/>
      <c r="CX296" s="89"/>
      <c r="CY296" s="89"/>
      <c r="CZ296" s="89"/>
      <c r="DA296" s="89"/>
      <c r="DB296" s="89"/>
      <c r="DC296" s="89"/>
      <c r="DD296" s="89"/>
      <c r="DE296" s="89"/>
      <c r="DF296" s="89"/>
      <c r="DG296" s="89"/>
      <c r="DH296" s="89"/>
      <c r="DI296" s="89"/>
      <c r="DJ296" s="89"/>
      <c r="DK296" s="89"/>
      <c r="DL296" s="89"/>
      <c r="DM296" s="89"/>
      <c r="DN296" s="89"/>
      <c r="DO296" s="89"/>
      <c r="DP296" s="89"/>
      <c r="DQ296" s="89"/>
      <c r="DR296" s="89"/>
      <c r="DS296" s="89"/>
      <c r="DT296" s="89"/>
      <c r="DU296" s="89"/>
      <c r="DV296" s="89"/>
      <c r="DW296" s="89"/>
      <c r="DX296" s="89"/>
      <c r="DY296" s="89"/>
      <c r="DZ296" s="89"/>
      <c r="EA296" s="89"/>
      <c r="EB296" s="89"/>
      <c r="EC296" s="89"/>
      <c r="ED296" s="89"/>
      <c r="EE296" s="89"/>
      <c r="EF296" s="89"/>
      <c r="EG296" s="89"/>
      <c r="EH296" s="89"/>
      <c r="EI296" s="89"/>
      <c r="EJ296" s="89"/>
      <c r="EK296" s="89"/>
      <c r="EL296" s="89"/>
      <c r="EM296" s="89"/>
      <c r="EN296" s="89"/>
      <c r="EO296" s="89"/>
      <c r="EP296" s="89"/>
      <c r="EQ296" s="89"/>
      <c r="ER296" s="89"/>
      <c r="ES296" s="89"/>
      <c r="ET296" s="89"/>
      <c r="EU296" s="89"/>
      <c r="EV296" s="89"/>
      <c r="EW296" s="89"/>
      <c r="EX296" s="89"/>
      <c r="EY296" s="89"/>
      <c r="EZ296" s="89"/>
      <c r="FA296" s="89"/>
      <c r="FB296" s="89"/>
      <c r="FC296" s="89"/>
      <c r="FD296" s="89"/>
      <c r="FE296" s="89"/>
      <c r="FF296" s="89"/>
      <c r="FG296" s="89"/>
      <c r="FH296" s="89"/>
      <c r="FI296" s="89"/>
      <c r="FJ296" s="89"/>
      <c r="FK296" s="89"/>
      <c r="FL296" s="89"/>
      <c r="FM296" s="89"/>
      <c r="FN296" s="89"/>
      <c r="FO296" s="89"/>
      <c r="FP296" s="89"/>
      <c r="FQ296" s="89"/>
      <c r="FR296" s="89"/>
      <c r="FS296" s="89"/>
      <c r="FT296" s="89"/>
      <c r="FU296" s="89"/>
      <c r="FV296" s="89"/>
      <c r="FW296" s="89"/>
      <c r="FX296" s="89"/>
      <c r="FY296" s="89"/>
      <c r="FZ296" s="89"/>
      <c r="GA296" s="89"/>
      <c r="GB296" s="89"/>
      <c r="GC296" s="89"/>
      <c r="GD296" s="89"/>
      <c r="GE296" s="89"/>
      <c r="GF296" s="89"/>
      <c r="GG296" s="89"/>
      <c r="GH296" s="89"/>
      <c r="GI296" s="89"/>
      <c r="GJ296" s="89"/>
      <c r="GK296" s="89"/>
      <c r="GL296" s="89"/>
      <c r="GM296" s="89"/>
      <c r="GN296" s="89"/>
      <c r="GO296" s="89"/>
      <c r="GP296" s="89"/>
      <c r="GQ296" s="89"/>
      <c r="GR296" s="89"/>
      <c r="GS296" s="89"/>
      <c r="GT296" s="89"/>
      <c r="GU296" s="89"/>
      <c r="GV296" s="89"/>
      <c r="GW296" s="89"/>
      <c r="GX296" s="89"/>
      <c r="GY296" s="89"/>
      <c r="GZ296" s="89"/>
      <c r="HA296" s="89"/>
      <c r="HB296" s="89"/>
      <c r="HC296" s="89"/>
      <c r="HD296" s="89"/>
      <c r="HE296" s="89"/>
      <c r="HF296" s="89"/>
      <c r="HG296" s="89"/>
      <c r="HH296" s="89"/>
      <c r="HI296" s="89"/>
      <c r="HJ296" s="89"/>
      <c r="HK296" s="89"/>
      <c r="HL296" s="89"/>
      <c r="HM296" s="89"/>
      <c r="HN296" s="89"/>
      <c r="HO296" s="89"/>
      <c r="HP296" s="89"/>
      <c r="HQ296" s="89"/>
      <c r="HR296" s="89"/>
      <c r="HS296" s="89"/>
      <c r="HT296" s="89"/>
      <c r="HU296" s="89"/>
      <c r="HV296" s="89"/>
      <c r="HW296" s="89"/>
      <c r="HX296" s="89"/>
      <c r="HY296" s="89"/>
      <c r="HZ296" s="89"/>
      <c r="IA296" s="89"/>
      <c r="IB296" s="89"/>
      <c r="IC296" s="89"/>
      <c r="ID296" s="89"/>
      <c r="IE296" s="89"/>
      <c r="IF296" s="89"/>
      <c r="IG296" s="89"/>
      <c r="IH296" s="89"/>
      <c r="II296" s="89"/>
      <c r="IJ296" s="89"/>
      <c r="IK296" s="89"/>
      <c r="IL296" s="89"/>
      <c r="IM296" s="89"/>
      <c r="IN296" s="89"/>
      <c r="IO296" s="89"/>
      <c r="IP296" s="89"/>
      <c r="IQ296" s="89"/>
      <c r="IR296" s="89"/>
      <c r="IS296" s="89"/>
      <c r="IT296" s="89"/>
      <c r="IU296" s="89"/>
      <c r="IV296" s="89"/>
    </row>
    <row r="297" spans="1:256" s="140" customFormat="1" ht="14" x14ac:dyDescent="0.15">
      <c r="A297" s="165">
        <v>5</v>
      </c>
      <c r="B297" s="166" t="s">
        <v>636</v>
      </c>
      <c r="C297" s="166" t="s">
        <v>637</v>
      </c>
      <c r="D297" s="155">
        <f t="shared" ref="D297:D311" si="10">I297</f>
        <v>0.27272727272727271</v>
      </c>
      <c r="E297" s="138"/>
      <c r="F297" s="150" t="s">
        <v>158</v>
      </c>
      <c r="G297" s="151" t="s">
        <v>66</v>
      </c>
      <c r="H297" s="86">
        <f t="shared" si="8"/>
        <v>4</v>
      </c>
      <c r="I297" s="86">
        <f>IF([1]项目总工作量!B$6="交易类",H297*1.5/22,IF([1]项目总工作量!B$6="数据分析类",H297*1.5*0.9/22,IF([1]项目总工作量!B$6="流程管理类",H297*1.5*0.8/22,IF([1]项目总工作量!B$6="渠道类",H297*1.5*0.7/22,FALSE))))</f>
        <v>0.27272727272727271</v>
      </c>
      <c r="J297" s="86" t="s">
        <v>44</v>
      </c>
    </row>
    <row r="298" spans="1:256" s="140" customFormat="1" ht="14" x14ac:dyDescent="0.15">
      <c r="A298" s="165"/>
      <c r="B298" s="166"/>
      <c r="C298" s="166"/>
      <c r="D298" s="155">
        <f t="shared" si="10"/>
        <v>0.27272727272727271</v>
      </c>
      <c r="E298" s="138"/>
      <c r="F298" s="150" t="s">
        <v>159</v>
      </c>
      <c r="G298" s="151" t="s">
        <v>66</v>
      </c>
      <c r="H298" s="86">
        <f t="shared" si="8"/>
        <v>4</v>
      </c>
      <c r="I298" s="86">
        <f>IF([1]项目总工作量!B$6="交易类",H298*1.5/22,IF([1]项目总工作量!B$6="数据分析类",H298*1.5*0.9/22,IF([1]项目总工作量!B$6="流程管理类",H298*1.5*0.8/22,IF([1]项目总工作量!B$6="渠道类",H298*1.5*0.7/22,FALSE))))</f>
        <v>0.27272727272727271</v>
      </c>
      <c r="J298" s="86" t="s">
        <v>44</v>
      </c>
    </row>
    <row r="299" spans="1:256" s="140" customFormat="1" ht="14" x14ac:dyDescent="0.15">
      <c r="A299" s="165"/>
      <c r="B299" s="166"/>
      <c r="C299" s="166"/>
      <c r="D299" s="155">
        <f t="shared" si="10"/>
        <v>0.27272727272727271</v>
      </c>
      <c r="E299" s="138"/>
      <c r="F299" s="150" t="s">
        <v>638</v>
      </c>
      <c r="G299" s="151" t="s">
        <v>639</v>
      </c>
      <c r="H299" s="139">
        <f t="shared" ref="H297:H310" si="11">IF(G299="EI",4,IF(G299="EO",5,IF(G299="EQ",4,0)))</f>
        <v>4</v>
      </c>
      <c r="I299" s="86">
        <f>IF([1]项目总工作量!B$6="交易类",H299*1.5/22,IF([1]项目总工作量!B$6="数据分析类",H299*1.5*0.9/22,IF([1]项目总工作量!B$6="流程管理类",H299*1.5*0.8/22,IF([1]项目总工作量!B$6="渠道类",H299*1.5*0.7/22,FALSE))))</f>
        <v>0.27272727272727271</v>
      </c>
      <c r="J299" s="86" t="s">
        <v>44</v>
      </c>
    </row>
    <row r="300" spans="1:256" s="140" customFormat="1" ht="14" x14ac:dyDescent="0.15">
      <c r="A300" s="165"/>
      <c r="B300" s="166"/>
      <c r="C300" s="166"/>
      <c r="D300" s="155">
        <f t="shared" si="10"/>
        <v>0.27272727272727271</v>
      </c>
      <c r="E300" s="138"/>
      <c r="F300" s="150" t="s">
        <v>163</v>
      </c>
      <c r="G300" s="151" t="s">
        <v>66</v>
      </c>
      <c r="H300" s="139">
        <f t="shared" si="11"/>
        <v>4</v>
      </c>
      <c r="I300" s="86">
        <f>IF([1]项目总工作量!B$6="交易类",H300*1.5/22,IF([1]项目总工作量!B$6="数据分析类",H300*1.5*0.9/22,IF([1]项目总工作量!B$6="流程管理类",H300*1.5*0.8/22,IF([1]项目总工作量!B$6="渠道类",H300*1.5*0.7/22,FALSE))))</f>
        <v>0.27272727272727271</v>
      </c>
      <c r="J300" s="86" t="s">
        <v>44</v>
      </c>
    </row>
    <row r="301" spans="1:256" s="140" customFormat="1" ht="14" x14ac:dyDescent="0.15">
      <c r="A301" s="165"/>
      <c r="B301" s="166"/>
      <c r="C301" s="166"/>
      <c r="D301" s="155">
        <f t="shared" si="10"/>
        <v>0.27272727272727271</v>
      </c>
      <c r="E301" s="138"/>
      <c r="F301" s="150" t="s">
        <v>640</v>
      </c>
      <c r="G301" s="151" t="s">
        <v>66</v>
      </c>
      <c r="H301" s="139">
        <f t="shared" si="11"/>
        <v>4</v>
      </c>
      <c r="I301" s="86">
        <f>IF([1]项目总工作量!B$6="交易类",H301*1.5/22,IF([1]项目总工作量!B$6="数据分析类",H301*1.5*0.9/22,IF([1]项目总工作量!B$6="流程管理类",H301*1.5*0.8/22,IF([1]项目总工作量!B$6="渠道类",H301*1.5*0.7/22,FALSE))))</f>
        <v>0.27272727272727271</v>
      </c>
      <c r="J301" s="86" t="s">
        <v>44</v>
      </c>
    </row>
    <row r="302" spans="1:256" s="140" customFormat="1" ht="14" x14ac:dyDescent="0.15">
      <c r="A302" s="165"/>
      <c r="B302" s="166"/>
      <c r="C302" s="166"/>
      <c r="D302" s="155">
        <f t="shared" si="10"/>
        <v>0.27272727272727271</v>
      </c>
      <c r="E302" s="138"/>
      <c r="F302" s="150" t="s">
        <v>164</v>
      </c>
      <c r="G302" s="151" t="s">
        <v>66</v>
      </c>
      <c r="H302" s="139">
        <f t="shared" si="11"/>
        <v>4</v>
      </c>
      <c r="I302" s="86">
        <f>IF([1]项目总工作量!B$6="交易类",H302*1.5/22,IF([1]项目总工作量!B$6="数据分析类",H302*1.5*0.9/22,IF([1]项目总工作量!B$6="流程管理类",H302*1.5*0.8/22,IF([1]项目总工作量!B$6="渠道类",H302*1.5*0.7/22,FALSE))))</f>
        <v>0.27272727272727271</v>
      </c>
      <c r="J302" s="86" t="s">
        <v>44</v>
      </c>
    </row>
    <row r="303" spans="1:256" s="140" customFormat="1" ht="14" x14ac:dyDescent="0.15">
      <c r="A303" s="165"/>
      <c r="B303" s="166"/>
      <c r="C303" s="166"/>
      <c r="D303" s="155">
        <f t="shared" si="10"/>
        <v>0.27272727272727271</v>
      </c>
      <c r="E303" s="138"/>
      <c r="F303" s="150" t="s">
        <v>641</v>
      </c>
      <c r="G303" s="151" t="s">
        <v>66</v>
      </c>
      <c r="H303" s="139">
        <f t="shared" si="11"/>
        <v>4</v>
      </c>
      <c r="I303" s="86">
        <f>IF([1]项目总工作量!B$6="交易类",H303*1.5/22,IF([1]项目总工作量!B$6="数据分析类",H303*1.5*0.9/22,IF([1]项目总工作量!B$6="流程管理类",H303*1.5*0.8/22,IF([1]项目总工作量!B$6="渠道类",H303*1.5*0.7/22,FALSE))))</f>
        <v>0.27272727272727271</v>
      </c>
      <c r="J303" s="86" t="s">
        <v>44</v>
      </c>
    </row>
    <row r="304" spans="1:256" s="140" customFormat="1" ht="14" x14ac:dyDescent="0.15">
      <c r="A304" s="165"/>
      <c r="B304" s="166"/>
      <c r="C304" s="166"/>
      <c r="D304" s="155">
        <f t="shared" si="10"/>
        <v>0.27272727272727271</v>
      </c>
      <c r="E304" s="138"/>
      <c r="F304" s="150" t="s">
        <v>642</v>
      </c>
      <c r="G304" s="151" t="s">
        <v>66</v>
      </c>
      <c r="H304" s="139">
        <f t="shared" si="11"/>
        <v>4</v>
      </c>
      <c r="I304" s="86">
        <f>IF([1]项目总工作量!B$6="交易类",H304*1.5/22,IF([1]项目总工作量!B$6="数据分析类",H304*1.5*0.9/22,IF([1]项目总工作量!B$6="流程管理类",H304*1.5*0.8/22,IF([1]项目总工作量!B$6="渠道类",H304*1.5*0.7/22,FALSE))))</f>
        <v>0.27272727272727271</v>
      </c>
      <c r="J304" s="86" t="s">
        <v>44</v>
      </c>
    </row>
    <row r="305" spans="1:10" s="140" customFormat="1" ht="14" x14ac:dyDescent="0.15">
      <c r="A305" s="165"/>
      <c r="B305" s="166"/>
      <c r="C305" s="166"/>
      <c r="D305" s="155">
        <f t="shared" si="10"/>
        <v>0.27272727272727271</v>
      </c>
      <c r="E305" s="138"/>
      <c r="F305" s="150" t="s">
        <v>643</v>
      </c>
      <c r="G305" s="151" t="s">
        <v>66</v>
      </c>
      <c r="H305" s="139">
        <f t="shared" si="11"/>
        <v>4</v>
      </c>
      <c r="I305" s="86">
        <f>IF([1]项目总工作量!B$6="交易类",H305*1.5/22,IF([1]项目总工作量!B$6="数据分析类",H305*1.5*0.9/22,IF([1]项目总工作量!B$6="流程管理类",H305*1.5*0.8/22,IF([1]项目总工作量!B$6="渠道类",H305*1.5*0.7/22,FALSE))))</f>
        <v>0.27272727272727271</v>
      </c>
      <c r="J305" s="86" t="s">
        <v>44</v>
      </c>
    </row>
    <row r="306" spans="1:10" s="140" customFormat="1" ht="14" x14ac:dyDescent="0.15">
      <c r="A306" s="165"/>
      <c r="B306" s="166"/>
      <c r="C306" s="166"/>
      <c r="D306" s="155">
        <f t="shared" si="10"/>
        <v>0.27272727272727271</v>
      </c>
      <c r="E306" s="138"/>
      <c r="F306" s="150" t="s">
        <v>161</v>
      </c>
      <c r="G306" s="151" t="s">
        <v>66</v>
      </c>
      <c r="H306" s="139">
        <f t="shared" si="11"/>
        <v>4</v>
      </c>
      <c r="I306" s="86">
        <f>IF([1]项目总工作量!B$6="交易类",H306*1.5/22,IF([1]项目总工作量!B$6="数据分析类",H306*1.5*0.9/22,IF([1]项目总工作量!B$6="流程管理类",H306*1.5*0.8/22,IF([1]项目总工作量!B$6="渠道类",H306*1.5*0.7/22,FALSE))))</f>
        <v>0.27272727272727271</v>
      </c>
      <c r="J306" s="86" t="s">
        <v>44</v>
      </c>
    </row>
    <row r="307" spans="1:10" s="140" customFormat="1" ht="14" x14ac:dyDescent="0.15">
      <c r="A307" s="165"/>
      <c r="B307" s="166"/>
      <c r="C307" s="166"/>
      <c r="D307" s="155">
        <f t="shared" si="10"/>
        <v>0.27272727272727271</v>
      </c>
      <c r="E307" s="138"/>
      <c r="F307" s="150" t="s">
        <v>644</v>
      </c>
      <c r="G307" s="151" t="s">
        <v>66</v>
      </c>
      <c r="H307" s="139">
        <f t="shared" si="11"/>
        <v>4</v>
      </c>
      <c r="I307" s="86">
        <f>IF([1]项目总工作量!B$6="交易类",H307*1.5/22,IF([1]项目总工作量!B$6="数据分析类",H307*1.5*0.9/22,IF([1]项目总工作量!B$6="流程管理类",H307*1.5*0.8/22,IF([1]项目总工作量!B$6="渠道类",H307*1.5*0.7/22,FALSE))))</f>
        <v>0.27272727272727271</v>
      </c>
      <c r="J307" s="86" t="s">
        <v>44</v>
      </c>
    </row>
    <row r="308" spans="1:10" s="140" customFormat="1" ht="14" x14ac:dyDescent="0.15">
      <c r="A308" s="165"/>
      <c r="B308" s="166"/>
      <c r="C308" s="166"/>
      <c r="D308" s="155">
        <f t="shared" si="10"/>
        <v>0.27272727272727271</v>
      </c>
      <c r="E308" s="138"/>
      <c r="F308" s="150" t="s">
        <v>162</v>
      </c>
      <c r="G308" s="151" t="s">
        <v>66</v>
      </c>
      <c r="H308" s="139">
        <f t="shared" si="11"/>
        <v>4</v>
      </c>
      <c r="I308" s="86">
        <f>IF([1]项目总工作量!B$6="交易类",H308*1.5/22,IF([1]项目总工作量!B$6="数据分析类",H308*1.5*0.9/22,IF([1]项目总工作量!B$6="流程管理类",H308*1.5*0.8/22,IF([1]项目总工作量!B$6="渠道类",H308*1.5*0.7/22,FALSE))))</f>
        <v>0.27272727272727271</v>
      </c>
      <c r="J308" s="86" t="s">
        <v>44</v>
      </c>
    </row>
    <row r="309" spans="1:10" s="140" customFormat="1" ht="14" x14ac:dyDescent="0.15">
      <c r="A309" s="165"/>
      <c r="B309" s="166"/>
      <c r="C309" s="166"/>
      <c r="D309" s="155">
        <f t="shared" si="10"/>
        <v>0.27272727272727271</v>
      </c>
      <c r="E309" s="138"/>
      <c r="F309" s="150" t="s">
        <v>645</v>
      </c>
      <c r="G309" s="139" t="s">
        <v>66</v>
      </c>
      <c r="H309" s="139">
        <f t="shared" si="11"/>
        <v>4</v>
      </c>
      <c r="I309" s="86">
        <f>IF([1]项目总工作量!B$6="交易类",H309*1.5/22,IF([1]项目总工作量!B$6="数据分析类",H309*1.5*0.9/22,IF([1]项目总工作量!B$6="流程管理类",H309*1.5*0.8/22,IF([1]项目总工作量!B$6="渠道类",H309*1.5*0.7/22,FALSE))))</f>
        <v>0.27272727272727271</v>
      </c>
      <c r="J309" s="86" t="s">
        <v>44</v>
      </c>
    </row>
    <row r="310" spans="1:10" s="140" customFormat="1" ht="14" x14ac:dyDescent="0.15">
      <c r="A310" s="165"/>
      <c r="B310" s="166"/>
      <c r="C310" s="166"/>
      <c r="D310" s="155">
        <f t="shared" si="10"/>
        <v>0.27272727272727271</v>
      </c>
      <c r="E310" s="138"/>
      <c r="F310" s="150" t="s">
        <v>646</v>
      </c>
      <c r="G310" s="151" t="s">
        <v>66</v>
      </c>
      <c r="H310" s="139">
        <f t="shared" si="11"/>
        <v>4</v>
      </c>
      <c r="I310" s="86">
        <f>IF([1]项目总工作量!B$6="交易类",H310*1.5/22,IF([1]项目总工作量!B$6="数据分析类",H310*1.5*0.9/22,IF([1]项目总工作量!B$6="流程管理类",H310*1.5*0.8/22,IF([1]项目总工作量!B$6="渠道类",H310*1.5*0.7/22,FALSE))))</f>
        <v>0.27272727272727271</v>
      </c>
      <c r="J310" s="86" t="s">
        <v>44</v>
      </c>
    </row>
    <row r="311" spans="1:10" s="140" customFormat="1" ht="14" x14ac:dyDescent="0.15">
      <c r="A311" s="165"/>
      <c r="B311" s="166"/>
      <c r="C311" s="166"/>
      <c r="D311" s="155">
        <f t="shared" si="10"/>
        <v>0.27272727272727271</v>
      </c>
      <c r="E311" s="138"/>
      <c r="F311" s="150" t="s">
        <v>647</v>
      </c>
      <c r="G311" s="151" t="s">
        <v>66</v>
      </c>
      <c r="H311" s="139">
        <f>IF(G311="EI",4,IF(G311="EO",5,IF(G311="EQ",4,0)))</f>
        <v>4</v>
      </c>
      <c r="I311" s="86">
        <f>IF([1]项目总工作量!B$6="交易类",H311*1.5/22,IF([1]项目总工作量!B$6="数据分析类",H311*1.5*0.9/22,IF([1]项目总工作量!B$6="流程管理类",H311*1.5*0.8/22,IF([1]项目总工作量!B$6="渠道类",H311*1.5*0.7/22,FALSE))))</f>
        <v>0.27272727272727271</v>
      </c>
      <c r="J311" s="86" t="s">
        <v>44</v>
      </c>
    </row>
    <row r="312" spans="1:10" s="87" customFormat="1" ht="14" x14ac:dyDescent="0.15">
      <c r="A312" s="120">
        <v>5</v>
      </c>
      <c r="B312" s="119" t="s">
        <v>156</v>
      </c>
      <c r="C312" s="119" t="s">
        <v>157</v>
      </c>
      <c r="D312" s="154">
        <f t="shared" ref="D312:D327" si="12">I312</f>
        <v>0.27272727272727271</v>
      </c>
      <c r="E312" s="85"/>
      <c r="F312" s="98" t="s">
        <v>158</v>
      </c>
      <c r="G312" s="86" t="s">
        <v>66</v>
      </c>
      <c r="H312" s="86">
        <f t="shared" ref="H312:H338" si="13">IF(G312="EI",4,IF(G312="EO",5,IF(G312="EQ",4,0)))</f>
        <v>4</v>
      </c>
      <c r="I312" s="86">
        <f>IF([1]项目总工作量!B$6="交易类",H312*1.5/22,IF([1]项目总工作量!B$6="数据分析类",H312*1.5*0.9/22,IF([1]项目总工作量!B$6="流程管理类",H312*1.5*0.8/22,IF([1]项目总工作量!B$6="渠道类",H312*1.5*0.7/22,FALSE))))</f>
        <v>0.27272727272727271</v>
      </c>
      <c r="J312" s="86" t="s">
        <v>44</v>
      </c>
    </row>
    <row r="313" spans="1:10" s="87" customFormat="1" ht="14" x14ac:dyDescent="0.15">
      <c r="A313" s="120"/>
      <c r="B313" s="119"/>
      <c r="C313" s="119"/>
      <c r="D313" s="154">
        <f t="shared" si="12"/>
        <v>0.27272727272727271</v>
      </c>
      <c r="E313" s="85"/>
      <c r="F313" s="98" t="s">
        <v>159</v>
      </c>
      <c r="G313" s="86" t="s">
        <v>66</v>
      </c>
      <c r="H313" s="86">
        <f t="shared" si="13"/>
        <v>4</v>
      </c>
      <c r="I313" s="86">
        <f>IF([1]项目总工作量!B$6="交易类",H313*1.5/22,IF([1]项目总工作量!B$6="数据分析类",H313*1.5*0.9/22,IF([1]项目总工作量!B$6="流程管理类",H313*1.5*0.8/22,IF([1]项目总工作量!B$6="渠道类",H313*1.5*0.7/22,FALSE))))</f>
        <v>0.27272727272727271</v>
      </c>
      <c r="J313" s="86" t="s">
        <v>44</v>
      </c>
    </row>
    <row r="314" spans="1:10" s="87" customFormat="1" ht="14" x14ac:dyDescent="0.15">
      <c r="A314" s="120"/>
      <c r="B314" s="119"/>
      <c r="C314" s="119"/>
      <c r="D314" s="154">
        <f t="shared" si="12"/>
        <v>0.27272727272727271</v>
      </c>
      <c r="E314" s="85"/>
      <c r="F314" s="98" t="s">
        <v>160</v>
      </c>
      <c r="G314" s="86" t="s">
        <v>66</v>
      </c>
      <c r="H314" s="86">
        <f t="shared" si="13"/>
        <v>4</v>
      </c>
      <c r="I314" s="86">
        <f>IF([1]项目总工作量!B$6="交易类",H314*1.5/22,IF([1]项目总工作量!B$6="数据分析类",H314*1.5*0.9/22,IF([1]项目总工作量!B$6="流程管理类",H314*1.5*0.8/22,IF([1]项目总工作量!B$6="渠道类",H314*1.5*0.7/22,FALSE))))</f>
        <v>0.27272727272727271</v>
      </c>
      <c r="J314" s="86" t="s">
        <v>44</v>
      </c>
    </row>
    <row r="315" spans="1:10" s="87" customFormat="1" ht="14" x14ac:dyDescent="0.15">
      <c r="A315" s="120"/>
      <c r="B315" s="119"/>
      <c r="C315" s="119"/>
      <c r="D315" s="154">
        <f t="shared" si="12"/>
        <v>0.27272727272727271</v>
      </c>
      <c r="E315" s="85"/>
      <c r="F315" s="98" t="s">
        <v>161</v>
      </c>
      <c r="G315" s="86" t="s">
        <v>69</v>
      </c>
      <c r="H315" s="86">
        <f t="shared" si="13"/>
        <v>4</v>
      </c>
      <c r="I315" s="86">
        <f>IF([1]项目总工作量!B$6="交易类",H315*1.5/22,IF([1]项目总工作量!B$6="数据分析类",H315*1.5*0.9/22,IF([1]项目总工作量!B$6="流程管理类",H315*1.5*0.8/22,IF([1]项目总工作量!B$6="渠道类",H315*1.5*0.7/22,FALSE))))</f>
        <v>0.27272727272727271</v>
      </c>
      <c r="J315" s="86" t="s">
        <v>44</v>
      </c>
    </row>
    <row r="316" spans="1:10" s="87" customFormat="1" ht="14" x14ac:dyDescent="0.15">
      <c r="A316" s="120"/>
      <c r="B316" s="119"/>
      <c r="C316" s="119"/>
      <c r="D316" s="154">
        <f t="shared" si="12"/>
        <v>0.27272727272727271</v>
      </c>
      <c r="E316" s="85"/>
      <c r="F316" s="98" t="s">
        <v>162</v>
      </c>
      <c r="G316" s="86" t="s">
        <v>66</v>
      </c>
      <c r="H316" s="86">
        <f t="shared" si="13"/>
        <v>4</v>
      </c>
      <c r="I316" s="86">
        <f>IF([1]项目总工作量!B$6="交易类",H316*1.5/22,IF([1]项目总工作量!B$6="数据分析类",H316*1.5*0.9/22,IF([1]项目总工作量!B$6="流程管理类",H316*1.5*0.8/22,IF([1]项目总工作量!B$6="渠道类",H316*1.5*0.7/22,FALSE))))</f>
        <v>0.27272727272727271</v>
      </c>
      <c r="J316" s="86" t="s">
        <v>44</v>
      </c>
    </row>
    <row r="317" spans="1:10" s="87" customFormat="1" ht="14" x14ac:dyDescent="0.15">
      <c r="A317" s="120"/>
      <c r="B317" s="119"/>
      <c r="C317" s="119"/>
      <c r="D317" s="154">
        <f t="shared" si="12"/>
        <v>0.27272727272727271</v>
      </c>
      <c r="E317" s="85"/>
      <c r="F317" s="98" t="s">
        <v>163</v>
      </c>
      <c r="G317" s="86" t="s">
        <v>66</v>
      </c>
      <c r="H317" s="86">
        <f t="shared" si="13"/>
        <v>4</v>
      </c>
      <c r="I317" s="86">
        <f>IF([1]项目总工作量!B$6="交易类",H317*1.5/22,IF([1]项目总工作量!B$6="数据分析类",H317*1.5*0.9/22,IF([1]项目总工作量!B$6="流程管理类",H317*1.5*0.8/22,IF([1]项目总工作量!B$6="渠道类",H317*1.5*0.7/22,FALSE))))</f>
        <v>0.27272727272727271</v>
      </c>
      <c r="J317" s="86" t="s">
        <v>44</v>
      </c>
    </row>
    <row r="318" spans="1:10" s="87" customFormat="1" ht="14" x14ac:dyDescent="0.15">
      <c r="A318" s="120"/>
      <c r="B318" s="119"/>
      <c r="C318" s="119"/>
      <c r="D318" s="154">
        <f t="shared" si="12"/>
        <v>0.27272727272727271</v>
      </c>
      <c r="E318" s="85"/>
      <c r="F318" s="98" t="s">
        <v>164</v>
      </c>
      <c r="G318" s="86" t="s">
        <v>66</v>
      </c>
      <c r="H318" s="86">
        <f t="shared" si="13"/>
        <v>4</v>
      </c>
      <c r="I318" s="86">
        <f>IF([1]项目总工作量!B$6="交易类",H318*1.5/22,IF([1]项目总工作量!B$6="数据分析类",H318*1.5*0.9/22,IF([1]项目总工作量!B$6="流程管理类",H318*1.5*0.8/22,IF([1]项目总工作量!B$6="渠道类",H318*1.5*0.7/22,FALSE))))</f>
        <v>0.27272727272727271</v>
      </c>
      <c r="J318" s="86" t="s">
        <v>44</v>
      </c>
    </row>
    <row r="319" spans="1:10" s="87" customFormat="1" ht="14" x14ac:dyDescent="0.15">
      <c r="A319" s="120"/>
      <c r="B319" s="119"/>
      <c r="C319" s="119"/>
      <c r="D319" s="154">
        <f t="shared" si="12"/>
        <v>0.27272727272727271</v>
      </c>
      <c r="E319" s="85"/>
      <c r="F319" s="98" t="s">
        <v>165</v>
      </c>
      <c r="G319" s="86" t="s">
        <v>69</v>
      </c>
      <c r="H319" s="86">
        <f t="shared" si="13"/>
        <v>4</v>
      </c>
      <c r="I319" s="86">
        <f>IF([1]项目总工作量!B$6="交易类",H319*1.5/22,IF([1]项目总工作量!B$6="数据分析类",H319*1.5*0.9/22,IF([1]项目总工作量!B$6="流程管理类",H319*1.5*0.8/22,IF([1]项目总工作量!B$6="渠道类",H319*1.5*0.7/22,FALSE))))</f>
        <v>0.27272727272727271</v>
      </c>
      <c r="J319" s="86" t="s">
        <v>44</v>
      </c>
    </row>
    <row r="320" spans="1:10" s="87" customFormat="1" ht="14" x14ac:dyDescent="0.15">
      <c r="A320" s="127">
        <v>6</v>
      </c>
      <c r="B320" s="128" t="s">
        <v>326</v>
      </c>
      <c r="C320" s="128" t="s">
        <v>325</v>
      </c>
      <c r="D320" s="154">
        <f t="shared" si="12"/>
        <v>0.27272727272727271</v>
      </c>
      <c r="E320" s="85"/>
      <c r="F320" s="97" t="s">
        <v>324</v>
      </c>
      <c r="G320" s="86" t="s">
        <v>66</v>
      </c>
      <c r="H320" s="86">
        <f t="shared" si="13"/>
        <v>4</v>
      </c>
      <c r="I320" s="86">
        <f>IF([1]项目总工作量!B$6="交易类",H320*1.5/22,IF([1]项目总工作量!B$6="数据分析类",H320*1.5*0.9/22,IF([1]项目总工作量!B$6="流程管理类",H320*1.5*0.8/22,IF([1]项目总工作量!B$6="渠道类",H320*1.5*0.7/22,FALSE))))</f>
        <v>0.27272727272727271</v>
      </c>
      <c r="J320" s="86" t="s">
        <v>44</v>
      </c>
    </row>
    <row r="321" spans="1:10" s="87" customFormat="1" ht="14" x14ac:dyDescent="0.15">
      <c r="A321" s="127"/>
      <c r="B321" s="128"/>
      <c r="C321" s="128"/>
      <c r="D321" s="154">
        <f t="shared" si="12"/>
        <v>0.27272727272727271</v>
      </c>
      <c r="E321" s="85"/>
      <c r="F321" s="97" t="s">
        <v>323</v>
      </c>
      <c r="G321" s="86" t="s">
        <v>66</v>
      </c>
      <c r="H321" s="86">
        <f t="shared" si="13"/>
        <v>4</v>
      </c>
      <c r="I321" s="86">
        <f>IF([1]项目总工作量!B$6="交易类",H321*1.5/22,IF([1]项目总工作量!B$6="数据分析类",H321*1.5*0.9/22,IF([1]项目总工作量!B$6="流程管理类",H321*1.5*0.8/22,IF([1]项目总工作量!B$6="渠道类",H321*1.5*0.7/22,FALSE))))</f>
        <v>0.27272727272727271</v>
      </c>
      <c r="J321" s="86" t="s">
        <v>44</v>
      </c>
    </row>
    <row r="322" spans="1:10" s="87" customFormat="1" ht="14" x14ac:dyDescent="0.15">
      <c r="A322" s="127"/>
      <c r="B322" s="128"/>
      <c r="C322" s="128"/>
      <c r="D322" s="154">
        <f t="shared" si="12"/>
        <v>0.27272727272727271</v>
      </c>
      <c r="E322" s="85"/>
      <c r="F322" s="97" t="s">
        <v>322</v>
      </c>
      <c r="G322" s="86" t="s">
        <v>66</v>
      </c>
      <c r="H322" s="86">
        <f t="shared" si="13"/>
        <v>4</v>
      </c>
      <c r="I322" s="86">
        <f>IF([1]项目总工作量!B$6="交易类",H322*1.5/22,IF([1]项目总工作量!B$6="数据分析类",H322*1.5*0.9/22,IF([1]项目总工作量!B$6="流程管理类",H322*1.5*0.8/22,IF([1]项目总工作量!B$6="渠道类",H322*1.5*0.7/22,FALSE))))</f>
        <v>0.27272727272727271</v>
      </c>
      <c r="J322" s="86" t="s">
        <v>44</v>
      </c>
    </row>
    <row r="323" spans="1:10" s="87" customFormat="1" ht="14" x14ac:dyDescent="0.15">
      <c r="A323" s="127"/>
      <c r="B323" s="128"/>
      <c r="C323" s="128"/>
      <c r="D323" s="154">
        <f t="shared" si="12"/>
        <v>0.27272727272727271</v>
      </c>
      <c r="E323" s="85"/>
      <c r="F323" s="97" t="s">
        <v>321</v>
      </c>
      <c r="G323" s="86" t="s">
        <v>66</v>
      </c>
      <c r="H323" s="86">
        <f t="shared" si="13"/>
        <v>4</v>
      </c>
      <c r="I323" s="86">
        <f>IF([1]项目总工作量!B$6="交易类",H323*1.5/22,IF([1]项目总工作量!B$6="数据分析类",H323*1.5*0.9/22,IF([1]项目总工作量!B$6="流程管理类",H323*1.5*0.8/22,IF([1]项目总工作量!B$6="渠道类",H323*1.5*0.7/22,FALSE))))</f>
        <v>0.27272727272727271</v>
      </c>
      <c r="J323" s="86" t="s">
        <v>44</v>
      </c>
    </row>
    <row r="324" spans="1:10" s="87" customFormat="1" ht="14" x14ac:dyDescent="0.15">
      <c r="A324" s="127"/>
      <c r="B324" s="128"/>
      <c r="C324" s="128"/>
      <c r="D324" s="154">
        <f t="shared" si="12"/>
        <v>0.27272727272727271</v>
      </c>
      <c r="E324" s="85"/>
      <c r="F324" s="97" t="s">
        <v>320</v>
      </c>
      <c r="G324" s="86" t="s">
        <v>66</v>
      </c>
      <c r="H324" s="86">
        <f t="shared" si="13"/>
        <v>4</v>
      </c>
      <c r="I324" s="86">
        <f>IF([1]项目总工作量!B$6="交易类",H324*1.5/22,IF([1]项目总工作量!B$6="数据分析类",H324*1.5*0.9/22,IF([1]项目总工作量!B$6="流程管理类",H324*1.5*0.8/22,IF([1]项目总工作量!B$6="渠道类",H324*1.5*0.7/22,FALSE))))</f>
        <v>0.27272727272727271</v>
      </c>
      <c r="J324" s="86" t="s">
        <v>44</v>
      </c>
    </row>
    <row r="325" spans="1:10" s="87" customFormat="1" ht="14" x14ac:dyDescent="0.15">
      <c r="A325" s="127"/>
      <c r="B325" s="128"/>
      <c r="C325" s="128"/>
      <c r="D325" s="154">
        <f t="shared" si="12"/>
        <v>0.27272727272727271</v>
      </c>
      <c r="E325" s="85"/>
      <c r="F325" s="97" t="s">
        <v>319</v>
      </c>
      <c r="G325" s="86" t="s">
        <v>66</v>
      </c>
      <c r="H325" s="86">
        <f t="shared" si="13"/>
        <v>4</v>
      </c>
      <c r="I325" s="86">
        <f>IF([1]项目总工作量!B$6="交易类",H325*1.5/22,IF([1]项目总工作量!B$6="数据分析类",H325*1.5*0.9/22,IF([1]项目总工作量!B$6="流程管理类",H325*1.5*0.8/22,IF([1]项目总工作量!B$6="渠道类",H325*1.5*0.7/22,FALSE))))</f>
        <v>0.27272727272727271</v>
      </c>
      <c r="J325" s="86" t="s">
        <v>44</v>
      </c>
    </row>
    <row r="326" spans="1:10" s="87" customFormat="1" ht="14" x14ac:dyDescent="0.15">
      <c r="A326" s="127"/>
      <c r="B326" s="128"/>
      <c r="C326" s="128"/>
      <c r="D326" s="154">
        <f t="shared" si="12"/>
        <v>0.27272727272727271</v>
      </c>
      <c r="E326" s="85"/>
      <c r="F326" s="97" t="s">
        <v>318</v>
      </c>
      <c r="G326" s="86" t="s">
        <v>66</v>
      </c>
      <c r="H326" s="86">
        <f t="shared" si="13"/>
        <v>4</v>
      </c>
      <c r="I326" s="86">
        <f>IF([1]项目总工作量!B$6="交易类",H326*1.5/22,IF([1]项目总工作量!B$6="数据分析类",H326*1.5*0.9/22,IF([1]项目总工作量!B$6="流程管理类",H326*1.5*0.8/22,IF([1]项目总工作量!B$6="渠道类",H326*1.5*0.7/22,FALSE))))</f>
        <v>0.27272727272727271</v>
      </c>
      <c r="J326" s="86" t="s">
        <v>44</v>
      </c>
    </row>
    <row r="327" spans="1:10" s="87" customFormat="1" ht="14" x14ac:dyDescent="0.15">
      <c r="A327" s="127"/>
      <c r="B327" s="128"/>
      <c r="C327" s="128"/>
      <c r="D327" s="154">
        <f t="shared" si="12"/>
        <v>0.27272727272727271</v>
      </c>
      <c r="E327" s="85"/>
      <c r="F327" s="97" t="s">
        <v>317</v>
      </c>
      <c r="G327" s="86" t="s">
        <v>66</v>
      </c>
      <c r="H327" s="86">
        <f t="shared" si="13"/>
        <v>4</v>
      </c>
      <c r="I327" s="86">
        <f>IF([1]项目总工作量!B$6="交易类",H327*1.5/22,IF([1]项目总工作量!B$6="数据分析类",H327*1.5*0.9/22,IF([1]项目总工作量!B$6="流程管理类",H327*1.5*0.8/22,IF([1]项目总工作量!B$6="渠道类",H327*1.5*0.7/22,FALSE))))</f>
        <v>0.27272727272727271</v>
      </c>
      <c r="J327" s="86" t="s">
        <v>44</v>
      </c>
    </row>
    <row r="328" spans="1:10" s="87" customFormat="1" ht="14" x14ac:dyDescent="0.15">
      <c r="A328" s="127"/>
      <c r="B328" s="128"/>
      <c r="C328" s="128"/>
      <c r="D328" s="154">
        <f t="shared" ref="D328:D399" si="14">I328</f>
        <v>0.27272727272727271</v>
      </c>
      <c r="E328" s="85"/>
      <c r="F328" s="97" t="s">
        <v>316</v>
      </c>
      <c r="G328" s="86" t="s">
        <v>66</v>
      </c>
      <c r="H328" s="86">
        <f t="shared" si="13"/>
        <v>4</v>
      </c>
      <c r="I328" s="86">
        <f>IF([1]项目总工作量!B$6="交易类",H328*1.5/22,IF([1]项目总工作量!B$6="数据分析类",H328*1.5*0.9/22,IF([1]项目总工作量!B$6="流程管理类",H328*1.5*0.8/22,IF([1]项目总工作量!B$6="渠道类",H328*1.5*0.7/22,FALSE))))</f>
        <v>0.27272727272727271</v>
      </c>
      <c r="J328" s="86" t="s">
        <v>44</v>
      </c>
    </row>
    <row r="329" spans="1:10" s="87" customFormat="1" ht="14" x14ac:dyDescent="0.15">
      <c r="A329" s="127"/>
      <c r="B329" s="128"/>
      <c r="C329" s="128"/>
      <c r="D329" s="154">
        <f t="shared" si="14"/>
        <v>0.27272727272727271</v>
      </c>
      <c r="E329" s="85"/>
      <c r="F329" s="97" t="s">
        <v>315</v>
      </c>
      <c r="G329" s="86" t="s">
        <v>66</v>
      </c>
      <c r="H329" s="86">
        <f t="shared" si="13"/>
        <v>4</v>
      </c>
      <c r="I329" s="86">
        <f>IF([1]项目总工作量!B$6="交易类",H329*1.5/22,IF([1]项目总工作量!B$6="数据分析类",H329*1.5*0.9/22,IF([1]项目总工作量!B$6="流程管理类",H329*1.5*0.8/22,IF([1]项目总工作量!B$6="渠道类",H329*1.5*0.7/22,FALSE))))</f>
        <v>0.27272727272727271</v>
      </c>
      <c r="J329" s="86" t="s">
        <v>44</v>
      </c>
    </row>
    <row r="330" spans="1:10" s="87" customFormat="1" ht="14" x14ac:dyDescent="0.15">
      <c r="A330" s="127"/>
      <c r="B330" s="128"/>
      <c r="C330" s="128"/>
      <c r="D330" s="154">
        <f t="shared" si="14"/>
        <v>0.27272727272727271</v>
      </c>
      <c r="E330" s="85"/>
      <c r="F330" s="97" t="s">
        <v>314</v>
      </c>
      <c r="G330" s="86" t="s">
        <v>66</v>
      </c>
      <c r="H330" s="86">
        <f t="shared" si="13"/>
        <v>4</v>
      </c>
      <c r="I330" s="86">
        <f>IF([1]项目总工作量!B$6="交易类",H330*1.5/22,IF([1]项目总工作量!B$6="数据分析类",H330*1.5*0.9/22,IF([1]项目总工作量!B$6="流程管理类",H330*1.5*0.8/22,IF([1]项目总工作量!B$6="渠道类",H330*1.5*0.7/22,FALSE))))</f>
        <v>0.27272727272727271</v>
      </c>
      <c r="J330" s="86" t="s">
        <v>44</v>
      </c>
    </row>
    <row r="331" spans="1:10" s="87" customFormat="1" ht="14" x14ac:dyDescent="0.15">
      <c r="A331" s="127"/>
      <c r="B331" s="128"/>
      <c r="C331" s="128"/>
      <c r="D331" s="154">
        <f t="shared" si="14"/>
        <v>0.27272727272727271</v>
      </c>
      <c r="E331" s="85"/>
      <c r="F331" s="97" t="s">
        <v>313</v>
      </c>
      <c r="G331" s="86" t="s">
        <v>66</v>
      </c>
      <c r="H331" s="86">
        <f t="shared" si="13"/>
        <v>4</v>
      </c>
      <c r="I331" s="86">
        <f>IF([1]项目总工作量!B$6="交易类",H331*1.5/22,IF([1]项目总工作量!B$6="数据分析类",H331*1.5*0.9/22,IF([1]项目总工作量!B$6="流程管理类",H331*1.5*0.8/22,IF([1]项目总工作量!B$6="渠道类",H331*1.5*0.7/22,FALSE))))</f>
        <v>0.27272727272727271</v>
      </c>
      <c r="J331" s="86" t="s">
        <v>44</v>
      </c>
    </row>
    <row r="332" spans="1:10" s="87" customFormat="1" ht="14" x14ac:dyDescent="0.15">
      <c r="A332" s="127"/>
      <c r="B332" s="128"/>
      <c r="C332" s="128"/>
      <c r="D332" s="154">
        <f t="shared" si="14"/>
        <v>0.27272727272727271</v>
      </c>
      <c r="E332" s="85"/>
      <c r="F332" s="97" t="s">
        <v>312</v>
      </c>
      <c r="G332" s="86" t="s">
        <v>66</v>
      </c>
      <c r="H332" s="86">
        <f t="shared" si="13"/>
        <v>4</v>
      </c>
      <c r="I332" s="86">
        <f>IF([1]项目总工作量!B$6="交易类",H332*1.5/22,IF([1]项目总工作量!B$6="数据分析类",H332*1.5*0.9/22,IF([1]项目总工作量!B$6="流程管理类",H332*1.5*0.8/22,IF([1]项目总工作量!B$6="渠道类",H332*1.5*0.7/22,FALSE))))</f>
        <v>0.27272727272727271</v>
      </c>
      <c r="J332" s="86" t="s">
        <v>44</v>
      </c>
    </row>
    <row r="333" spans="1:10" s="87" customFormat="1" ht="14" x14ac:dyDescent="0.15">
      <c r="A333" s="127"/>
      <c r="B333" s="128"/>
      <c r="C333" s="128"/>
      <c r="D333" s="154">
        <f t="shared" si="14"/>
        <v>0.27272727272727271</v>
      </c>
      <c r="E333" s="85"/>
      <c r="F333" s="97" t="s">
        <v>311</v>
      </c>
      <c r="G333" s="86" t="s">
        <v>66</v>
      </c>
      <c r="H333" s="86">
        <f t="shared" si="13"/>
        <v>4</v>
      </c>
      <c r="I333" s="86">
        <f>IF([1]项目总工作量!B$6="交易类",H333*1.5/22,IF([1]项目总工作量!B$6="数据分析类",H333*1.5*0.9/22,IF([1]项目总工作量!B$6="流程管理类",H333*1.5*0.8/22,IF([1]项目总工作量!B$6="渠道类",H333*1.5*0.7/22,FALSE))))</f>
        <v>0.27272727272727271</v>
      </c>
      <c r="J333" s="86" t="s">
        <v>44</v>
      </c>
    </row>
    <row r="334" spans="1:10" s="87" customFormat="1" ht="14" x14ac:dyDescent="0.15">
      <c r="A334" s="127"/>
      <c r="B334" s="128"/>
      <c r="C334" s="128"/>
      <c r="D334" s="154">
        <f t="shared" si="14"/>
        <v>0.27272727272727271</v>
      </c>
      <c r="E334" s="85"/>
      <c r="F334" s="97" t="s">
        <v>310</v>
      </c>
      <c r="G334" s="86" t="s">
        <v>66</v>
      </c>
      <c r="H334" s="86">
        <f t="shared" si="13"/>
        <v>4</v>
      </c>
      <c r="I334" s="86">
        <f>IF([1]项目总工作量!B$6="交易类",H334*1.5/22,IF([1]项目总工作量!B$6="数据分析类",H334*1.5*0.9/22,IF([1]项目总工作量!B$6="流程管理类",H334*1.5*0.8/22,IF([1]项目总工作量!B$6="渠道类",H334*1.5*0.7/22,FALSE))))</f>
        <v>0.27272727272727271</v>
      </c>
      <c r="J334" s="86" t="s">
        <v>44</v>
      </c>
    </row>
    <row r="335" spans="1:10" s="87" customFormat="1" ht="14" x14ac:dyDescent="0.15">
      <c r="A335" s="127"/>
      <c r="B335" s="128"/>
      <c r="C335" s="128"/>
      <c r="D335" s="154">
        <f t="shared" si="14"/>
        <v>0.27272727272727271</v>
      </c>
      <c r="E335" s="85"/>
      <c r="F335" s="97" t="s">
        <v>309</v>
      </c>
      <c r="G335" s="86" t="s">
        <v>66</v>
      </c>
      <c r="H335" s="86">
        <f t="shared" si="13"/>
        <v>4</v>
      </c>
      <c r="I335" s="86">
        <f>IF([1]项目总工作量!B$6="交易类",H335*1.5/22,IF([1]项目总工作量!B$6="数据分析类",H335*1.5*0.9/22,IF([1]项目总工作量!B$6="流程管理类",H335*1.5*0.8/22,IF([1]项目总工作量!B$6="渠道类",H335*1.5*0.7/22,FALSE))))</f>
        <v>0.27272727272727271</v>
      </c>
      <c r="J335" s="86" t="s">
        <v>44</v>
      </c>
    </row>
    <row r="336" spans="1:10" s="87" customFormat="1" ht="14" x14ac:dyDescent="0.15">
      <c r="A336" s="127"/>
      <c r="B336" s="128"/>
      <c r="C336" s="128"/>
      <c r="D336" s="154">
        <f t="shared" si="14"/>
        <v>0.27272727272727271</v>
      </c>
      <c r="E336" s="85"/>
      <c r="F336" s="97" t="s">
        <v>308</v>
      </c>
      <c r="G336" s="86" t="s">
        <v>66</v>
      </c>
      <c r="H336" s="86">
        <f t="shared" si="13"/>
        <v>4</v>
      </c>
      <c r="I336" s="86">
        <f>IF([1]项目总工作量!B$6="交易类",H336*1.5/22,IF([1]项目总工作量!B$6="数据分析类",H336*1.5*0.9/22,IF([1]项目总工作量!B$6="流程管理类",H336*1.5*0.8/22,IF([1]项目总工作量!B$6="渠道类",H336*1.5*0.7/22,FALSE))))</f>
        <v>0.27272727272727271</v>
      </c>
      <c r="J336" s="86" t="s">
        <v>44</v>
      </c>
    </row>
    <row r="337" spans="1:10" s="87" customFormat="1" ht="14" x14ac:dyDescent="0.15">
      <c r="A337" s="127"/>
      <c r="B337" s="128"/>
      <c r="C337" s="128"/>
      <c r="D337" s="154">
        <f t="shared" si="14"/>
        <v>0.27272727272727271</v>
      </c>
      <c r="E337" s="85"/>
      <c r="F337" s="97" t="s">
        <v>307</v>
      </c>
      <c r="G337" s="86" t="s">
        <v>66</v>
      </c>
      <c r="H337" s="86">
        <f t="shared" si="13"/>
        <v>4</v>
      </c>
      <c r="I337" s="86">
        <f>IF([1]项目总工作量!B$6="交易类",H337*1.5/22,IF([1]项目总工作量!B$6="数据分析类",H337*1.5*0.9/22,IF([1]项目总工作量!B$6="流程管理类",H337*1.5*0.8/22,IF([1]项目总工作量!B$6="渠道类",H337*1.5*0.7/22,FALSE))))</f>
        <v>0.27272727272727271</v>
      </c>
      <c r="J337" s="86" t="s">
        <v>44</v>
      </c>
    </row>
    <row r="338" spans="1:10" s="87" customFormat="1" ht="14" x14ac:dyDescent="0.15">
      <c r="A338" s="127"/>
      <c r="B338" s="128"/>
      <c r="C338" s="128"/>
      <c r="D338" s="154">
        <f t="shared" si="14"/>
        <v>0.27272727272727271</v>
      </c>
      <c r="E338" s="85"/>
      <c r="F338" s="97" t="s">
        <v>306</v>
      </c>
      <c r="G338" s="86" t="s">
        <v>66</v>
      </c>
      <c r="H338" s="86">
        <f t="shared" si="13"/>
        <v>4</v>
      </c>
      <c r="I338" s="86">
        <f>IF([1]项目总工作量!B$6="交易类",H338*1.5/22,IF([1]项目总工作量!B$6="数据分析类",H338*1.5*0.9/22,IF([1]项目总工作量!B$6="流程管理类",H338*1.5*0.8/22,IF([1]项目总工作量!B$6="渠道类",H338*1.5*0.7/22,FALSE))))</f>
        <v>0.27272727272727271</v>
      </c>
      <c r="J338" s="86" t="s">
        <v>44</v>
      </c>
    </row>
    <row r="339" spans="1:10" s="87" customFormat="1" ht="14" x14ac:dyDescent="0.15">
      <c r="A339" s="127"/>
      <c r="B339" s="128"/>
      <c r="C339" s="128"/>
      <c r="D339" s="154">
        <f t="shared" si="14"/>
        <v>0.27272727272727271</v>
      </c>
      <c r="E339" s="85"/>
      <c r="F339" s="97" t="s">
        <v>305</v>
      </c>
      <c r="G339" s="86" t="s">
        <v>66</v>
      </c>
      <c r="H339" s="86">
        <f t="shared" ref="H339:H378" si="15">IF(G339="EI",4,IF(G339="EO",5,IF(G339="EQ",4,0)))</f>
        <v>4</v>
      </c>
      <c r="I339" s="86">
        <f>IF([1]项目总工作量!B$6="交易类",H339*1.5/22,IF([1]项目总工作量!B$6="数据分析类",H339*1.5*0.9/22,IF([1]项目总工作量!B$6="流程管理类",H339*1.5*0.8/22,IF([1]项目总工作量!B$6="渠道类",H339*1.5*0.7/22,FALSE))))</f>
        <v>0.27272727272727271</v>
      </c>
      <c r="J339" s="86" t="s">
        <v>44</v>
      </c>
    </row>
    <row r="340" spans="1:10" s="87" customFormat="1" ht="14" x14ac:dyDescent="0.15">
      <c r="A340" s="127"/>
      <c r="B340" s="128"/>
      <c r="C340" s="128"/>
      <c r="D340" s="154">
        <f t="shared" si="14"/>
        <v>0.27272727272727271</v>
      </c>
      <c r="E340" s="85"/>
      <c r="F340" s="97" t="s">
        <v>304</v>
      </c>
      <c r="G340" s="86" t="s">
        <v>66</v>
      </c>
      <c r="H340" s="86">
        <f t="shared" si="15"/>
        <v>4</v>
      </c>
      <c r="I340" s="86">
        <f>IF([1]项目总工作量!B$6="交易类",H340*1.5/22,IF([1]项目总工作量!B$6="数据分析类",H340*1.5*0.9/22,IF([1]项目总工作量!B$6="流程管理类",H340*1.5*0.8/22,IF([1]项目总工作量!B$6="渠道类",H340*1.5*0.7/22,FALSE))))</f>
        <v>0.27272727272727271</v>
      </c>
      <c r="J340" s="86" t="s">
        <v>44</v>
      </c>
    </row>
    <row r="341" spans="1:10" s="87" customFormat="1" ht="14" x14ac:dyDescent="0.15">
      <c r="A341" s="127"/>
      <c r="B341" s="128"/>
      <c r="C341" s="128"/>
      <c r="D341" s="154">
        <f t="shared" si="14"/>
        <v>0.27272727272727271</v>
      </c>
      <c r="E341" s="85"/>
      <c r="F341" s="97" t="s">
        <v>303</v>
      </c>
      <c r="G341" s="86" t="s">
        <v>66</v>
      </c>
      <c r="H341" s="86">
        <f t="shared" si="15"/>
        <v>4</v>
      </c>
      <c r="I341" s="86">
        <f>IF([1]项目总工作量!B$6="交易类",H341*1.5/22,IF([1]项目总工作量!B$6="数据分析类",H341*1.5*0.9/22,IF([1]项目总工作量!B$6="流程管理类",H341*1.5*0.8/22,IF([1]项目总工作量!B$6="渠道类",H341*1.5*0.7/22,FALSE))))</f>
        <v>0.27272727272727271</v>
      </c>
      <c r="J341" s="86" t="s">
        <v>44</v>
      </c>
    </row>
    <row r="342" spans="1:10" s="140" customFormat="1" ht="14" x14ac:dyDescent="0.15">
      <c r="A342" s="127"/>
      <c r="B342" s="128"/>
      <c r="C342" s="128"/>
      <c r="D342" s="155">
        <f t="shared" si="14"/>
        <v>0.27272727272727271</v>
      </c>
      <c r="E342" s="138"/>
      <c r="F342" s="44" t="s">
        <v>521</v>
      </c>
      <c r="G342" s="139" t="s">
        <v>66</v>
      </c>
      <c r="H342" s="139">
        <f t="shared" si="15"/>
        <v>4</v>
      </c>
      <c r="I342" s="86">
        <f>IF([1]项目总工作量!B$6="交易类",H342*1.5/22,IF([1]项目总工作量!B$6="数据分析类",H342*1.5*0.9/22,IF([1]项目总工作量!B$6="流程管理类",H342*1.5*0.8/22,IF([1]项目总工作量!B$6="渠道类",H342*1.5*0.7/22,FALSE))))</f>
        <v>0.27272727272727271</v>
      </c>
      <c r="J342" s="86" t="s">
        <v>44</v>
      </c>
    </row>
    <row r="343" spans="1:10" s="140" customFormat="1" ht="14" x14ac:dyDescent="0.15">
      <c r="A343" s="127"/>
      <c r="B343" s="128"/>
      <c r="C343" s="128"/>
      <c r="D343" s="155">
        <f t="shared" si="14"/>
        <v>0.27272727272727271</v>
      </c>
      <c r="E343" s="138"/>
      <c r="F343" s="44" t="s">
        <v>522</v>
      </c>
      <c r="G343" s="139" t="s">
        <v>66</v>
      </c>
      <c r="H343" s="139">
        <f t="shared" si="15"/>
        <v>4</v>
      </c>
      <c r="I343" s="86">
        <f>IF([1]项目总工作量!B$6="交易类",H343*1.5/22,IF([1]项目总工作量!B$6="数据分析类",H343*1.5*0.9/22,IF([1]项目总工作量!B$6="流程管理类",H343*1.5*0.8/22,IF([1]项目总工作量!B$6="渠道类",H343*1.5*0.7/22,FALSE))))</f>
        <v>0.27272727272727271</v>
      </c>
      <c r="J343" s="86" t="s">
        <v>44</v>
      </c>
    </row>
    <row r="344" spans="1:10" s="140" customFormat="1" ht="14" x14ac:dyDescent="0.15">
      <c r="A344" s="127"/>
      <c r="B344" s="128"/>
      <c r="C344" s="128"/>
      <c r="D344" s="155">
        <f t="shared" si="14"/>
        <v>0.27272727272727271</v>
      </c>
      <c r="E344" s="138"/>
      <c r="F344" s="44" t="s">
        <v>523</v>
      </c>
      <c r="G344" s="139" t="s">
        <v>66</v>
      </c>
      <c r="H344" s="139">
        <f t="shared" si="15"/>
        <v>4</v>
      </c>
      <c r="I344" s="86">
        <f>IF([1]项目总工作量!B$6="交易类",H344*1.5/22,IF([1]项目总工作量!B$6="数据分析类",H344*1.5*0.9/22,IF([1]项目总工作量!B$6="流程管理类",H344*1.5*0.8/22,IF([1]项目总工作量!B$6="渠道类",H344*1.5*0.7/22,FALSE))))</f>
        <v>0.27272727272727271</v>
      </c>
      <c r="J344" s="86" t="s">
        <v>44</v>
      </c>
    </row>
    <row r="345" spans="1:10" s="140" customFormat="1" ht="14" x14ac:dyDescent="0.15">
      <c r="A345" s="127"/>
      <c r="B345" s="128"/>
      <c r="C345" s="128"/>
      <c r="D345" s="155">
        <f t="shared" si="14"/>
        <v>0.27272727272727271</v>
      </c>
      <c r="E345" s="138"/>
      <c r="F345" s="44" t="s">
        <v>524</v>
      </c>
      <c r="G345" s="139" t="s">
        <v>66</v>
      </c>
      <c r="H345" s="139">
        <f t="shared" si="15"/>
        <v>4</v>
      </c>
      <c r="I345" s="86">
        <f>IF([1]项目总工作量!B$6="交易类",H345*1.5/22,IF([1]项目总工作量!B$6="数据分析类",H345*1.5*0.9/22,IF([1]项目总工作量!B$6="流程管理类",H345*1.5*0.8/22,IF([1]项目总工作量!B$6="渠道类",H345*1.5*0.7/22,FALSE))))</f>
        <v>0.27272727272727271</v>
      </c>
      <c r="J345" s="86" t="s">
        <v>44</v>
      </c>
    </row>
    <row r="346" spans="1:10" s="140" customFormat="1" ht="14" x14ac:dyDescent="0.15">
      <c r="A346" s="127"/>
      <c r="B346" s="128"/>
      <c r="C346" s="128"/>
      <c r="D346" s="155">
        <f t="shared" si="14"/>
        <v>0.27272727272727271</v>
      </c>
      <c r="E346" s="138"/>
      <c r="F346" s="44" t="s">
        <v>525</v>
      </c>
      <c r="G346" s="139" t="s">
        <v>66</v>
      </c>
      <c r="H346" s="139">
        <f t="shared" si="15"/>
        <v>4</v>
      </c>
      <c r="I346" s="86">
        <f>IF([1]项目总工作量!B$6="交易类",H346*1.5/22,IF([1]项目总工作量!B$6="数据分析类",H346*1.5*0.9/22,IF([1]项目总工作量!B$6="流程管理类",H346*1.5*0.8/22,IF([1]项目总工作量!B$6="渠道类",H346*1.5*0.7/22,FALSE))))</f>
        <v>0.27272727272727271</v>
      </c>
      <c r="J346" s="86" t="s">
        <v>44</v>
      </c>
    </row>
    <row r="347" spans="1:10" s="140" customFormat="1" ht="14" x14ac:dyDescent="0.15">
      <c r="A347" s="127"/>
      <c r="B347" s="128"/>
      <c r="C347" s="128"/>
      <c r="D347" s="155">
        <f t="shared" si="14"/>
        <v>0.27272727272727271</v>
      </c>
      <c r="E347" s="138"/>
      <c r="F347" s="44" t="s">
        <v>526</v>
      </c>
      <c r="G347" s="139" t="s">
        <v>66</v>
      </c>
      <c r="H347" s="139">
        <f t="shared" si="15"/>
        <v>4</v>
      </c>
      <c r="I347" s="86">
        <f>IF([1]项目总工作量!B$6="交易类",H347*1.5/22,IF([1]项目总工作量!B$6="数据分析类",H347*1.5*0.9/22,IF([1]项目总工作量!B$6="流程管理类",H347*1.5*0.8/22,IF([1]项目总工作量!B$6="渠道类",H347*1.5*0.7/22,FALSE))))</f>
        <v>0.27272727272727271</v>
      </c>
      <c r="J347" s="86" t="s">
        <v>44</v>
      </c>
    </row>
    <row r="348" spans="1:10" s="140" customFormat="1" ht="14" x14ac:dyDescent="0.15">
      <c r="A348" s="127"/>
      <c r="B348" s="128"/>
      <c r="C348" s="128"/>
      <c r="D348" s="155">
        <f t="shared" si="14"/>
        <v>0.27272727272727271</v>
      </c>
      <c r="E348" s="138"/>
      <c r="F348" s="44" t="s">
        <v>527</v>
      </c>
      <c r="G348" s="139" t="s">
        <v>66</v>
      </c>
      <c r="H348" s="139">
        <f t="shared" si="15"/>
        <v>4</v>
      </c>
      <c r="I348" s="86">
        <f>IF([1]项目总工作量!B$6="交易类",H348*1.5/22,IF([1]项目总工作量!B$6="数据分析类",H348*1.5*0.9/22,IF([1]项目总工作量!B$6="流程管理类",H348*1.5*0.8/22,IF([1]项目总工作量!B$6="渠道类",H348*1.5*0.7/22,FALSE))))</f>
        <v>0.27272727272727271</v>
      </c>
      <c r="J348" s="86" t="s">
        <v>44</v>
      </c>
    </row>
    <row r="349" spans="1:10" s="140" customFormat="1" ht="14" x14ac:dyDescent="0.15">
      <c r="A349" s="127"/>
      <c r="B349" s="128"/>
      <c r="C349" s="128"/>
      <c r="D349" s="155">
        <f t="shared" si="14"/>
        <v>0.27272727272727271</v>
      </c>
      <c r="E349" s="138"/>
      <c r="F349" s="44" t="s">
        <v>528</v>
      </c>
      <c r="G349" s="139" t="s">
        <v>66</v>
      </c>
      <c r="H349" s="139">
        <f t="shared" si="15"/>
        <v>4</v>
      </c>
      <c r="I349" s="86">
        <f>IF([1]项目总工作量!B$6="交易类",H349*1.5/22,IF([1]项目总工作量!B$6="数据分析类",H349*1.5*0.9/22,IF([1]项目总工作量!B$6="流程管理类",H349*1.5*0.8/22,IF([1]项目总工作量!B$6="渠道类",H349*1.5*0.7/22,FALSE))))</f>
        <v>0.27272727272727271</v>
      </c>
      <c r="J349" s="86" t="s">
        <v>44</v>
      </c>
    </row>
    <row r="350" spans="1:10" s="87" customFormat="1" ht="14" x14ac:dyDescent="0.15">
      <c r="A350" s="127"/>
      <c r="B350" s="128"/>
      <c r="C350" s="128"/>
      <c r="D350" s="154">
        <f t="shared" si="14"/>
        <v>0.27272727272727271</v>
      </c>
      <c r="E350" s="85"/>
      <c r="F350" s="97" t="s">
        <v>302</v>
      </c>
      <c r="G350" s="86" t="s">
        <v>66</v>
      </c>
      <c r="H350" s="86">
        <f t="shared" si="15"/>
        <v>4</v>
      </c>
      <c r="I350" s="86">
        <f>IF([1]项目总工作量!B$6="交易类",H350*1.5/22,IF([1]项目总工作量!B$6="数据分析类",H350*1.5*0.9/22,IF([1]项目总工作量!B$6="流程管理类",H350*1.5*0.8/22,IF([1]项目总工作量!B$6="渠道类",H350*1.5*0.7/22,FALSE))))</f>
        <v>0.27272727272727271</v>
      </c>
      <c r="J350" s="86" t="s">
        <v>44</v>
      </c>
    </row>
    <row r="351" spans="1:10" s="87" customFormat="1" ht="14" x14ac:dyDescent="0.15">
      <c r="A351" s="127"/>
      <c r="B351" s="128"/>
      <c r="C351" s="128"/>
      <c r="D351" s="154">
        <f t="shared" si="14"/>
        <v>0.27272727272727271</v>
      </c>
      <c r="E351" s="85"/>
      <c r="F351" s="97" t="s">
        <v>301</v>
      </c>
      <c r="G351" s="86" t="s">
        <v>66</v>
      </c>
      <c r="H351" s="86">
        <f t="shared" si="15"/>
        <v>4</v>
      </c>
      <c r="I351" s="86">
        <f>IF([1]项目总工作量!B$6="交易类",H351*1.5/22,IF([1]项目总工作量!B$6="数据分析类",H351*1.5*0.9/22,IF([1]项目总工作量!B$6="流程管理类",H351*1.5*0.8/22,IF([1]项目总工作量!B$6="渠道类",H351*1.5*0.7/22,FALSE))))</f>
        <v>0.27272727272727271</v>
      </c>
      <c r="J351" s="86" t="s">
        <v>44</v>
      </c>
    </row>
    <row r="352" spans="1:10" s="87" customFormat="1" ht="14" x14ac:dyDescent="0.15">
      <c r="A352" s="127"/>
      <c r="B352" s="128"/>
      <c r="C352" s="128"/>
      <c r="D352" s="154">
        <f t="shared" si="14"/>
        <v>0.27272727272727271</v>
      </c>
      <c r="E352" s="85"/>
      <c r="F352" s="97" t="s">
        <v>300</v>
      </c>
      <c r="G352" s="86" t="s">
        <v>66</v>
      </c>
      <c r="H352" s="86">
        <f t="shared" si="15"/>
        <v>4</v>
      </c>
      <c r="I352" s="86">
        <f>IF([1]项目总工作量!B$6="交易类",H352*1.5/22,IF([1]项目总工作量!B$6="数据分析类",H352*1.5*0.9/22,IF([1]项目总工作量!B$6="流程管理类",H352*1.5*0.8/22,IF([1]项目总工作量!B$6="渠道类",H352*1.5*0.7/22,FALSE))))</f>
        <v>0.27272727272727271</v>
      </c>
      <c r="J352" s="86" t="s">
        <v>44</v>
      </c>
    </row>
    <row r="353" spans="1:10" s="87" customFormat="1" ht="14" x14ac:dyDescent="0.15">
      <c r="A353" s="127"/>
      <c r="B353" s="128"/>
      <c r="C353" s="128"/>
      <c r="D353" s="154">
        <f t="shared" si="14"/>
        <v>0.27272727272727271</v>
      </c>
      <c r="E353" s="85"/>
      <c r="F353" s="97" t="s">
        <v>299</v>
      </c>
      <c r="G353" s="86" t="s">
        <v>66</v>
      </c>
      <c r="H353" s="86">
        <f t="shared" si="15"/>
        <v>4</v>
      </c>
      <c r="I353" s="86">
        <f>IF([1]项目总工作量!B$6="交易类",H353*1.5/22,IF([1]项目总工作量!B$6="数据分析类",H353*1.5*0.9/22,IF([1]项目总工作量!B$6="流程管理类",H353*1.5*0.8/22,IF([1]项目总工作量!B$6="渠道类",H353*1.5*0.7/22,FALSE))))</f>
        <v>0.27272727272727271</v>
      </c>
      <c r="J353" s="86" t="s">
        <v>44</v>
      </c>
    </row>
    <row r="354" spans="1:10" s="87" customFormat="1" ht="14" x14ac:dyDescent="0.15">
      <c r="A354" s="127"/>
      <c r="B354" s="128"/>
      <c r="C354" s="128"/>
      <c r="D354" s="154">
        <f t="shared" si="14"/>
        <v>0.27272727272727271</v>
      </c>
      <c r="E354" s="85"/>
      <c r="F354" s="97" t="s">
        <v>298</v>
      </c>
      <c r="G354" s="86" t="s">
        <v>66</v>
      </c>
      <c r="H354" s="86">
        <f t="shared" si="15"/>
        <v>4</v>
      </c>
      <c r="I354" s="86">
        <f>IF([1]项目总工作量!B$6="交易类",H354*1.5/22,IF([1]项目总工作量!B$6="数据分析类",H354*1.5*0.9/22,IF([1]项目总工作量!B$6="流程管理类",H354*1.5*0.8/22,IF([1]项目总工作量!B$6="渠道类",H354*1.5*0.7/22,FALSE))))</f>
        <v>0.27272727272727271</v>
      </c>
      <c r="J354" s="86" t="s">
        <v>44</v>
      </c>
    </row>
    <row r="355" spans="1:10" s="87" customFormat="1" ht="14" x14ac:dyDescent="0.15">
      <c r="A355" s="127"/>
      <c r="B355" s="128"/>
      <c r="C355" s="128"/>
      <c r="D355" s="154">
        <f t="shared" si="14"/>
        <v>0.27272727272727271</v>
      </c>
      <c r="E355" s="85"/>
      <c r="F355" s="97" t="s">
        <v>297</v>
      </c>
      <c r="G355" s="86" t="s">
        <v>66</v>
      </c>
      <c r="H355" s="86">
        <f t="shared" si="15"/>
        <v>4</v>
      </c>
      <c r="I355" s="86">
        <f>IF([1]项目总工作量!B$6="交易类",H355*1.5/22,IF([1]项目总工作量!B$6="数据分析类",H355*1.5*0.9/22,IF([1]项目总工作量!B$6="流程管理类",H355*1.5*0.8/22,IF([1]项目总工作量!B$6="渠道类",H355*1.5*0.7/22,FALSE))))</f>
        <v>0.27272727272727271</v>
      </c>
      <c r="J355" s="86" t="s">
        <v>44</v>
      </c>
    </row>
    <row r="356" spans="1:10" s="87" customFormat="1" ht="14" x14ac:dyDescent="0.15">
      <c r="A356" s="127"/>
      <c r="B356" s="128"/>
      <c r="C356" s="128"/>
      <c r="D356" s="154">
        <f t="shared" si="14"/>
        <v>0.27272727272727271</v>
      </c>
      <c r="E356" s="85"/>
      <c r="F356" s="97" t="s">
        <v>296</v>
      </c>
      <c r="G356" s="86" t="s">
        <v>66</v>
      </c>
      <c r="H356" s="86">
        <f t="shared" si="15"/>
        <v>4</v>
      </c>
      <c r="I356" s="86">
        <f>IF([1]项目总工作量!B$6="交易类",H356*1.5/22,IF([1]项目总工作量!B$6="数据分析类",H356*1.5*0.9/22,IF([1]项目总工作量!B$6="流程管理类",H356*1.5*0.8/22,IF([1]项目总工作量!B$6="渠道类",H356*1.5*0.7/22,FALSE))))</f>
        <v>0.27272727272727271</v>
      </c>
      <c r="J356" s="86" t="s">
        <v>44</v>
      </c>
    </row>
    <row r="357" spans="1:10" s="87" customFormat="1" ht="14" x14ac:dyDescent="0.15">
      <c r="A357" s="127"/>
      <c r="B357" s="128"/>
      <c r="C357" s="128"/>
      <c r="D357" s="154">
        <f t="shared" si="14"/>
        <v>0.27272727272727271</v>
      </c>
      <c r="E357" s="85"/>
      <c r="F357" s="97" t="s">
        <v>295</v>
      </c>
      <c r="G357" s="86" t="s">
        <v>66</v>
      </c>
      <c r="H357" s="86">
        <f t="shared" si="15"/>
        <v>4</v>
      </c>
      <c r="I357" s="86">
        <f>IF([1]项目总工作量!B$6="交易类",H357*1.5/22,IF([1]项目总工作量!B$6="数据分析类",H357*1.5*0.9/22,IF([1]项目总工作量!B$6="流程管理类",H357*1.5*0.8/22,IF([1]项目总工作量!B$6="渠道类",H357*1.5*0.7/22,FALSE))))</f>
        <v>0.27272727272727271</v>
      </c>
      <c r="J357" s="86" t="s">
        <v>44</v>
      </c>
    </row>
    <row r="358" spans="1:10" s="87" customFormat="1" ht="14" x14ac:dyDescent="0.15">
      <c r="A358" s="127"/>
      <c r="B358" s="128"/>
      <c r="C358" s="128"/>
      <c r="D358" s="154">
        <f t="shared" si="14"/>
        <v>0.27272727272727271</v>
      </c>
      <c r="E358" s="85"/>
      <c r="F358" s="97" t="s">
        <v>294</v>
      </c>
      <c r="G358" s="86" t="s">
        <v>66</v>
      </c>
      <c r="H358" s="86">
        <f t="shared" si="15"/>
        <v>4</v>
      </c>
      <c r="I358" s="86">
        <f>IF([1]项目总工作量!B$6="交易类",H358*1.5/22,IF([1]项目总工作量!B$6="数据分析类",H358*1.5*0.9/22,IF([1]项目总工作量!B$6="流程管理类",H358*1.5*0.8/22,IF([1]项目总工作量!B$6="渠道类",H358*1.5*0.7/22,FALSE))))</f>
        <v>0.27272727272727271</v>
      </c>
      <c r="J358" s="86" t="s">
        <v>44</v>
      </c>
    </row>
    <row r="359" spans="1:10" s="87" customFormat="1" ht="14" x14ac:dyDescent="0.15">
      <c r="A359" s="127"/>
      <c r="B359" s="128"/>
      <c r="C359" s="128"/>
      <c r="D359" s="154">
        <f t="shared" si="14"/>
        <v>0.27272727272727271</v>
      </c>
      <c r="E359" s="85"/>
      <c r="F359" s="97" t="s">
        <v>293</v>
      </c>
      <c r="G359" s="86" t="s">
        <v>66</v>
      </c>
      <c r="H359" s="86">
        <f t="shared" si="15"/>
        <v>4</v>
      </c>
      <c r="I359" s="86">
        <f>IF([1]项目总工作量!B$6="交易类",H359*1.5/22,IF([1]项目总工作量!B$6="数据分析类",H359*1.5*0.9/22,IF([1]项目总工作量!B$6="流程管理类",H359*1.5*0.8/22,IF([1]项目总工作量!B$6="渠道类",H359*1.5*0.7/22,FALSE))))</f>
        <v>0.27272727272727271</v>
      </c>
      <c r="J359" s="86" t="s">
        <v>44</v>
      </c>
    </row>
    <row r="360" spans="1:10" s="87" customFormat="1" ht="14" x14ac:dyDescent="0.15">
      <c r="A360" s="127"/>
      <c r="B360" s="128"/>
      <c r="C360" s="128"/>
      <c r="D360" s="154">
        <f t="shared" si="14"/>
        <v>0.27272727272727271</v>
      </c>
      <c r="E360" s="85"/>
      <c r="F360" s="97" t="s">
        <v>292</v>
      </c>
      <c r="G360" s="86" t="s">
        <v>66</v>
      </c>
      <c r="H360" s="86">
        <f t="shared" si="15"/>
        <v>4</v>
      </c>
      <c r="I360" s="86">
        <f>IF([1]项目总工作量!B$6="交易类",H360*1.5/22,IF([1]项目总工作量!B$6="数据分析类",H360*1.5*0.9/22,IF([1]项目总工作量!B$6="流程管理类",H360*1.5*0.8/22,IF([1]项目总工作量!B$6="渠道类",H360*1.5*0.7/22,FALSE))))</f>
        <v>0.27272727272727271</v>
      </c>
      <c r="J360" s="86" t="s">
        <v>44</v>
      </c>
    </row>
    <row r="361" spans="1:10" s="87" customFormat="1" ht="14" x14ac:dyDescent="0.15">
      <c r="A361" s="127"/>
      <c r="B361" s="128"/>
      <c r="C361" s="128"/>
      <c r="D361" s="154">
        <f t="shared" si="14"/>
        <v>0.27272727272727271</v>
      </c>
      <c r="E361" s="85"/>
      <c r="F361" s="97" t="s">
        <v>291</v>
      </c>
      <c r="G361" s="86" t="s">
        <v>66</v>
      </c>
      <c r="H361" s="86">
        <f t="shared" si="15"/>
        <v>4</v>
      </c>
      <c r="I361" s="86">
        <f>IF([1]项目总工作量!B$6="交易类",H361*1.5/22,IF([1]项目总工作量!B$6="数据分析类",H361*1.5*0.9/22,IF([1]项目总工作量!B$6="流程管理类",H361*1.5*0.8/22,IF([1]项目总工作量!B$6="渠道类",H361*1.5*0.7/22,FALSE))))</f>
        <v>0.27272727272727271</v>
      </c>
      <c r="J361" s="86" t="s">
        <v>44</v>
      </c>
    </row>
    <row r="362" spans="1:10" s="87" customFormat="1" ht="14" x14ac:dyDescent="0.15">
      <c r="A362" s="127"/>
      <c r="B362" s="128"/>
      <c r="C362" s="128"/>
      <c r="D362" s="154">
        <f t="shared" si="14"/>
        <v>0.27272727272727271</v>
      </c>
      <c r="E362" s="85"/>
      <c r="F362" s="97" t="s">
        <v>290</v>
      </c>
      <c r="G362" s="86" t="s">
        <v>66</v>
      </c>
      <c r="H362" s="86">
        <f t="shared" si="15"/>
        <v>4</v>
      </c>
      <c r="I362" s="86">
        <f>IF([1]项目总工作量!B$6="交易类",H362*1.5/22,IF([1]项目总工作量!B$6="数据分析类",H362*1.5*0.9/22,IF([1]项目总工作量!B$6="流程管理类",H362*1.5*0.8/22,IF([1]项目总工作量!B$6="渠道类",H362*1.5*0.7/22,FALSE))))</f>
        <v>0.27272727272727271</v>
      </c>
      <c r="J362" s="86" t="s">
        <v>44</v>
      </c>
    </row>
    <row r="363" spans="1:10" s="87" customFormat="1" ht="14" x14ac:dyDescent="0.15">
      <c r="A363" s="127"/>
      <c r="B363" s="128"/>
      <c r="C363" s="128"/>
      <c r="D363" s="154">
        <f t="shared" si="14"/>
        <v>0.27272727272727271</v>
      </c>
      <c r="E363" s="85"/>
      <c r="F363" s="97" t="s">
        <v>289</v>
      </c>
      <c r="G363" s="86" t="s">
        <v>66</v>
      </c>
      <c r="H363" s="86">
        <f t="shared" si="15"/>
        <v>4</v>
      </c>
      <c r="I363" s="86">
        <f>IF([1]项目总工作量!B$6="交易类",H363*1.5/22,IF([1]项目总工作量!B$6="数据分析类",H363*1.5*0.9/22,IF([1]项目总工作量!B$6="流程管理类",H363*1.5*0.8/22,IF([1]项目总工作量!B$6="渠道类",H363*1.5*0.7/22,FALSE))))</f>
        <v>0.27272727272727271</v>
      </c>
      <c r="J363" s="86" t="s">
        <v>44</v>
      </c>
    </row>
    <row r="364" spans="1:10" s="87" customFormat="1" ht="14" x14ac:dyDescent="0.15">
      <c r="A364" s="127"/>
      <c r="B364" s="128"/>
      <c r="C364" s="128"/>
      <c r="D364" s="154">
        <f t="shared" si="14"/>
        <v>0.27272727272727271</v>
      </c>
      <c r="E364" s="85"/>
      <c r="F364" s="97" t="s">
        <v>288</v>
      </c>
      <c r="G364" s="86" t="s">
        <v>66</v>
      </c>
      <c r="H364" s="86">
        <f t="shared" si="15"/>
        <v>4</v>
      </c>
      <c r="I364" s="86">
        <f>IF([1]项目总工作量!B$6="交易类",H364*1.5/22,IF([1]项目总工作量!B$6="数据分析类",H364*1.5*0.9/22,IF([1]项目总工作量!B$6="流程管理类",H364*1.5*0.8/22,IF([1]项目总工作量!B$6="渠道类",H364*1.5*0.7/22,FALSE))))</f>
        <v>0.27272727272727271</v>
      </c>
      <c r="J364" s="86" t="s">
        <v>44</v>
      </c>
    </row>
    <row r="365" spans="1:10" s="87" customFormat="1" ht="14" x14ac:dyDescent="0.15">
      <c r="A365" s="127"/>
      <c r="B365" s="128"/>
      <c r="C365" s="128"/>
      <c r="D365" s="154">
        <f t="shared" si="14"/>
        <v>0.27272727272727271</v>
      </c>
      <c r="E365" s="85"/>
      <c r="F365" s="97" t="s">
        <v>287</v>
      </c>
      <c r="G365" s="86" t="s">
        <v>66</v>
      </c>
      <c r="H365" s="86">
        <f t="shared" si="15"/>
        <v>4</v>
      </c>
      <c r="I365" s="86">
        <f>IF([1]项目总工作量!B$6="交易类",H365*1.5/22,IF([1]项目总工作量!B$6="数据分析类",H365*1.5*0.9/22,IF([1]项目总工作量!B$6="流程管理类",H365*1.5*0.8/22,IF([1]项目总工作量!B$6="渠道类",H365*1.5*0.7/22,FALSE))))</f>
        <v>0.27272727272727271</v>
      </c>
      <c r="J365" s="86" t="s">
        <v>44</v>
      </c>
    </row>
    <row r="366" spans="1:10" s="87" customFormat="1" ht="14" x14ac:dyDescent="0.15">
      <c r="A366" s="127"/>
      <c r="B366" s="128"/>
      <c r="C366" s="128"/>
      <c r="D366" s="154">
        <f t="shared" si="14"/>
        <v>0.27272727272727271</v>
      </c>
      <c r="E366" s="85"/>
      <c r="F366" s="97" t="s">
        <v>286</v>
      </c>
      <c r="G366" s="86" t="s">
        <v>66</v>
      </c>
      <c r="H366" s="86">
        <f t="shared" si="15"/>
        <v>4</v>
      </c>
      <c r="I366" s="86">
        <f>IF([1]项目总工作量!B$6="交易类",H366*1.5/22,IF([1]项目总工作量!B$6="数据分析类",H366*1.5*0.9/22,IF([1]项目总工作量!B$6="流程管理类",H366*1.5*0.8/22,IF([1]项目总工作量!B$6="渠道类",H366*1.5*0.7/22,FALSE))))</f>
        <v>0.27272727272727271</v>
      </c>
      <c r="J366" s="86" t="s">
        <v>44</v>
      </c>
    </row>
    <row r="367" spans="1:10" s="87" customFormat="1" ht="14" x14ac:dyDescent="0.15">
      <c r="A367" s="127"/>
      <c r="B367" s="128"/>
      <c r="C367" s="128"/>
      <c r="D367" s="154">
        <f t="shared" si="14"/>
        <v>0.27272727272727271</v>
      </c>
      <c r="E367" s="85"/>
      <c r="F367" s="97" t="s">
        <v>285</v>
      </c>
      <c r="G367" s="86" t="s">
        <v>66</v>
      </c>
      <c r="H367" s="86">
        <f t="shared" si="15"/>
        <v>4</v>
      </c>
      <c r="I367" s="86">
        <f>IF([1]项目总工作量!B$6="交易类",H367*1.5/22,IF([1]项目总工作量!B$6="数据分析类",H367*1.5*0.9/22,IF([1]项目总工作量!B$6="流程管理类",H367*1.5*0.8/22,IF([1]项目总工作量!B$6="渠道类",H367*1.5*0.7/22,FALSE))))</f>
        <v>0.27272727272727271</v>
      </c>
      <c r="J367" s="86" t="s">
        <v>44</v>
      </c>
    </row>
    <row r="368" spans="1:10" s="87" customFormat="1" ht="14" x14ac:dyDescent="0.15">
      <c r="A368" s="127"/>
      <c r="B368" s="128"/>
      <c r="C368" s="128"/>
      <c r="D368" s="154">
        <f t="shared" si="14"/>
        <v>0.27272727272727271</v>
      </c>
      <c r="E368" s="85"/>
      <c r="F368" s="97" t="s">
        <v>284</v>
      </c>
      <c r="G368" s="86" t="s">
        <v>66</v>
      </c>
      <c r="H368" s="86">
        <f t="shared" si="15"/>
        <v>4</v>
      </c>
      <c r="I368" s="86">
        <f>IF([1]项目总工作量!B$6="交易类",H368*1.5/22,IF([1]项目总工作量!B$6="数据分析类",H368*1.5*0.9/22,IF([1]项目总工作量!B$6="流程管理类",H368*1.5*0.8/22,IF([1]项目总工作量!B$6="渠道类",H368*1.5*0.7/22,FALSE))))</f>
        <v>0.27272727272727271</v>
      </c>
      <c r="J368" s="86" t="s">
        <v>44</v>
      </c>
    </row>
    <row r="369" spans="1:10" s="87" customFormat="1" ht="14" x14ac:dyDescent="0.15">
      <c r="A369" s="127"/>
      <c r="B369" s="128"/>
      <c r="C369" s="128"/>
      <c r="D369" s="154">
        <f t="shared" si="14"/>
        <v>0.27272727272727271</v>
      </c>
      <c r="E369" s="85"/>
      <c r="F369" s="97" t="s">
        <v>283</v>
      </c>
      <c r="G369" s="86" t="s">
        <v>66</v>
      </c>
      <c r="H369" s="86">
        <f t="shared" si="15"/>
        <v>4</v>
      </c>
      <c r="I369" s="86">
        <f>IF([1]项目总工作量!B$6="交易类",H369*1.5/22,IF([1]项目总工作量!B$6="数据分析类",H369*1.5*0.9/22,IF([1]项目总工作量!B$6="流程管理类",H369*1.5*0.8/22,IF([1]项目总工作量!B$6="渠道类",H369*1.5*0.7/22,FALSE))))</f>
        <v>0.27272727272727271</v>
      </c>
      <c r="J369" s="86" t="s">
        <v>44</v>
      </c>
    </row>
    <row r="370" spans="1:10" s="87" customFormat="1" ht="14" x14ac:dyDescent="0.15">
      <c r="A370" s="127"/>
      <c r="B370" s="128"/>
      <c r="C370" s="128"/>
      <c r="D370" s="154">
        <f t="shared" si="14"/>
        <v>0.27272727272727271</v>
      </c>
      <c r="E370" s="85"/>
      <c r="F370" s="97" t="s">
        <v>282</v>
      </c>
      <c r="G370" s="86" t="s">
        <v>66</v>
      </c>
      <c r="H370" s="86">
        <f t="shared" si="15"/>
        <v>4</v>
      </c>
      <c r="I370" s="86">
        <f>IF([1]项目总工作量!B$6="交易类",H370*1.5/22,IF([1]项目总工作量!B$6="数据分析类",H370*1.5*0.9/22,IF([1]项目总工作量!B$6="流程管理类",H370*1.5*0.8/22,IF([1]项目总工作量!B$6="渠道类",H370*1.5*0.7/22,FALSE))))</f>
        <v>0.27272727272727271</v>
      </c>
      <c r="J370" s="86" t="s">
        <v>44</v>
      </c>
    </row>
    <row r="371" spans="1:10" s="87" customFormat="1" ht="14" x14ac:dyDescent="0.15">
      <c r="A371" s="127"/>
      <c r="B371" s="128"/>
      <c r="C371" s="128"/>
      <c r="D371" s="154">
        <f t="shared" si="14"/>
        <v>0.27272727272727271</v>
      </c>
      <c r="E371" s="85"/>
      <c r="F371" s="97" t="s">
        <v>281</v>
      </c>
      <c r="G371" s="86" t="s">
        <v>66</v>
      </c>
      <c r="H371" s="86">
        <f t="shared" si="15"/>
        <v>4</v>
      </c>
      <c r="I371" s="86">
        <f>IF([1]项目总工作量!B$6="交易类",H371*1.5/22,IF([1]项目总工作量!B$6="数据分析类",H371*1.5*0.9/22,IF([1]项目总工作量!B$6="流程管理类",H371*1.5*0.8/22,IF([1]项目总工作量!B$6="渠道类",H371*1.5*0.7/22,FALSE))))</f>
        <v>0.27272727272727271</v>
      </c>
      <c r="J371" s="86" t="s">
        <v>44</v>
      </c>
    </row>
    <row r="372" spans="1:10" s="87" customFormat="1" ht="14" x14ac:dyDescent="0.15">
      <c r="A372" s="127"/>
      <c r="B372" s="128"/>
      <c r="C372" s="128"/>
      <c r="D372" s="154">
        <f t="shared" si="14"/>
        <v>0.27272727272727271</v>
      </c>
      <c r="E372" s="85"/>
      <c r="F372" s="97" t="s">
        <v>280</v>
      </c>
      <c r="G372" s="86" t="s">
        <v>66</v>
      </c>
      <c r="H372" s="86">
        <f t="shared" si="15"/>
        <v>4</v>
      </c>
      <c r="I372" s="86">
        <f>IF([1]项目总工作量!B$6="交易类",H372*1.5/22,IF([1]项目总工作量!B$6="数据分析类",H372*1.5*0.9/22,IF([1]项目总工作量!B$6="流程管理类",H372*1.5*0.8/22,IF([1]项目总工作量!B$6="渠道类",H372*1.5*0.7/22,FALSE))))</f>
        <v>0.27272727272727271</v>
      </c>
      <c r="J372" s="86" t="s">
        <v>44</v>
      </c>
    </row>
    <row r="373" spans="1:10" s="87" customFormat="1" ht="14" x14ac:dyDescent="0.15">
      <c r="A373" s="127"/>
      <c r="B373" s="128"/>
      <c r="C373" s="128"/>
      <c r="D373" s="154">
        <f t="shared" si="14"/>
        <v>0.27272727272727271</v>
      </c>
      <c r="E373" s="85"/>
      <c r="F373" s="97" t="s">
        <v>279</v>
      </c>
      <c r="G373" s="86" t="s">
        <v>66</v>
      </c>
      <c r="H373" s="86">
        <f t="shared" si="15"/>
        <v>4</v>
      </c>
      <c r="I373" s="86">
        <f>IF([1]项目总工作量!B$6="交易类",H373*1.5/22,IF([1]项目总工作量!B$6="数据分析类",H373*1.5*0.9/22,IF([1]项目总工作量!B$6="流程管理类",H373*1.5*0.8/22,IF([1]项目总工作量!B$6="渠道类",H373*1.5*0.7/22,FALSE))))</f>
        <v>0.27272727272727271</v>
      </c>
      <c r="J373" s="86" t="s">
        <v>44</v>
      </c>
    </row>
    <row r="374" spans="1:10" s="87" customFormat="1" ht="14" x14ac:dyDescent="0.15">
      <c r="A374" s="127"/>
      <c r="B374" s="128"/>
      <c r="C374" s="128"/>
      <c r="D374" s="154">
        <f t="shared" si="14"/>
        <v>0.27272727272727271</v>
      </c>
      <c r="E374" s="85"/>
      <c r="F374" s="97" t="s">
        <v>278</v>
      </c>
      <c r="G374" s="86" t="s">
        <v>66</v>
      </c>
      <c r="H374" s="86">
        <f t="shared" si="15"/>
        <v>4</v>
      </c>
      <c r="I374" s="86">
        <f>IF([1]项目总工作量!B$6="交易类",H374*1.5/22,IF([1]项目总工作量!B$6="数据分析类",H374*1.5*0.9/22,IF([1]项目总工作量!B$6="流程管理类",H374*1.5*0.8/22,IF([1]项目总工作量!B$6="渠道类",H374*1.5*0.7/22,FALSE))))</f>
        <v>0.27272727272727271</v>
      </c>
      <c r="J374" s="86" t="s">
        <v>44</v>
      </c>
    </row>
    <row r="375" spans="1:10" s="87" customFormat="1" ht="14" x14ac:dyDescent="0.15">
      <c r="A375" s="127"/>
      <c r="B375" s="128"/>
      <c r="C375" s="128"/>
      <c r="D375" s="154">
        <f t="shared" si="14"/>
        <v>0.27272727272727271</v>
      </c>
      <c r="E375" s="85"/>
      <c r="F375" s="97" t="s">
        <v>277</v>
      </c>
      <c r="G375" s="86" t="s">
        <v>66</v>
      </c>
      <c r="H375" s="86">
        <f t="shared" si="15"/>
        <v>4</v>
      </c>
      <c r="I375" s="86">
        <f>IF([1]项目总工作量!B$6="交易类",H375*1.5/22,IF([1]项目总工作量!B$6="数据分析类",H375*1.5*0.9/22,IF([1]项目总工作量!B$6="流程管理类",H375*1.5*0.8/22,IF([1]项目总工作量!B$6="渠道类",H375*1.5*0.7/22,FALSE))))</f>
        <v>0.27272727272727271</v>
      </c>
      <c r="J375" s="86" t="s">
        <v>44</v>
      </c>
    </row>
    <row r="376" spans="1:10" s="92" customFormat="1" ht="14" x14ac:dyDescent="0.15">
      <c r="A376" s="127"/>
      <c r="B376" s="128"/>
      <c r="C376" s="128"/>
      <c r="D376" s="154">
        <f t="shared" si="14"/>
        <v>0.27272727272727271</v>
      </c>
      <c r="E376" s="91"/>
      <c r="F376" s="97" t="s">
        <v>276</v>
      </c>
      <c r="G376" s="86" t="s">
        <v>66</v>
      </c>
      <c r="H376" s="86">
        <f t="shared" si="15"/>
        <v>4</v>
      </c>
      <c r="I376" s="86">
        <f>IF([1]项目总工作量!B$6="交易类",H376*1.5/22,IF([1]项目总工作量!B$6="数据分析类",H376*1.5*0.9/22,IF([1]项目总工作量!B$6="流程管理类",H376*1.5*0.8/22,IF([1]项目总工作量!B$6="渠道类",H376*1.5*0.7/22,FALSE))))</f>
        <v>0.27272727272727271</v>
      </c>
      <c r="J376" s="86" t="s">
        <v>44</v>
      </c>
    </row>
    <row r="377" spans="1:10" s="87" customFormat="1" ht="14" x14ac:dyDescent="0.15">
      <c r="A377" s="127"/>
      <c r="B377" s="128"/>
      <c r="C377" s="128"/>
      <c r="D377" s="154">
        <f t="shared" si="14"/>
        <v>0.27272727272727271</v>
      </c>
      <c r="E377" s="85"/>
      <c r="F377" s="97" t="s">
        <v>275</v>
      </c>
      <c r="G377" s="86" t="s">
        <v>66</v>
      </c>
      <c r="H377" s="86">
        <f t="shared" si="15"/>
        <v>4</v>
      </c>
      <c r="I377" s="86">
        <f>IF([1]项目总工作量!B$6="交易类",H377*1.5/22,IF([1]项目总工作量!B$6="数据分析类",H377*1.5*0.9/22,IF([1]项目总工作量!B$6="流程管理类",H377*1.5*0.8/22,IF([1]项目总工作量!B$6="渠道类",H377*1.5*0.7/22,FALSE))))</f>
        <v>0.27272727272727271</v>
      </c>
      <c r="J377" s="86" t="s">
        <v>44</v>
      </c>
    </row>
    <row r="378" spans="1:10" s="87" customFormat="1" ht="14" x14ac:dyDescent="0.15">
      <c r="A378" s="127"/>
      <c r="B378" s="128"/>
      <c r="C378" s="128"/>
      <c r="D378" s="154">
        <f t="shared" si="14"/>
        <v>0.27272727272727271</v>
      </c>
      <c r="E378" s="85"/>
      <c r="F378" s="97" t="s">
        <v>274</v>
      </c>
      <c r="G378" s="86" t="s">
        <v>66</v>
      </c>
      <c r="H378" s="86">
        <f t="shared" si="15"/>
        <v>4</v>
      </c>
      <c r="I378" s="86">
        <f>IF([1]项目总工作量!B$6="交易类",H378*1.5/22,IF([1]项目总工作量!B$6="数据分析类",H378*1.5*0.9/22,IF([1]项目总工作量!B$6="流程管理类",H378*1.5*0.8/22,IF([1]项目总工作量!B$6="渠道类",H378*1.5*0.7/22,FALSE))))</f>
        <v>0.27272727272727271</v>
      </c>
      <c r="J378" s="86" t="s">
        <v>44</v>
      </c>
    </row>
    <row r="379" spans="1:10" s="87" customFormat="1" ht="14" x14ac:dyDescent="0.15">
      <c r="A379" s="127"/>
      <c r="B379" s="128"/>
      <c r="C379" s="128"/>
      <c r="D379" s="154">
        <f t="shared" si="14"/>
        <v>0.27272727272727271</v>
      </c>
      <c r="E379" s="85"/>
      <c r="F379" s="97" t="s">
        <v>273</v>
      </c>
      <c r="G379" s="86" t="s">
        <v>66</v>
      </c>
      <c r="H379" s="86">
        <f t="shared" ref="H379:H410" si="16">IF(G379="EI",4,IF(G379="EO",5,IF(G379="EQ",4,0)))</f>
        <v>4</v>
      </c>
      <c r="I379" s="86">
        <f>IF([1]项目总工作量!B$6="交易类",H379*1.5/22,IF([1]项目总工作量!B$6="数据分析类",H379*1.5*0.9/22,IF([1]项目总工作量!B$6="流程管理类",H379*1.5*0.8/22,IF([1]项目总工作量!B$6="渠道类",H379*1.5*0.7/22,FALSE))))</f>
        <v>0.27272727272727271</v>
      </c>
      <c r="J379" s="86" t="s">
        <v>44</v>
      </c>
    </row>
    <row r="380" spans="1:10" s="87" customFormat="1" ht="14" x14ac:dyDescent="0.15">
      <c r="A380" s="127"/>
      <c r="B380" s="128"/>
      <c r="C380" s="128"/>
      <c r="D380" s="154">
        <f t="shared" si="14"/>
        <v>0.27272727272727271</v>
      </c>
      <c r="E380" s="85"/>
      <c r="F380" s="97" t="s">
        <v>272</v>
      </c>
      <c r="G380" s="86" t="s">
        <v>66</v>
      </c>
      <c r="H380" s="86">
        <f t="shared" si="16"/>
        <v>4</v>
      </c>
      <c r="I380" s="86">
        <f>IF([1]项目总工作量!B$6="交易类",H380*1.5/22,IF([1]项目总工作量!B$6="数据分析类",H380*1.5*0.9/22,IF([1]项目总工作量!B$6="流程管理类",H380*1.5*0.8/22,IF([1]项目总工作量!B$6="渠道类",H380*1.5*0.7/22,FALSE))))</f>
        <v>0.27272727272727271</v>
      </c>
      <c r="J380" s="86" t="s">
        <v>44</v>
      </c>
    </row>
    <row r="381" spans="1:10" s="87" customFormat="1" ht="14" x14ac:dyDescent="0.15">
      <c r="A381" s="127"/>
      <c r="B381" s="128"/>
      <c r="C381" s="128"/>
      <c r="D381" s="154">
        <f t="shared" si="14"/>
        <v>0.27272727272727271</v>
      </c>
      <c r="E381" s="85"/>
      <c r="F381" s="97" t="s">
        <v>271</v>
      </c>
      <c r="G381" s="86" t="s">
        <v>66</v>
      </c>
      <c r="H381" s="86">
        <f t="shared" si="16"/>
        <v>4</v>
      </c>
      <c r="I381" s="86">
        <f>IF([1]项目总工作量!B$6="交易类",H381*1.5/22,IF([1]项目总工作量!B$6="数据分析类",H381*1.5*0.9/22,IF([1]项目总工作量!B$6="流程管理类",H381*1.5*0.8/22,IF([1]项目总工作量!B$6="渠道类",H381*1.5*0.7/22,FALSE))))</f>
        <v>0.27272727272727271</v>
      </c>
      <c r="J381" s="86" t="s">
        <v>44</v>
      </c>
    </row>
    <row r="382" spans="1:10" s="87" customFormat="1" ht="14" x14ac:dyDescent="0.15">
      <c r="A382" s="127"/>
      <c r="B382" s="128"/>
      <c r="C382" s="128"/>
      <c r="D382" s="154">
        <f t="shared" si="14"/>
        <v>0.27272727272727271</v>
      </c>
      <c r="E382" s="85"/>
      <c r="F382" s="97" t="s">
        <v>270</v>
      </c>
      <c r="G382" s="86" t="s">
        <v>66</v>
      </c>
      <c r="H382" s="86">
        <f t="shared" si="16"/>
        <v>4</v>
      </c>
      <c r="I382" s="86">
        <f>IF([1]项目总工作量!B$6="交易类",H382*1.5/22,IF([1]项目总工作量!B$6="数据分析类",H382*1.5*0.9/22,IF([1]项目总工作量!B$6="流程管理类",H382*1.5*0.8/22,IF([1]项目总工作量!B$6="渠道类",H382*1.5*0.7/22,FALSE))))</f>
        <v>0.27272727272727271</v>
      </c>
      <c r="J382" s="86" t="s">
        <v>44</v>
      </c>
    </row>
    <row r="383" spans="1:10" s="87" customFormat="1" ht="14" x14ac:dyDescent="0.15">
      <c r="A383" s="127"/>
      <c r="B383" s="128"/>
      <c r="C383" s="128"/>
      <c r="D383" s="154">
        <f t="shared" si="14"/>
        <v>0.27272727272727271</v>
      </c>
      <c r="E383" s="85"/>
      <c r="F383" s="97" t="s">
        <v>269</v>
      </c>
      <c r="G383" s="86" t="s">
        <v>66</v>
      </c>
      <c r="H383" s="86">
        <f t="shared" si="16"/>
        <v>4</v>
      </c>
      <c r="I383" s="86">
        <f>IF([1]项目总工作量!B$6="交易类",H383*1.5/22,IF([1]项目总工作量!B$6="数据分析类",H383*1.5*0.9/22,IF([1]项目总工作量!B$6="流程管理类",H383*1.5*0.8/22,IF([1]项目总工作量!B$6="渠道类",H383*1.5*0.7/22,FALSE))))</f>
        <v>0.27272727272727271</v>
      </c>
      <c r="J383" s="86" t="s">
        <v>44</v>
      </c>
    </row>
    <row r="384" spans="1:10" s="87" customFormat="1" ht="14" x14ac:dyDescent="0.15">
      <c r="A384" s="127"/>
      <c r="B384" s="128"/>
      <c r="C384" s="128"/>
      <c r="D384" s="154">
        <f t="shared" si="14"/>
        <v>0.27272727272727271</v>
      </c>
      <c r="E384" s="85"/>
      <c r="F384" s="97" t="s">
        <v>268</v>
      </c>
      <c r="G384" s="86" t="s">
        <v>66</v>
      </c>
      <c r="H384" s="86">
        <f t="shared" si="16"/>
        <v>4</v>
      </c>
      <c r="I384" s="86">
        <f>IF([1]项目总工作量!B$6="交易类",H384*1.5/22,IF([1]项目总工作量!B$6="数据分析类",H384*1.5*0.9/22,IF([1]项目总工作量!B$6="流程管理类",H384*1.5*0.8/22,IF([1]项目总工作量!B$6="渠道类",H384*1.5*0.7/22,FALSE))))</f>
        <v>0.27272727272727271</v>
      </c>
      <c r="J384" s="86" t="s">
        <v>44</v>
      </c>
    </row>
    <row r="385" spans="1:10" s="87" customFormat="1" ht="14" x14ac:dyDescent="0.15">
      <c r="A385" s="127"/>
      <c r="B385" s="128"/>
      <c r="C385" s="128"/>
      <c r="D385" s="154">
        <f t="shared" si="14"/>
        <v>0.27272727272727271</v>
      </c>
      <c r="E385" s="85"/>
      <c r="F385" s="97" t="s">
        <v>267</v>
      </c>
      <c r="G385" s="86" t="s">
        <v>66</v>
      </c>
      <c r="H385" s="86">
        <f t="shared" si="16"/>
        <v>4</v>
      </c>
      <c r="I385" s="86">
        <f>IF([1]项目总工作量!B$6="交易类",H385*1.5/22,IF([1]项目总工作量!B$6="数据分析类",H385*1.5*0.9/22,IF([1]项目总工作量!B$6="流程管理类",H385*1.5*0.8/22,IF([1]项目总工作量!B$6="渠道类",H385*1.5*0.7/22,FALSE))))</f>
        <v>0.27272727272727271</v>
      </c>
      <c r="J385" s="86" t="s">
        <v>44</v>
      </c>
    </row>
    <row r="386" spans="1:10" s="87" customFormat="1" ht="14" x14ac:dyDescent="0.15">
      <c r="A386" s="127"/>
      <c r="B386" s="128"/>
      <c r="C386" s="128"/>
      <c r="D386" s="154">
        <f t="shared" si="14"/>
        <v>0.27272727272727271</v>
      </c>
      <c r="E386" s="85"/>
      <c r="F386" s="97" t="s">
        <v>266</v>
      </c>
      <c r="G386" s="86" t="s">
        <v>66</v>
      </c>
      <c r="H386" s="86">
        <f t="shared" si="16"/>
        <v>4</v>
      </c>
      <c r="I386" s="86">
        <f>IF([1]项目总工作量!B$6="交易类",H386*1.5/22,IF([1]项目总工作量!B$6="数据分析类",H386*1.5*0.9/22,IF([1]项目总工作量!B$6="流程管理类",H386*1.5*0.8/22,IF([1]项目总工作量!B$6="渠道类",H386*1.5*0.7/22,FALSE))))</f>
        <v>0.27272727272727271</v>
      </c>
      <c r="J386" s="86" t="s">
        <v>44</v>
      </c>
    </row>
    <row r="387" spans="1:10" s="87" customFormat="1" ht="14" x14ac:dyDescent="0.15">
      <c r="A387" s="127"/>
      <c r="B387" s="128"/>
      <c r="C387" s="128"/>
      <c r="D387" s="154">
        <f t="shared" si="14"/>
        <v>0.27272727272727271</v>
      </c>
      <c r="E387" s="85"/>
      <c r="F387" s="97" t="s">
        <v>265</v>
      </c>
      <c r="G387" s="86" t="s">
        <v>66</v>
      </c>
      <c r="H387" s="86">
        <f t="shared" si="16"/>
        <v>4</v>
      </c>
      <c r="I387" s="86">
        <f>IF([1]项目总工作量!B$6="交易类",H387*1.5/22,IF([1]项目总工作量!B$6="数据分析类",H387*1.5*0.9/22,IF([1]项目总工作量!B$6="流程管理类",H387*1.5*0.8/22,IF([1]项目总工作量!B$6="渠道类",H387*1.5*0.7/22,FALSE))))</f>
        <v>0.27272727272727271</v>
      </c>
      <c r="J387" s="86" t="s">
        <v>44</v>
      </c>
    </row>
    <row r="388" spans="1:10" s="87" customFormat="1" ht="14" x14ac:dyDescent="0.15">
      <c r="A388" s="127"/>
      <c r="B388" s="128"/>
      <c r="C388" s="128"/>
      <c r="D388" s="154">
        <f t="shared" si="14"/>
        <v>0.27272727272727271</v>
      </c>
      <c r="E388" s="85"/>
      <c r="F388" s="97" t="s">
        <v>264</v>
      </c>
      <c r="G388" s="86" t="s">
        <v>66</v>
      </c>
      <c r="H388" s="86">
        <f t="shared" si="16"/>
        <v>4</v>
      </c>
      <c r="I388" s="86">
        <f>IF([1]项目总工作量!B$6="交易类",H388*1.5/22,IF([1]项目总工作量!B$6="数据分析类",H388*1.5*0.9/22,IF([1]项目总工作量!B$6="流程管理类",H388*1.5*0.8/22,IF([1]项目总工作量!B$6="渠道类",H388*1.5*0.7/22,FALSE))))</f>
        <v>0.27272727272727271</v>
      </c>
      <c r="J388" s="86" t="s">
        <v>44</v>
      </c>
    </row>
    <row r="389" spans="1:10" s="87" customFormat="1" ht="14" x14ac:dyDescent="0.15">
      <c r="A389" s="127"/>
      <c r="B389" s="128"/>
      <c r="C389" s="128"/>
      <c r="D389" s="154">
        <f t="shared" si="14"/>
        <v>0.27272727272727271</v>
      </c>
      <c r="E389" s="85"/>
      <c r="F389" s="97" t="s">
        <v>263</v>
      </c>
      <c r="G389" s="86" t="s">
        <v>66</v>
      </c>
      <c r="H389" s="86">
        <f t="shared" si="16"/>
        <v>4</v>
      </c>
      <c r="I389" s="86">
        <f>IF([1]项目总工作量!B$6="交易类",H389*1.5/22,IF([1]项目总工作量!B$6="数据分析类",H389*1.5*0.9/22,IF([1]项目总工作量!B$6="流程管理类",H389*1.5*0.8/22,IF([1]项目总工作量!B$6="渠道类",H389*1.5*0.7/22,FALSE))))</f>
        <v>0.27272727272727271</v>
      </c>
      <c r="J389" s="86" t="s">
        <v>44</v>
      </c>
    </row>
    <row r="390" spans="1:10" s="87" customFormat="1" ht="14" x14ac:dyDescent="0.15">
      <c r="A390" s="127"/>
      <c r="B390" s="128"/>
      <c r="C390" s="128"/>
      <c r="D390" s="154">
        <f t="shared" si="14"/>
        <v>0.27272727272727271</v>
      </c>
      <c r="E390" s="85"/>
      <c r="F390" s="97" t="s">
        <v>262</v>
      </c>
      <c r="G390" s="86" t="s">
        <v>66</v>
      </c>
      <c r="H390" s="86">
        <f t="shared" si="16"/>
        <v>4</v>
      </c>
      <c r="I390" s="86">
        <f>IF([1]项目总工作量!B$6="交易类",H390*1.5/22,IF([1]项目总工作量!B$6="数据分析类",H390*1.5*0.9/22,IF([1]项目总工作量!B$6="流程管理类",H390*1.5*0.8/22,IF([1]项目总工作量!B$6="渠道类",H390*1.5*0.7/22,FALSE))))</f>
        <v>0.27272727272727271</v>
      </c>
      <c r="J390" s="86" t="s">
        <v>44</v>
      </c>
    </row>
    <row r="391" spans="1:10" s="87" customFormat="1" ht="14" x14ac:dyDescent="0.15">
      <c r="A391" s="127"/>
      <c r="B391" s="128"/>
      <c r="C391" s="128"/>
      <c r="D391" s="154">
        <f t="shared" si="14"/>
        <v>0.27272727272727271</v>
      </c>
      <c r="E391" s="85"/>
      <c r="F391" s="97" t="s">
        <v>261</v>
      </c>
      <c r="G391" s="86" t="s">
        <v>66</v>
      </c>
      <c r="H391" s="86">
        <f t="shared" si="16"/>
        <v>4</v>
      </c>
      <c r="I391" s="86">
        <f>IF([1]项目总工作量!B$6="交易类",H391*1.5/22,IF([1]项目总工作量!B$6="数据分析类",H391*1.5*0.9/22,IF([1]项目总工作量!B$6="流程管理类",H391*1.5*0.8/22,IF([1]项目总工作量!B$6="渠道类",H391*1.5*0.7/22,FALSE))))</f>
        <v>0.27272727272727271</v>
      </c>
      <c r="J391" s="86" t="s">
        <v>44</v>
      </c>
    </row>
    <row r="392" spans="1:10" s="87" customFormat="1" ht="14" x14ac:dyDescent="0.15">
      <c r="A392" s="127"/>
      <c r="B392" s="128"/>
      <c r="C392" s="128"/>
      <c r="D392" s="154">
        <f t="shared" si="14"/>
        <v>0.27272727272727271</v>
      </c>
      <c r="E392" s="85"/>
      <c r="F392" s="97" t="s">
        <v>260</v>
      </c>
      <c r="G392" s="86" t="s">
        <v>66</v>
      </c>
      <c r="H392" s="86">
        <f t="shared" si="16"/>
        <v>4</v>
      </c>
      <c r="I392" s="86">
        <f>IF([1]项目总工作量!B$6="交易类",H392*1.5/22,IF([1]项目总工作量!B$6="数据分析类",H392*1.5*0.9/22,IF([1]项目总工作量!B$6="流程管理类",H392*1.5*0.8/22,IF([1]项目总工作量!B$6="渠道类",H392*1.5*0.7/22,FALSE))))</f>
        <v>0.27272727272727271</v>
      </c>
      <c r="J392" s="86" t="s">
        <v>44</v>
      </c>
    </row>
    <row r="393" spans="1:10" s="87" customFormat="1" ht="14" x14ac:dyDescent="0.15">
      <c r="A393" s="127"/>
      <c r="B393" s="128"/>
      <c r="C393" s="128"/>
      <c r="D393" s="154">
        <f t="shared" si="14"/>
        <v>0.27272727272727271</v>
      </c>
      <c r="E393" s="85"/>
      <c r="F393" s="97" t="s">
        <v>259</v>
      </c>
      <c r="G393" s="86" t="s">
        <v>66</v>
      </c>
      <c r="H393" s="86">
        <f t="shared" si="16"/>
        <v>4</v>
      </c>
      <c r="I393" s="86">
        <f>IF([1]项目总工作量!B$6="交易类",H393*1.5/22,IF([1]项目总工作量!B$6="数据分析类",H393*1.5*0.9/22,IF([1]项目总工作量!B$6="流程管理类",H393*1.5*0.8/22,IF([1]项目总工作量!B$6="渠道类",H393*1.5*0.7/22,FALSE))))</f>
        <v>0.27272727272727271</v>
      </c>
      <c r="J393" s="86" t="s">
        <v>44</v>
      </c>
    </row>
    <row r="394" spans="1:10" s="87" customFormat="1" ht="14" x14ac:dyDescent="0.15">
      <c r="A394" s="127"/>
      <c r="B394" s="128"/>
      <c r="C394" s="128"/>
      <c r="D394" s="154">
        <f t="shared" si="14"/>
        <v>0.27272727272727271</v>
      </c>
      <c r="E394" s="85"/>
      <c r="F394" s="97" t="s">
        <v>258</v>
      </c>
      <c r="G394" s="86" t="s">
        <v>66</v>
      </c>
      <c r="H394" s="86">
        <f t="shared" si="16"/>
        <v>4</v>
      </c>
      <c r="I394" s="86">
        <f>IF([1]项目总工作量!B$6="交易类",H394*1.5/22,IF([1]项目总工作量!B$6="数据分析类",H394*1.5*0.9/22,IF([1]项目总工作量!B$6="流程管理类",H394*1.5*0.8/22,IF([1]项目总工作量!B$6="渠道类",H394*1.5*0.7/22,FALSE))))</f>
        <v>0.27272727272727271</v>
      </c>
      <c r="J394" s="86" t="s">
        <v>44</v>
      </c>
    </row>
    <row r="395" spans="1:10" s="87" customFormat="1" ht="14" x14ac:dyDescent="0.15">
      <c r="A395" s="127"/>
      <c r="B395" s="128"/>
      <c r="C395" s="128"/>
      <c r="D395" s="154">
        <f t="shared" si="14"/>
        <v>0.27272727272727271</v>
      </c>
      <c r="E395" s="85"/>
      <c r="F395" s="97" t="s">
        <v>257</v>
      </c>
      <c r="G395" s="86" t="s">
        <v>66</v>
      </c>
      <c r="H395" s="86">
        <f t="shared" si="16"/>
        <v>4</v>
      </c>
      <c r="I395" s="86">
        <f>IF([1]项目总工作量!B$6="交易类",H395*1.5/22,IF([1]项目总工作量!B$6="数据分析类",H395*1.5*0.9/22,IF([1]项目总工作量!B$6="流程管理类",H395*1.5*0.8/22,IF([1]项目总工作量!B$6="渠道类",H395*1.5*0.7/22,FALSE))))</f>
        <v>0.27272727272727271</v>
      </c>
      <c r="J395" s="86" t="s">
        <v>44</v>
      </c>
    </row>
    <row r="396" spans="1:10" s="87" customFormat="1" ht="14" x14ac:dyDescent="0.15">
      <c r="A396" s="127"/>
      <c r="B396" s="128"/>
      <c r="C396" s="128"/>
      <c r="D396" s="154">
        <f t="shared" si="14"/>
        <v>0.27272727272727271</v>
      </c>
      <c r="E396" s="85"/>
      <c r="F396" s="97" t="s">
        <v>256</v>
      </c>
      <c r="G396" s="86" t="s">
        <v>66</v>
      </c>
      <c r="H396" s="86">
        <f t="shared" si="16"/>
        <v>4</v>
      </c>
      <c r="I396" s="86">
        <f>IF([1]项目总工作量!B$6="交易类",H396*1.5/22,IF([1]项目总工作量!B$6="数据分析类",H396*1.5*0.9/22,IF([1]项目总工作量!B$6="流程管理类",H396*1.5*0.8/22,IF([1]项目总工作量!B$6="渠道类",H396*1.5*0.7/22,FALSE))))</f>
        <v>0.27272727272727271</v>
      </c>
      <c r="J396" s="86" t="s">
        <v>44</v>
      </c>
    </row>
    <row r="397" spans="1:10" s="87" customFormat="1" ht="14" x14ac:dyDescent="0.15">
      <c r="A397" s="127"/>
      <c r="B397" s="128"/>
      <c r="C397" s="128"/>
      <c r="D397" s="154">
        <f t="shared" si="14"/>
        <v>0.27272727272727271</v>
      </c>
      <c r="E397" s="85"/>
      <c r="F397" s="97" t="s">
        <v>255</v>
      </c>
      <c r="G397" s="86" t="s">
        <v>66</v>
      </c>
      <c r="H397" s="86">
        <f t="shared" si="16"/>
        <v>4</v>
      </c>
      <c r="I397" s="86">
        <f>IF([1]项目总工作量!B$6="交易类",H397*1.5/22,IF([1]项目总工作量!B$6="数据分析类",H397*1.5*0.9/22,IF([1]项目总工作量!B$6="流程管理类",H397*1.5*0.8/22,IF([1]项目总工作量!B$6="渠道类",H397*1.5*0.7/22,FALSE))))</f>
        <v>0.27272727272727271</v>
      </c>
      <c r="J397" s="86" t="s">
        <v>44</v>
      </c>
    </row>
    <row r="398" spans="1:10" s="87" customFormat="1" ht="14" x14ac:dyDescent="0.15">
      <c r="A398" s="127"/>
      <c r="B398" s="128"/>
      <c r="C398" s="128"/>
      <c r="D398" s="154">
        <f t="shared" si="14"/>
        <v>0.27272727272727271</v>
      </c>
      <c r="E398" s="85"/>
      <c r="F398" s="97" t="s">
        <v>254</v>
      </c>
      <c r="G398" s="86" t="s">
        <v>66</v>
      </c>
      <c r="H398" s="86">
        <f t="shared" si="16"/>
        <v>4</v>
      </c>
      <c r="I398" s="86">
        <f>IF([1]项目总工作量!B$6="交易类",H398*1.5/22,IF([1]项目总工作量!B$6="数据分析类",H398*1.5*0.9/22,IF([1]项目总工作量!B$6="流程管理类",H398*1.5*0.8/22,IF([1]项目总工作量!B$6="渠道类",H398*1.5*0.7/22,FALSE))))</f>
        <v>0.27272727272727271</v>
      </c>
      <c r="J398" s="86" t="s">
        <v>44</v>
      </c>
    </row>
    <row r="399" spans="1:10" s="87" customFormat="1" ht="14" x14ac:dyDescent="0.15">
      <c r="A399" s="127"/>
      <c r="B399" s="128"/>
      <c r="C399" s="128"/>
      <c r="D399" s="154">
        <f t="shared" si="14"/>
        <v>0.27272727272727271</v>
      </c>
      <c r="E399" s="85"/>
      <c r="F399" s="97" t="s">
        <v>253</v>
      </c>
      <c r="G399" s="86" t="s">
        <v>66</v>
      </c>
      <c r="H399" s="86">
        <f t="shared" si="16"/>
        <v>4</v>
      </c>
      <c r="I399" s="86">
        <f>IF([1]项目总工作量!B$6="交易类",H399*1.5/22,IF([1]项目总工作量!B$6="数据分析类",H399*1.5*0.9/22,IF([1]项目总工作量!B$6="流程管理类",H399*1.5*0.8/22,IF([1]项目总工作量!B$6="渠道类",H399*1.5*0.7/22,FALSE))))</f>
        <v>0.27272727272727271</v>
      </c>
      <c r="J399" s="86" t="s">
        <v>44</v>
      </c>
    </row>
    <row r="400" spans="1:10" s="87" customFormat="1" ht="14" x14ac:dyDescent="0.15">
      <c r="A400" s="127"/>
      <c r="B400" s="128"/>
      <c r="C400" s="128"/>
      <c r="D400" s="154">
        <f t="shared" ref="D400:D498" si="17">I400</f>
        <v>0.27272727272727271</v>
      </c>
      <c r="E400" s="85"/>
      <c r="F400" s="97" t="s">
        <v>252</v>
      </c>
      <c r="G400" s="86" t="s">
        <v>66</v>
      </c>
      <c r="H400" s="86">
        <f t="shared" si="16"/>
        <v>4</v>
      </c>
      <c r="I400" s="86">
        <f>IF([1]项目总工作量!B$6="交易类",H400*1.5/22,IF([1]项目总工作量!B$6="数据分析类",H400*1.5*0.9/22,IF([1]项目总工作量!B$6="流程管理类",H400*1.5*0.8/22,IF([1]项目总工作量!B$6="渠道类",H400*1.5*0.7/22,FALSE))))</f>
        <v>0.27272727272727271</v>
      </c>
      <c r="J400" s="86" t="s">
        <v>44</v>
      </c>
    </row>
    <row r="401" spans="1:10" s="87" customFormat="1" ht="14" x14ac:dyDescent="0.15">
      <c r="A401" s="127"/>
      <c r="B401" s="128"/>
      <c r="C401" s="128"/>
      <c r="D401" s="154">
        <f t="shared" si="17"/>
        <v>0.27272727272727271</v>
      </c>
      <c r="E401" s="85"/>
      <c r="F401" s="97" t="s">
        <v>251</v>
      </c>
      <c r="G401" s="86" t="s">
        <v>66</v>
      </c>
      <c r="H401" s="86">
        <f t="shared" si="16"/>
        <v>4</v>
      </c>
      <c r="I401" s="86">
        <f>IF([1]项目总工作量!B$6="交易类",H401*1.5/22,IF([1]项目总工作量!B$6="数据分析类",H401*1.5*0.9/22,IF([1]项目总工作量!B$6="流程管理类",H401*1.5*0.8/22,IF([1]项目总工作量!B$6="渠道类",H401*1.5*0.7/22,FALSE))))</f>
        <v>0.27272727272727271</v>
      </c>
      <c r="J401" s="86" t="s">
        <v>44</v>
      </c>
    </row>
    <row r="402" spans="1:10" s="87" customFormat="1" ht="14" x14ac:dyDescent="0.15">
      <c r="A402" s="127"/>
      <c r="B402" s="128"/>
      <c r="C402" s="128"/>
      <c r="D402" s="154">
        <f t="shared" si="17"/>
        <v>0.27272727272727271</v>
      </c>
      <c r="E402" s="85"/>
      <c r="F402" s="97" t="s">
        <v>250</v>
      </c>
      <c r="G402" s="86" t="s">
        <v>66</v>
      </c>
      <c r="H402" s="86">
        <f t="shared" si="16"/>
        <v>4</v>
      </c>
      <c r="I402" s="86">
        <f>IF([1]项目总工作量!B$6="交易类",H402*1.5/22,IF([1]项目总工作量!B$6="数据分析类",H402*1.5*0.9/22,IF([1]项目总工作量!B$6="流程管理类",H402*1.5*0.8/22,IF([1]项目总工作量!B$6="渠道类",H402*1.5*0.7/22,FALSE))))</f>
        <v>0.27272727272727271</v>
      </c>
      <c r="J402" s="86" t="s">
        <v>44</v>
      </c>
    </row>
    <row r="403" spans="1:10" s="87" customFormat="1" ht="14" x14ac:dyDescent="0.15">
      <c r="A403" s="127"/>
      <c r="B403" s="128"/>
      <c r="C403" s="128"/>
      <c r="D403" s="154">
        <f t="shared" si="17"/>
        <v>0.27272727272727271</v>
      </c>
      <c r="E403" s="85"/>
      <c r="F403" s="97" t="s">
        <v>249</v>
      </c>
      <c r="G403" s="86" t="s">
        <v>66</v>
      </c>
      <c r="H403" s="86">
        <f t="shared" si="16"/>
        <v>4</v>
      </c>
      <c r="I403" s="86">
        <f>IF([1]项目总工作量!B$6="交易类",H403*1.5/22,IF([1]项目总工作量!B$6="数据分析类",H403*1.5*0.9/22,IF([1]项目总工作量!B$6="流程管理类",H403*1.5*0.8/22,IF([1]项目总工作量!B$6="渠道类",H403*1.5*0.7/22,FALSE))))</f>
        <v>0.27272727272727271</v>
      </c>
      <c r="J403" s="86" t="s">
        <v>44</v>
      </c>
    </row>
    <row r="404" spans="1:10" s="87" customFormat="1" ht="28" x14ac:dyDescent="0.15">
      <c r="A404" s="127"/>
      <c r="B404" s="128"/>
      <c r="C404" s="128"/>
      <c r="D404" s="154">
        <f t="shared" si="17"/>
        <v>0.27272727272727271</v>
      </c>
      <c r="E404" s="85"/>
      <c r="F404" s="97" t="s">
        <v>248</v>
      </c>
      <c r="G404" s="86" t="s">
        <v>66</v>
      </c>
      <c r="H404" s="86">
        <f t="shared" si="16"/>
        <v>4</v>
      </c>
      <c r="I404" s="86">
        <f>IF([1]项目总工作量!B$6="交易类",H404*1.5/22,IF([1]项目总工作量!B$6="数据分析类",H404*1.5*0.9/22,IF([1]项目总工作量!B$6="流程管理类",H404*1.5*0.8/22,IF([1]项目总工作量!B$6="渠道类",H404*1.5*0.7/22,FALSE))))</f>
        <v>0.27272727272727271</v>
      </c>
      <c r="J404" s="86" t="s">
        <v>44</v>
      </c>
    </row>
    <row r="405" spans="1:10" s="87" customFormat="1" ht="28" x14ac:dyDescent="0.15">
      <c r="A405" s="127"/>
      <c r="B405" s="128"/>
      <c r="C405" s="128"/>
      <c r="D405" s="154">
        <f t="shared" si="17"/>
        <v>0.27272727272727271</v>
      </c>
      <c r="E405" s="85"/>
      <c r="F405" s="97" t="s">
        <v>247</v>
      </c>
      <c r="G405" s="86" t="s">
        <v>66</v>
      </c>
      <c r="H405" s="86">
        <f t="shared" si="16"/>
        <v>4</v>
      </c>
      <c r="I405" s="86">
        <f>IF([1]项目总工作量!B$6="交易类",H405*1.5/22,IF([1]项目总工作量!B$6="数据分析类",H405*1.5*0.9/22,IF([1]项目总工作量!B$6="流程管理类",H405*1.5*0.8/22,IF([1]项目总工作量!B$6="渠道类",H405*1.5*0.7/22,FALSE))))</f>
        <v>0.27272727272727271</v>
      </c>
      <c r="J405" s="86" t="s">
        <v>44</v>
      </c>
    </row>
    <row r="406" spans="1:10" s="87" customFormat="1" ht="28" x14ac:dyDescent="0.15">
      <c r="A406" s="127"/>
      <c r="B406" s="128"/>
      <c r="C406" s="128"/>
      <c r="D406" s="154">
        <f t="shared" si="17"/>
        <v>0.27272727272727271</v>
      </c>
      <c r="E406" s="85"/>
      <c r="F406" s="97" t="s">
        <v>246</v>
      </c>
      <c r="G406" s="86" t="s">
        <v>66</v>
      </c>
      <c r="H406" s="86">
        <f t="shared" si="16"/>
        <v>4</v>
      </c>
      <c r="I406" s="86">
        <f>IF([1]项目总工作量!B$6="交易类",H406*1.5/22,IF([1]项目总工作量!B$6="数据分析类",H406*1.5*0.9/22,IF([1]项目总工作量!B$6="流程管理类",H406*1.5*0.8/22,IF([1]项目总工作量!B$6="渠道类",H406*1.5*0.7/22,FALSE))))</f>
        <v>0.27272727272727271</v>
      </c>
      <c r="J406" s="86" t="s">
        <v>44</v>
      </c>
    </row>
    <row r="407" spans="1:10" s="87" customFormat="1" ht="28" x14ac:dyDescent="0.15">
      <c r="A407" s="127"/>
      <c r="B407" s="128"/>
      <c r="C407" s="128"/>
      <c r="D407" s="154">
        <f t="shared" si="17"/>
        <v>0.27272727272727271</v>
      </c>
      <c r="E407" s="85"/>
      <c r="F407" s="97" t="s">
        <v>245</v>
      </c>
      <c r="G407" s="86" t="s">
        <v>66</v>
      </c>
      <c r="H407" s="86">
        <f t="shared" si="16"/>
        <v>4</v>
      </c>
      <c r="I407" s="86">
        <f>IF([1]项目总工作量!B$6="交易类",H407*1.5/22,IF([1]项目总工作量!B$6="数据分析类",H407*1.5*0.9/22,IF([1]项目总工作量!B$6="流程管理类",H407*1.5*0.8/22,IF([1]项目总工作量!B$6="渠道类",H407*1.5*0.7/22,FALSE))))</f>
        <v>0.27272727272727271</v>
      </c>
      <c r="J407" s="86" t="s">
        <v>44</v>
      </c>
    </row>
    <row r="408" spans="1:10" s="87" customFormat="1" ht="28" x14ac:dyDescent="0.15">
      <c r="A408" s="127"/>
      <c r="B408" s="128"/>
      <c r="C408" s="128"/>
      <c r="D408" s="154">
        <f t="shared" si="17"/>
        <v>0.27272727272727271</v>
      </c>
      <c r="E408" s="85"/>
      <c r="F408" s="97" t="s">
        <v>244</v>
      </c>
      <c r="G408" s="86" t="s">
        <v>66</v>
      </c>
      <c r="H408" s="86">
        <f t="shared" si="16"/>
        <v>4</v>
      </c>
      <c r="I408" s="86">
        <f>IF([1]项目总工作量!B$6="交易类",H408*1.5/22,IF([1]项目总工作量!B$6="数据分析类",H408*1.5*0.9/22,IF([1]项目总工作量!B$6="流程管理类",H408*1.5*0.8/22,IF([1]项目总工作量!B$6="渠道类",H408*1.5*0.7/22,FALSE))))</f>
        <v>0.27272727272727271</v>
      </c>
      <c r="J408" s="86" t="s">
        <v>44</v>
      </c>
    </row>
    <row r="409" spans="1:10" s="87" customFormat="1" ht="28" x14ac:dyDescent="0.15">
      <c r="A409" s="127"/>
      <c r="B409" s="128"/>
      <c r="C409" s="128"/>
      <c r="D409" s="154">
        <f t="shared" si="17"/>
        <v>0.27272727272727271</v>
      </c>
      <c r="E409" s="85"/>
      <c r="F409" s="97" t="s">
        <v>243</v>
      </c>
      <c r="G409" s="86" t="s">
        <v>66</v>
      </c>
      <c r="H409" s="86">
        <f t="shared" si="16"/>
        <v>4</v>
      </c>
      <c r="I409" s="86">
        <f>IF([1]项目总工作量!B$6="交易类",H409*1.5/22,IF([1]项目总工作量!B$6="数据分析类",H409*1.5*0.9/22,IF([1]项目总工作量!B$6="流程管理类",H409*1.5*0.8/22,IF([1]项目总工作量!B$6="渠道类",H409*1.5*0.7/22,FALSE))))</f>
        <v>0.27272727272727271</v>
      </c>
      <c r="J409" s="86" t="s">
        <v>44</v>
      </c>
    </row>
    <row r="410" spans="1:10" s="87" customFormat="1" ht="28" x14ac:dyDescent="0.15">
      <c r="A410" s="127"/>
      <c r="B410" s="128"/>
      <c r="C410" s="128"/>
      <c r="D410" s="154">
        <f t="shared" si="17"/>
        <v>0.27272727272727271</v>
      </c>
      <c r="E410" s="85"/>
      <c r="F410" s="97" t="s">
        <v>242</v>
      </c>
      <c r="G410" s="86" t="s">
        <v>66</v>
      </c>
      <c r="H410" s="86">
        <f t="shared" si="16"/>
        <v>4</v>
      </c>
      <c r="I410" s="86">
        <f>IF([1]项目总工作量!B$6="交易类",H410*1.5/22,IF([1]项目总工作量!B$6="数据分析类",H410*1.5*0.9/22,IF([1]项目总工作量!B$6="流程管理类",H410*1.5*0.8/22,IF([1]项目总工作量!B$6="渠道类",H410*1.5*0.7/22,FALSE))))</f>
        <v>0.27272727272727271</v>
      </c>
      <c r="J410" s="86" t="s">
        <v>44</v>
      </c>
    </row>
    <row r="411" spans="1:10" s="87" customFormat="1" ht="28" x14ac:dyDescent="0.15">
      <c r="A411" s="127"/>
      <c r="B411" s="128"/>
      <c r="C411" s="128"/>
      <c r="D411" s="154">
        <f t="shared" si="17"/>
        <v>0.27272727272727271</v>
      </c>
      <c r="E411" s="85"/>
      <c r="F411" s="97" t="s">
        <v>241</v>
      </c>
      <c r="G411" s="86" t="s">
        <v>66</v>
      </c>
      <c r="H411" s="86">
        <f t="shared" ref="H411:H498" si="18">IF(G411="EI",4,IF(G411="EO",5,IF(G411="EQ",4,0)))</f>
        <v>4</v>
      </c>
      <c r="I411" s="86">
        <f>IF([1]项目总工作量!B$6="交易类",H411*1.5/22,IF([1]项目总工作量!B$6="数据分析类",H411*1.5*0.9/22,IF([1]项目总工作量!B$6="流程管理类",H411*1.5*0.8/22,IF([1]项目总工作量!B$6="渠道类",H411*1.5*0.7/22,FALSE))))</f>
        <v>0.27272727272727271</v>
      </c>
      <c r="J411" s="86" t="s">
        <v>44</v>
      </c>
    </row>
    <row r="412" spans="1:10" s="87" customFormat="1" ht="28" x14ac:dyDescent="0.15">
      <c r="A412" s="127"/>
      <c r="B412" s="128"/>
      <c r="C412" s="128"/>
      <c r="D412" s="154">
        <f t="shared" si="17"/>
        <v>0.27272727272727271</v>
      </c>
      <c r="E412" s="85"/>
      <c r="F412" s="97" t="s">
        <v>240</v>
      </c>
      <c r="G412" s="86" t="s">
        <v>66</v>
      </c>
      <c r="H412" s="86">
        <f t="shared" si="18"/>
        <v>4</v>
      </c>
      <c r="I412" s="86">
        <f>IF([1]项目总工作量!B$6="交易类",H412*1.5/22,IF([1]项目总工作量!B$6="数据分析类",H412*1.5*0.9/22,IF([1]项目总工作量!B$6="流程管理类",H412*1.5*0.8/22,IF([1]项目总工作量!B$6="渠道类",H412*1.5*0.7/22,FALSE))))</f>
        <v>0.27272727272727271</v>
      </c>
      <c r="J412" s="86" t="s">
        <v>44</v>
      </c>
    </row>
    <row r="413" spans="1:10" s="87" customFormat="1" ht="28" x14ac:dyDescent="0.15">
      <c r="A413" s="127"/>
      <c r="B413" s="128"/>
      <c r="C413" s="128"/>
      <c r="D413" s="154">
        <f t="shared" si="17"/>
        <v>0.27272727272727271</v>
      </c>
      <c r="E413" s="85"/>
      <c r="F413" s="97" t="s">
        <v>239</v>
      </c>
      <c r="G413" s="86" t="s">
        <v>66</v>
      </c>
      <c r="H413" s="86">
        <f t="shared" si="18"/>
        <v>4</v>
      </c>
      <c r="I413" s="86">
        <f>IF([1]项目总工作量!B$6="交易类",H413*1.5/22,IF([1]项目总工作量!B$6="数据分析类",H413*1.5*0.9/22,IF([1]项目总工作量!B$6="流程管理类",H413*1.5*0.8/22,IF([1]项目总工作量!B$6="渠道类",H413*1.5*0.7/22,FALSE))))</f>
        <v>0.27272727272727271</v>
      </c>
      <c r="J413" s="86" t="s">
        <v>44</v>
      </c>
    </row>
    <row r="414" spans="1:10" s="87" customFormat="1" ht="14" x14ac:dyDescent="0.15">
      <c r="A414" s="127"/>
      <c r="B414" s="128"/>
      <c r="C414" s="128"/>
      <c r="D414" s="154">
        <f t="shared" si="17"/>
        <v>0.27272727272727271</v>
      </c>
      <c r="E414" s="85"/>
      <c r="F414" s="97" t="s">
        <v>238</v>
      </c>
      <c r="G414" s="86" t="s">
        <v>66</v>
      </c>
      <c r="H414" s="86">
        <f t="shared" si="18"/>
        <v>4</v>
      </c>
      <c r="I414" s="86">
        <f>IF([1]项目总工作量!B$6="交易类",H414*1.5/22,IF([1]项目总工作量!B$6="数据分析类",H414*1.5*0.9/22,IF([1]项目总工作量!B$6="流程管理类",H414*1.5*0.8/22,IF([1]项目总工作量!B$6="渠道类",H414*1.5*0.7/22,FALSE))))</f>
        <v>0.27272727272727271</v>
      </c>
      <c r="J414" s="86" t="s">
        <v>44</v>
      </c>
    </row>
    <row r="415" spans="1:10" s="87" customFormat="1" ht="14" x14ac:dyDescent="0.15">
      <c r="A415" s="127"/>
      <c r="B415" s="128"/>
      <c r="C415" s="128"/>
      <c r="D415" s="154">
        <f t="shared" si="17"/>
        <v>0.27272727272727271</v>
      </c>
      <c r="E415" s="85"/>
      <c r="F415" s="97" t="s">
        <v>237</v>
      </c>
      <c r="G415" s="86" t="s">
        <v>66</v>
      </c>
      <c r="H415" s="86">
        <f t="shared" si="18"/>
        <v>4</v>
      </c>
      <c r="I415" s="86">
        <f>IF([1]项目总工作量!B$6="交易类",H415*1.5/22,IF([1]项目总工作量!B$6="数据分析类",H415*1.5*0.9/22,IF([1]项目总工作量!B$6="流程管理类",H415*1.5*0.8/22,IF([1]项目总工作量!B$6="渠道类",H415*1.5*0.7/22,FALSE))))</f>
        <v>0.27272727272727271</v>
      </c>
      <c r="J415" s="86" t="s">
        <v>44</v>
      </c>
    </row>
    <row r="416" spans="1:10" s="87" customFormat="1" ht="14" x14ac:dyDescent="0.15">
      <c r="A416" s="127"/>
      <c r="B416" s="128"/>
      <c r="C416" s="128"/>
      <c r="D416" s="154">
        <f t="shared" si="17"/>
        <v>0.27272727272727271</v>
      </c>
      <c r="E416" s="85"/>
      <c r="F416" s="97" t="s">
        <v>236</v>
      </c>
      <c r="G416" s="86" t="s">
        <v>66</v>
      </c>
      <c r="H416" s="86">
        <f t="shared" si="18"/>
        <v>4</v>
      </c>
      <c r="I416" s="86">
        <f>IF([1]项目总工作量!B$6="交易类",H416*1.5/22,IF([1]项目总工作量!B$6="数据分析类",H416*1.5*0.9/22,IF([1]项目总工作量!B$6="流程管理类",H416*1.5*0.8/22,IF([1]项目总工作量!B$6="渠道类",H416*1.5*0.7/22,FALSE))))</f>
        <v>0.27272727272727271</v>
      </c>
      <c r="J416" s="86" t="s">
        <v>44</v>
      </c>
    </row>
    <row r="417" spans="1:10" s="87" customFormat="1" ht="14" x14ac:dyDescent="0.15">
      <c r="A417" s="127"/>
      <c r="B417" s="128"/>
      <c r="C417" s="128"/>
      <c r="D417" s="154">
        <f t="shared" si="17"/>
        <v>0.27272727272727271</v>
      </c>
      <c r="E417" s="85"/>
      <c r="F417" s="97" t="s">
        <v>235</v>
      </c>
      <c r="G417" s="86" t="s">
        <v>66</v>
      </c>
      <c r="H417" s="86">
        <f t="shared" si="18"/>
        <v>4</v>
      </c>
      <c r="I417" s="86">
        <f>IF([1]项目总工作量!B$6="交易类",H417*1.5/22,IF([1]项目总工作量!B$6="数据分析类",H417*1.5*0.9/22,IF([1]项目总工作量!B$6="流程管理类",H417*1.5*0.8/22,IF([1]项目总工作量!B$6="渠道类",H417*1.5*0.7/22,FALSE))))</f>
        <v>0.27272727272727271</v>
      </c>
      <c r="J417" s="86" t="s">
        <v>44</v>
      </c>
    </row>
    <row r="418" spans="1:10" s="87" customFormat="1" ht="14" x14ac:dyDescent="0.15">
      <c r="A418" s="127"/>
      <c r="B418" s="128"/>
      <c r="C418" s="128"/>
      <c r="D418" s="154">
        <f t="shared" si="17"/>
        <v>0.27272727272727271</v>
      </c>
      <c r="E418" s="85"/>
      <c r="F418" s="97" t="s">
        <v>234</v>
      </c>
      <c r="G418" s="86" t="s">
        <v>66</v>
      </c>
      <c r="H418" s="86">
        <f t="shared" si="18"/>
        <v>4</v>
      </c>
      <c r="I418" s="86">
        <f>IF([1]项目总工作量!B$6="交易类",H418*1.5/22,IF([1]项目总工作量!B$6="数据分析类",H418*1.5*0.9/22,IF([1]项目总工作量!B$6="流程管理类",H418*1.5*0.8/22,IF([1]项目总工作量!B$6="渠道类",H418*1.5*0.7/22,FALSE))))</f>
        <v>0.27272727272727271</v>
      </c>
      <c r="J418" s="86" t="s">
        <v>44</v>
      </c>
    </row>
    <row r="419" spans="1:10" s="87" customFormat="1" ht="14" x14ac:dyDescent="0.15">
      <c r="A419" s="127"/>
      <c r="B419" s="128"/>
      <c r="C419" s="128"/>
      <c r="D419" s="154">
        <f t="shared" si="17"/>
        <v>0.27272727272727271</v>
      </c>
      <c r="E419" s="85"/>
      <c r="F419" s="97" t="s">
        <v>233</v>
      </c>
      <c r="G419" s="86" t="s">
        <v>66</v>
      </c>
      <c r="H419" s="86">
        <f t="shared" si="18"/>
        <v>4</v>
      </c>
      <c r="I419" s="86">
        <f>IF([1]项目总工作量!B$6="交易类",H419*1.5/22,IF([1]项目总工作量!B$6="数据分析类",H419*1.5*0.9/22,IF([1]项目总工作量!B$6="流程管理类",H419*1.5*0.8/22,IF([1]项目总工作量!B$6="渠道类",H419*1.5*0.7/22,FALSE))))</f>
        <v>0.27272727272727271</v>
      </c>
      <c r="J419" s="86" t="s">
        <v>44</v>
      </c>
    </row>
    <row r="420" spans="1:10" s="87" customFormat="1" ht="14" x14ac:dyDescent="0.15">
      <c r="A420" s="127"/>
      <c r="B420" s="128"/>
      <c r="C420" s="128"/>
      <c r="D420" s="154">
        <f t="shared" si="17"/>
        <v>0.27272727272727271</v>
      </c>
      <c r="E420" s="85"/>
      <c r="F420" s="97" t="s">
        <v>232</v>
      </c>
      <c r="G420" s="86" t="s">
        <v>66</v>
      </c>
      <c r="H420" s="86">
        <f t="shared" si="18"/>
        <v>4</v>
      </c>
      <c r="I420" s="86">
        <f>IF([1]项目总工作量!B$6="交易类",H420*1.5/22,IF([1]项目总工作量!B$6="数据分析类",H420*1.5*0.9/22,IF([1]项目总工作量!B$6="流程管理类",H420*1.5*0.8/22,IF([1]项目总工作量!B$6="渠道类",H420*1.5*0.7/22,FALSE))))</f>
        <v>0.27272727272727271</v>
      </c>
      <c r="J420" s="86" t="s">
        <v>44</v>
      </c>
    </row>
    <row r="421" spans="1:10" s="87" customFormat="1" ht="14" x14ac:dyDescent="0.15">
      <c r="A421" s="127"/>
      <c r="B421" s="128"/>
      <c r="C421" s="128"/>
      <c r="D421" s="154">
        <f t="shared" si="17"/>
        <v>0.27272727272727271</v>
      </c>
      <c r="E421" s="85"/>
      <c r="F421" s="97" t="s">
        <v>231</v>
      </c>
      <c r="G421" s="86" t="s">
        <v>66</v>
      </c>
      <c r="H421" s="86">
        <f t="shared" si="18"/>
        <v>4</v>
      </c>
      <c r="I421" s="86">
        <f>IF([1]项目总工作量!B$6="交易类",H421*1.5/22,IF([1]项目总工作量!B$6="数据分析类",H421*1.5*0.9/22,IF([1]项目总工作量!B$6="流程管理类",H421*1.5*0.8/22,IF([1]项目总工作量!B$6="渠道类",H421*1.5*0.7/22,FALSE))))</f>
        <v>0.27272727272727271</v>
      </c>
      <c r="J421" s="86" t="s">
        <v>44</v>
      </c>
    </row>
    <row r="422" spans="1:10" s="87" customFormat="1" ht="14" x14ac:dyDescent="0.15">
      <c r="A422" s="127"/>
      <c r="B422" s="128"/>
      <c r="C422" s="128"/>
      <c r="D422" s="154">
        <f t="shared" si="17"/>
        <v>0.27272727272727271</v>
      </c>
      <c r="E422" s="85"/>
      <c r="F422" s="97" t="s">
        <v>230</v>
      </c>
      <c r="G422" s="86" t="s">
        <v>66</v>
      </c>
      <c r="H422" s="86">
        <f t="shared" si="18"/>
        <v>4</v>
      </c>
      <c r="I422" s="86">
        <f>IF([1]项目总工作量!B$6="交易类",H422*1.5/22,IF([1]项目总工作量!B$6="数据分析类",H422*1.5*0.9/22,IF([1]项目总工作量!B$6="流程管理类",H422*1.5*0.8/22,IF([1]项目总工作量!B$6="渠道类",H422*1.5*0.7/22,FALSE))))</f>
        <v>0.27272727272727271</v>
      </c>
      <c r="J422" s="86" t="s">
        <v>44</v>
      </c>
    </row>
    <row r="423" spans="1:10" s="87" customFormat="1" ht="14" x14ac:dyDescent="0.15">
      <c r="A423" s="127"/>
      <c r="B423" s="128"/>
      <c r="C423" s="128"/>
      <c r="D423" s="154">
        <f t="shared" si="17"/>
        <v>0.27272727272727271</v>
      </c>
      <c r="E423" s="85"/>
      <c r="F423" s="97" t="s">
        <v>229</v>
      </c>
      <c r="G423" s="86" t="s">
        <v>66</v>
      </c>
      <c r="H423" s="86">
        <f t="shared" si="18"/>
        <v>4</v>
      </c>
      <c r="I423" s="86">
        <f>IF([1]项目总工作量!B$6="交易类",H423*1.5/22,IF([1]项目总工作量!B$6="数据分析类",H423*1.5*0.9/22,IF([1]项目总工作量!B$6="流程管理类",H423*1.5*0.8/22,IF([1]项目总工作量!B$6="渠道类",H423*1.5*0.7/22,FALSE))))</f>
        <v>0.27272727272727271</v>
      </c>
      <c r="J423" s="86" t="s">
        <v>44</v>
      </c>
    </row>
    <row r="424" spans="1:10" s="87" customFormat="1" ht="14" x14ac:dyDescent="0.15">
      <c r="A424" s="127"/>
      <c r="B424" s="128"/>
      <c r="C424" s="128"/>
      <c r="D424" s="154">
        <f t="shared" si="17"/>
        <v>0.27272727272727271</v>
      </c>
      <c r="E424" s="85"/>
      <c r="F424" s="97" t="s">
        <v>228</v>
      </c>
      <c r="G424" s="86" t="s">
        <v>66</v>
      </c>
      <c r="H424" s="86">
        <f t="shared" si="18"/>
        <v>4</v>
      </c>
      <c r="I424" s="86">
        <f>IF([1]项目总工作量!B$6="交易类",H424*1.5/22,IF([1]项目总工作量!B$6="数据分析类",H424*1.5*0.9/22,IF([1]项目总工作量!B$6="流程管理类",H424*1.5*0.8/22,IF([1]项目总工作量!B$6="渠道类",H424*1.5*0.7/22,FALSE))))</f>
        <v>0.27272727272727271</v>
      </c>
      <c r="J424" s="86" t="s">
        <v>44</v>
      </c>
    </row>
    <row r="425" spans="1:10" s="87" customFormat="1" ht="14" x14ac:dyDescent="0.15">
      <c r="A425" s="127"/>
      <c r="B425" s="128"/>
      <c r="C425" s="128"/>
      <c r="D425" s="154">
        <f t="shared" si="17"/>
        <v>0.27272727272727271</v>
      </c>
      <c r="E425" s="85"/>
      <c r="F425" s="97" t="s">
        <v>227</v>
      </c>
      <c r="G425" s="86" t="s">
        <v>66</v>
      </c>
      <c r="H425" s="86">
        <f t="shared" si="18"/>
        <v>4</v>
      </c>
      <c r="I425" s="86">
        <f>IF([1]项目总工作量!B$6="交易类",H425*1.5/22,IF([1]项目总工作量!B$6="数据分析类",H425*1.5*0.9/22,IF([1]项目总工作量!B$6="流程管理类",H425*1.5*0.8/22,IF([1]项目总工作量!B$6="渠道类",H425*1.5*0.7/22,FALSE))))</f>
        <v>0.27272727272727271</v>
      </c>
      <c r="J425" s="86" t="s">
        <v>44</v>
      </c>
    </row>
    <row r="426" spans="1:10" s="87" customFormat="1" ht="14" x14ac:dyDescent="0.15">
      <c r="A426" s="127"/>
      <c r="B426" s="128"/>
      <c r="C426" s="128"/>
      <c r="D426" s="154">
        <f t="shared" si="17"/>
        <v>0.27272727272727271</v>
      </c>
      <c r="E426" s="85"/>
      <c r="F426" s="97" t="s">
        <v>226</v>
      </c>
      <c r="G426" s="86" t="s">
        <v>66</v>
      </c>
      <c r="H426" s="86">
        <f t="shared" si="18"/>
        <v>4</v>
      </c>
      <c r="I426" s="86">
        <f>IF([1]项目总工作量!B$6="交易类",H426*1.5/22,IF([1]项目总工作量!B$6="数据分析类",H426*1.5*0.9/22,IF([1]项目总工作量!B$6="流程管理类",H426*1.5*0.8/22,IF([1]项目总工作量!B$6="渠道类",H426*1.5*0.7/22,FALSE))))</f>
        <v>0.27272727272727271</v>
      </c>
      <c r="J426" s="86" t="s">
        <v>44</v>
      </c>
    </row>
    <row r="427" spans="1:10" s="87" customFormat="1" ht="14" x14ac:dyDescent="0.15">
      <c r="A427" s="127"/>
      <c r="B427" s="128"/>
      <c r="C427" s="128"/>
      <c r="D427" s="154">
        <f t="shared" si="17"/>
        <v>0.27272727272727271</v>
      </c>
      <c r="E427" s="85"/>
      <c r="F427" s="97" t="s">
        <v>225</v>
      </c>
      <c r="G427" s="86" t="s">
        <v>66</v>
      </c>
      <c r="H427" s="86">
        <f t="shared" si="18"/>
        <v>4</v>
      </c>
      <c r="I427" s="86">
        <f>IF([1]项目总工作量!B$6="交易类",H427*1.5/22,IF([1]项目总工作量!B$6="数据分析类",H427*1.5*0.9/22,IF([1]项目总工作量!B$6="流程管理类",H427*1.5*0.8/22,IF([1]项目总工作量!B$6="渠道类",H427*1.5*0.7/22,FALSE))))</f>
        <v>0.27272727272727271</v>
      </c>
      <c r="J427" s="86" t="s">
        <v>44</v>
      </c>
    </row>
    <row r="428" spans="1:10" s="140" customFormat="1" ht="14" x14ac:dyDescent="0.15">
      <c r="A428" s="127"/>
      <c r="B428" s="128"/>
      <c r="C428" s="128"/>
      <c r="D428" s="155">
        <f t="shared" si="17"/>
        <v>0.27272727272727271</v>
      </c>
      <c r="E428" s="138"/>
      <c r="F428" s="44" t="s">
        <v>529</v>
      </c>
      <c r="G428" s="139" t="s">
        <v>66</v>
      </c>
      <c r="H428" s="139">
        <f t="shared" si="18"/>
        <v>4</v>
      </c>
      <c r="I428" s="86">
        <f>IF([1]项目总工作量!B$6="交易类",H428*1.5/22,IF([1]项目总工作量!B$6="数据分析类",H428*1.5*0.9/22,IF([1]项目总工作量!B$6="流程管理类",H428*1.5*0.8/22,IF([1]项目总工作量!B$6="渠道类",H428*1.5*0.7/22,FALSE))))</f>
        <v>0.27272727272727271</v>
      </c>
      <c r="J428" s="86" t="s">
        <v>44</v>
      </c>
    </row>
    <row r="429" spans="1:10" s="87" customFormat="1" ht="14" x14ac:dyDescent="0.15">
      <c r="A429" s="127"/>
      <c r="B429" s="128"/>
      <c r="C429" s="128"/>
      <c r="D429" s="154">
        <f t="shared" si="17"/>
        <v>0.27272727272727271</v>
      </c>
      <c r="E429" s="85"/>
      <c r="F429" s="97" t="s">
        <v>224</v>
      </c>
      <c r="G429" s="86" t="s">
        <v>66</v>
      </c>
      <c r="H429" s="86">
        <f t="shared" si="18"/>
        <v>4</v>
      </c>
      <c r="I429" s="86">
        <f>IF([1]项目总工作量!B$6="交易类",H429*1.5/22,IF([1]项目总工作量!B$6="数据分析类",H429*1.5*0.9/22,IF([1]项目总工作量!B$6="流程管理类",H429*1.5*0.8/22,IF([1]项目总工作量!B$6="渠道类",H429*1.5*0.7/22,FALSE))))</f>
        <v>0.27272727272727271</v>
      </c>
      <c r="J429" s="86" t="s">
        <v>44</v>
      </c>
    </row>
    <row r="430" spans="1:10" s="87" customFormat="1" ht="14" x14ac:dyDescent="0.15">
      <c r="A430" s="127"/>
      <c r="B430" s="128"/>
      <c r="C430" s="128"/>
      <c r="D430" s="154">
        <f t="shared" si="17"/>
        <v>0.27272727272727271</v>
      </c>
      <c r="E430" s="85"/>
      <c r="F430" s="97" t="s">
        <v>223</v>
      </c>
      <c r="G430" s="86" t="s">
        <v>66</v>
      </c>
      <c r="H430" s="86">
        <f t="shared" si="18"/>
        <v>4</v>
      </c>
      <c r="I430" s="86">
        <f>IF([1]项目总工作量!B$6="交易类",H430*1.5/22,IF([1]项目总工作量!B$6="数据分析类",H430*1.5*0.9/22,IF([1]项目总工作量!B$6="流程管理类",H430*1.5*0.8/22,IF([1]项目总工作量!B$6="渠道类",H430*1.5*0.7/22,FALSE))))</f>
        <v>0.27272727272727271</v>
      </c>
      <c r="J430" s="86" t="s">
        <v>44</v>
      </c>
    </row>
    <row r="431" spans="1:10" s="140" customFormat="1" ht="14" x14ac:dyDescent="0.15">
      <c r="A431" s="127"/>
      <c r="B431" s="128"/>
      <c r="C431" s="128"/>
      <c r="D431" s="155">
        <f t="shared" si="17"/>
        <v>0.27272727272727271</v>
      </c>
      <c r="E431" s="138"/>
      <c r="F431" s="44" t="s">
        <v>530</v>
      </c>
      <c r="G431" s="139" t="s">
        <v>66</v>
      </c>
      <c r="H431" s="139">
        <f t="shared" si="18"/>
        <v>4</v>
      </c>
      <c r="I431" s="86">
        <f>IF([1]项目总工作量!B$6="交易类",H431*1.5/22,IF([1]项目总工作量!B$6="数据分析类",H431*1.5*0.9/22,IF([1]项目总工作量!B$6="流程管理类",H431*1.5*0.8/22,IF([1]项目总工作量!B$6="渠道类",H431*1.5*0.7/22,FALSE))))</f>
        <v>0.27272727272727271</v>
      </c>
      <c r="J431" s="86" t="s">
        <v>44</v>
      </c>
    </row>
    <row r="432" spans="1:10" s="87" customFormat="1" ht="14" x14ac:dyDescent="0.15">
      <c r="A432" s="127"/>
      <c r="B432" s="128"/>
      <c r="C432" s="128"/>
      <c r="D432" s="154">
        <f t="shared" si="17"/>
        <v>0.27272727272727271</v>
      </c>
      <c r="E432" s="85"/>
      <c r="F432" s="97" t="s">
        <v>222</v>
      </c>
      <c r="G432" s="86" t="s">
        <v>66</v>
      </c>
      <c r="H432" s="86">
        <f t="shared" si="18"/>
        <v>4</v>
      </c>
      <c r="I432" s="86">
        <f>IF([1]项目总工作量!B$6="交易类",H432*1.5/22,IF([1]项目总工作量!B$6="数据分析类",H432*1.5*0.9/22,IF([1]项目总工作量!B$6="流程管理类",H432*1.5*0.8/22,IF([1]项目总工作量!B$6="渠道类",H432*1.5*0.7/22,FALSE))))</f>
        <v>0.27272727272727271</v>
      </c>
      <c r="J432" s="86" t="s">
        <v>44</v>
      </c>
    </row>
    <row r="433" spans="1:10" s="87" customFormat="1" ht="14" x14ac:dyDescent="0.15">
      <c r="A433" s="127"/>
      <c r="B433" s="128"/>
      <c r="C433" s="128"/>
      <c r="D433" s="154">
        <f t="shared" si="17"/>
        <v>0.27272727272727271</v>
      </c>
      <c r="E433" s="85"/>
      <c r="F433" s="97" t="s">
        <v>221</v>
      </c>
      <c r="G433" s="86" t="s">
        <v>66</v>
      </c>
      <c r="H433" s="86">
        <f t="shared" si="18"/>
        <v>4</v>
      </c>
      <c r="I433" s="86">
        <f>IF([1]项目总工作量!B$6="交易类",H433*1.5/22,IF([1]项目总工作量!B$6="数据分析类",H433*1.5*0.9/22,IF([1]项目总工作量!B$6="流程管理类",H433*1.5*0.8/22,IF([1]项目总工作量!B$6="渠道类",H433*1.5*0.7/22,FALSE))))</f>
        <v>0.27272727272727271</v>
      </c>
      <c r="J433" s="86" t="s">
        <v>44</v>
      </c>
    </row>
    <row r="434" spans="1:10" s="87" customFormat="1" ht="14" x14ac:dyDescent="0.15">
      <c r="A434" s="127"/>
      <c r="B434" s="128"/>
      <c r="C434" s="128"/>
      <c r="D434" s="154">
        <f t="shared" si="17"/>
        <v>0.27272727272727271</v>
      </c>
      <c r="E434" s="85"/>
      <c r="F434" s="97" t="s">
        <v>220</v>
      </c>
      <c r="G434" s="86" t="s">
        <v>66</v>
      </c>
      <c r="H434" s="86">
        <f t="shared" si="18"/>
        <v>4</v>
      </c>
      <c r="I434" s="86">
        <f>IF([1]项目总工作量!B$6="交易类",H434*1.5/22,IF([1]项目总工作量!B$6="数据分析类",H434*1.5*0.9/22,IF([1]项目总工作量!B$6="流程管理类",H434*1.5*0.8/22,IF([1]项目总工作量!B$6="渠道类",H434*1.5*0.7/22,FALSE))))</f>
        <v>0.27272727272727271</v>
      </c>
      <c r="J434" s="86" t="s">
        <v>44</v>
      </c>
    </row>
    <row r="435" spans="1:10" s="87" customFormat="1" ht="14" x14ac:dyDescent="0.15">
      <c r="A435" s="127"/>
      <c r="B435" s="128"/>
      <c r="C435" s="128"/>
      <c r="D435" s="154">
        <f t="shared" si="17"/>
        <v>0.27272727272727271</v>
      </c>
      <c r="E435" s="85"/>
      <c r="F435" s="97" t="s">
        <v>219</v>
      </c>
      <c r="G435" s="86" t="s">
        <v>66</v>
      </c>
      <c r="H435" s="86">
        <f t="shared" si="18"/>
        <v>4</v>
      </c>
      <c r="I435" s="86">
        <f>IF([1]项目总工作量!B$6="交易类",H435*1.5/22,IF([1]项目总工作量!B$6="数据分析类",H435*1.5*0.9/22,IF([1]项目总工作量!B$6="流程管理类",H435*1.5*0.8/22,IF([1]项目总工作量!B$6="渠道类",H435*1.5*0.7/22,FALSE))))</f>
        <v>0.27272727272727271</v>
      </c>
      <c r="J435" s="86" t="s">
        <v>44</v>
      </c>
    </row>
    <row r="436" spans="1:10" s="140" customFormat="1" ht="14" x14ac:dyDescent="0.15">
      <c r="A436" s="127"/>
      <c r="B436" s="128"/>
      <c r="C436" s="128"/>
      <c r="D436" s="155">
        <f t="shared" si="17"/>
        <v>0.27272727272727271</v>
      </c>
      <c r="E436" s="138"/>
      <c r="F436" s="44" t="s">
        <v>531</v>
      </c>
      <c r="G436" s="139" t="s">
        <v>66</v>
      </c>
      <c r="H436" s="139">
        <f t="shared" si="18"/>
        <v>4</v>
      </c>
      <c r="I436" s="86">
        <f>IF([1]项目总工作量!B$6="交易类",H436*1.5/22,IF([1]项目总工作量!B$6="数据分析类",H436*1.5*0.9/22,IF([1]项目总工作量!B$6="流程管理类",H436*1.5*0.8/22,IF([1]项目总工作量!B$6="渠道类",H436*1.5*0.7/22,FALSE))))</f>
        <v>0.27272727272727271</v>
      </c>
      <c r="J436" s="86" t="s">
        <v>44</v>
      </c>
    </row>
    <row r="437" spans="1:10" s="40" customFormat="1" ht="14" x14ac:dyDescent="0.15">
      <c r="A437" s="165">
        <v>7</v>
      </c>
      <c r="B437" s="166" t="s">
        <v>648</v>
      </c>
      <c r="C437" s="166" t="s">
        <v>166</v>
      </c>
      <c r="D437" s="155">
        <f t="shared" si="17"/>
        <v>0.27272727272727271</v>
      </c>
      <c r="E437" s="138"/>
      <c r="F437" s="44" t="s">
        <v>649</v>
      </c>
      <c r="G437" s="139" t="s">
        <v>66</v>
      </c>
      <c r="H437" s="139">
        <f t="shared" si="18"/>
        <v>4</v>
      </c>
      <c r="I437" s="86">
        <f>IF([1]项目总工作量!B$6="交易类",H437*1.5/22,IF([1]项目总工作量!B$6="数据分析类",H437*1.5*0.9/22,IF([1]项目总工作量!B$6="流程管理类",H437*1.5*0.8/22,IF([1]项目总工作量!B$6="渠道类",H437*1.5*0.7/22,FALSE))))</f>
        <v>0.27272727272727271</v>
      </c>
      <c r="J437" s="86" t="s">
        <v>44</v>
      </c>
    </row>
    <row r="438" spans="1:10" s="40" customFormat="1" ht="14" x14ac:dyDescent="0.15">
      <c r="A438" s="165"/>
      <c r="B438" s="166"/>
      <c r="C438" s="166"/>
      <c r="D438" s="155">
        <f t="shared" si="17"/>
        <v>0.27272727272727271</v>
      </c>
      <c r="E438" s="138"/>
      <c r="F438" s="44" t="s">
        <v>167</v>
      </c>
      <c r="G438" s="139" t="s">
        <v>66</v>
      </c>
      <c r="H438" s="139">
        <f t="shared" si="18"/>
        <v>4</v>
      </c>
      <c r="I438" s="86">
        <f>IF([1]项目总工作量!B$6="交易类",H438*1.5/22,IF([1]项目总工作量!B$6="数据分析类",H438*1.5*0.9/22,IF([1]项目总工作量!B$6="流程管理类",H438*1.5*0.8/22,IF([1]项目总工作量!B$6="渠道类",H438*1.5*0.7/22,FALSE))))</f>
        <v>0.27272727272727271</v>
      </c>
      <c r="J438" s="86" t="s">
        <v>44</v>
      </c>
    </row>
    <row r="439" spans="1:10" s="40" customFormat="1" ht="14" x14ac:dyDescent="0.15">
      <c r="A439" s="165"/>
      <c r="B439" s="166"/>
      <c r="C439" s="166"/>
      <c r="D439" s="155">
        <f t="shared" si="17"/>
        <v>0.27272727272727271</v>
      </c>
      <c r="E439" s="138"/>
      <c r="F439" s="44" t="s">
        <v>168</v>
      </c>
      <c r="G439" s="139" t="s">
        <v>66</v>
      </c>
      <c r="H439" s="139">
        <f t="shared" si="18"/>
        <v>4</v>
      </c>
      <c r="I439" s="86">
        <f>IF([1]项目总工作量!B$6="交易类",H439*1.5/22,IF([1]项目总工作量!B$6="数据分析类",H439*1.5*0.9/22,IF([1]项目总工作量!B$6="流程管理类",H439*1.5*0.8/22,IF([1]项目总工作量!B$6="渠道类",H439*1.5*0.7/22,FALSE))))</f>
        <v>0.27272727272727271</v>
      </c>
      <c r="J439" s="86" t="s">
        <v>44</v>
      </c>
    </row>
    <row r="440" spans="1:10" s="40" customFormat="1" ht="14" x14ac:dyDescent="0.15">
      <c r="A440" s="165"/>
      <c r="B440" s="166"/>
      <c r="C440" s="166"/>
      <c r="D440" s="155">
        <f t="shared" si="17"/>
        <v>0.27272727272727271</v>
      </c>
      <c r="E440" s="138"/>
      <c r="F440" s="44" t="s">
        <v>650</v>
      </c>
      <c r="G440" s="139" t="s">
        <v>66</v>
      </c>
      <c r="H440" s="139">
        <f t="shared" si="18"/>
        <v>4</v>
      </c>
      <c r="I440" s="86">
        <f>IF([1]项目总工作量!B$6="交易类",H440*1.5/22,IF([1]项目总工作量!B$6="数据分析类",H440*1.5*0.9/22,IF([1]项目总工作量!B$6="流程管理类",H440*1.5*0.8/22,IF([1]项目总工作量!B$6="渠道类",H440*1.5*0.7/22,FALSE))))</f>
        <v>0.27272727272727271</v>
      </c>
      <c r="J440" s="86" t="s">
        <v>44</v>
      </c>
    </row>
    <row r="441" spans="1:10" s="40" customFormat="1" ht="14" x14ac:dyDescent="0.15">
      <c r="A441" s="165"/>
      <c r="B441" s="166"/>
      <c r="C441" s="166"/>
      <c r="D441" s="155">
        <f t="shared" si="17"/>
        <v>0.27272727272727271</v>
      </c>
      <c r="E441" s="138"/>
      <c r="F441" s="44" t="s">
        <v>169</v>
      </c>
      <c r="G441" s="139" t="s">
        <v>66</v>
      </c>
      <c r="H441" s="139">
        <f t="shared" si="18"/>
        <v>4</v>
      </c>
      <c r="I441" s="86">
        <f>IF([1]项目总工作量!B$6="交易类",H441*1.5/22,IF([1]项目总工作量!B$6="数据分析类",H441*1.5*0.9/22,IF([1]项目总工作量!B$6="流程管理类",H441*1.5*0.8/22,IF([1]项目总工作量!B$6="渠道类",H441*1.5*0.7/22,FALSE))))</f>
        <v>0.27272727272727271</v>
      </c>
      <c r="J441" s="86" t="s">
        <v>44</v>
      </c>
    </row>
    <row r="442" spans="1:10" s="40" customFormat="1" ht="28" x14ac:dyDescent="0.15">
      <c r="A442" s="165"/>
      <c r="B442" s="166"/>
      <c r="C442" s="166"/>
      <c r="D442" s="155">
        <f t="shared" si="17"/>
        <v>0.27272727272727271</v>
      </c>
      <c r="E442" s="138"/>
      <c r="F442" s="44" t="s">
        <v>170</v>
      </c>
      <c r="G442" s="139" t="s">
        <v>66</v>
      </c>
      <c r="H442" s="139">
        <f t="shared" si="18"/>
        <v>4</v>
      </c>
      <c r="I442" s="86">
        <f>IF([1]项目总工作量!B$6="交易类",H442*1.5/22,IF([1]项目总工作量!B$6="数据分析类",H442*1.5*0.9/22,IF([1]项目总工作量!B$6="流程管理类",H442*1.5*0.8/22,IF([1]项目总工作量!B$6="渠道类",H442*1.5*0.7/22,FALSE))))</f>
        <v>0.27272727272727271</v>
      </c>
      <c r="J442" s="86" t="s">
        <v>44</v>
      </c>
    </row>
    <row r="443" spans="1:10" s="40" customFormat="1" ht="28" x14ac:dyDescent="0.15">
      <c r="A443" s="165"/>
      <c r="B443" s="166"/>
      <c r="C443" s="166"/>
      <c r="D443" s="155">
        <f t="shared" si="17"/>
        <v>0.27272727272727271</v>
      </c>
      <c r="E443" s="138"/>
      <c r="F443" s="44" t="s">
        <v>171</v>
      </c>
      <c r="G443" s="139" t="s">
        <v>66</v>
      </c>
      <c r="H443" s="139">
        <f t="shared" si="18"/>
        <v>4</v>
      </c>
      <c r="I443" s="86">
        <f>IF([1]项目总工作量!B$6="交易类",H443*1.5/22,IF([1]项目总工作量!B$6="数据分析类",H443*1.5*0.9/22,IF([1]项目总工作量!B$6="流程管理类",H443*1.5*0.8/22,IF([1]项目总工作量!B$6="渠道类",H443*1.5*0.7/22,FALSE))))</f>
        <v>0.27272727272727271</v>
      </c>
      <c r="J443" s="86" t="s">
        <v>44</v>
      </c>
    </row>
    <row r="444" spans="1:10" s="40" customFormat="1" ht="14" x14ac:dyDescent="0.15">
      <c r="A444" s="165"/>
      <c r="B444" s="166"/>
      <c r="C444" s="166"/>
      <c r="D444" s="155">
        <f t="shared" si="17"/>
        <v>0.27272727272727271</v>
      </c>
      <c r="E444" s="138"/>
      <c r="F444" s="44" t="s">
        <v>172</v>
      </c>
      <c r="G444" s="139" t="s">
        <v>66</v>
      </c>
      <c r="H444" s="139">
        <f t="shared" si="18"/>
        <v>4</v>
      </c>
      <c r="I444" s="86">
        <f>IF([1]项目总工作量!B$6="交易类",H444*1.5/22,IF([1]项目总工作量!B$6="数据分析类",H444*1.5*0.9/22,IF([1]项目总工作量!B$6="流程管理类",H444*1.5*0.8/22,IF([1]项目总工作量!B$6="渠道类",H444*1.5*0.7/22,FALSE))))</f>
        <v>0.27272727272727271</v>
      </c>
      <c r="J444" s="86" t="s">
        <v>44</v>
      </c>
    </row>
    <row r="445" spans="1:10" s="40" customFormat="1" ht="14" x14ac:dyDescent="0.15">
      <c r="A445" s="165"/>
      <c r="B445" s="166"/>
      <c r="C445" s="166"/>
      <c r="D445" s="155">
        <f t="shared" si="17"/>
        <v>0.27272727272727271</v>
      </c>
      <c r="E445" s="138"/>
      <c r="F445" s="44" t="s">
        <v>173</v>
      </c>
      <c r="G445" s="139" t="s">
        <v>66</v>
      </c>
      <c r="H445" s="139">
        <f t="shared" si="18"/>
        <v>4</v>
      </c>
      <c r="I445" s="86">
        <f>IF([1]项目总工作量!B$6="交易类",H445*1.5/22,IF([1]项目总工作量!B$6="数据分析类",H445*1.5*0.9/22,IF([1]项目总工作量!B$6="流程管理类",H445*1.5*0.8/22,IF([1]项目总工作量!B$6="渠道类",H445*1.5*0.7/22,FALSE))))</f>
        <v>0.27272727272727271</v>
      </c>
      <c r="J445" s="86" t="s">
        <v>44</v>
      </c>
    </row>
    <row r="446" spans="1:10" s="40" customFormat="1" ht="14" x14ac:dyDescent="0.15">
      <c r="A446" s="165"/>
      <c r="B446" s="166"/>
      <c r="C446" s="166"/>
      <c r="D446" s="155">
        <f t="shared" si="17"/>
        <v>0.27272727272727271</v>
      </c>
      <c r="E446" s="138"/>
      <c r="F446" s="44" t="s">
        <v>651</v>
      </c>
      <c r="G446" s="139" t="s">
        <v>66</v>
      </c>
      <c r="H446" s="139">
        <f t="shared" si="18"/>
        <v>4</v>
      </c>
      <c r="I446" s="86">
        <f>IF([1]项目总工作量!B$6="交易类",H446*1.5/22,IF([1]项目总工作量!B$6="数据分析类",H446*1.5*0.9/22,IF([1]项目总工作量!B$6="流程管理类",H446*1.5*0.8/22,IF([1]项目总工作量!B$6="渠道类",H446*1.5*0.7/22,FALSE))))</f>
        <v>0.27272727272727271</v>
      </c>
      <c r="J446" s="86" t="s">
        <v>44</v>
      </c>
    </row>
    <row r="447" spans="1:10" s="40" customFormat="1" ht="14" x14ac:dyDescent="0.15">
      <c r="A447" s="165"/>
      <c r="B447" s="166"/>
      <c r="C447" s="166"/>
      <c r="D447" s="155">
        <f t="shared" si="17"/>
        <v>0.27272727272727271</v>
      </c>
      <c r="E447" s="138"/>
      <c r="F447" s="44" t="s">
        <v>174</v>
      </c>
      <c r="G447" s="139" t="s">
        <v>66</v>
      </c>
      <c r="H447" s="139">
        <f t="shared" si="18"/>
        <v>4</v>
      </c>
      <c r="I447" s="86">
        <f>IF([1]项目总工作量!B$6="交易类",H447*1.5/22,IF([1]项目总工作量!B$6="数据分析类",H447*1.5*0.9/22,IF([1]项目总工作量!B$6="流程管理类",H447*1.5*0.8/22,IF([1]项目总工作量!B$6="渠道类",H447*1.5*0.7/22,FALSE))))</f>
        <v>0.27272727272727271</v>
      </c>
      <c r="J447" s="86" t="s">
        <v>44</v>
      </c>
    </row>
    <row r="448" spans="1:10" s="40" customFormat="1" ht="14" x14ac:dyDescent="0.15">
      <c r="A448" s="165"/>
      <c r="B448" s="166"/>
      <c r="C448" s="166"/>
      <c r="D448" s="155">
        <f t="shared" si="17"/>
        <v>0.27272727272727271</v>
      </c>
      <c r="E448" s="138"/>
      <c r="F448" s="44" t="s">
        <v>175</v>
      </c>
      <c r="G448" s="139" t="s">
        <v>66</v>
      </c>
      <c r="H448" s="139">
        <f t="shared" si="18"/>
        <v>4</v>
      </c>
      <c r="I448" s="86">
        <f>IF([1]项目总工作量!B$6="交易类",H448*1.5/22,IF([1]项目总工作量!B$6="数据分析类",H448*1.5*0.9/22,IF([1]项目总工作量!B$6="流程管理类",H448*1.5*0.8/22,IF([1]项目总工作量!B$6="渠道类",H448*1.5*0.7/22,FALSE))))</f>
        <v>0.27272727272727271</v>
      </c>
      <c r="J448" s="86" t="s">
        <v>44</v>
      </c>
    </row>
    <row r="449" spans="1:10" s="40" customFormat="1" ht="14" x14ac:dyDescent="0.15">
      <c r="A449" s="165"/>
      <c r="B449" s="166"/>
      <c r="C449" s="166"/>
      <c r="D449" s="155">
        <f t="shared" si="17"/>
        <v>0.27272727272727271</v>
      </c>
      <c r="E449" s="138"/>
      <c r="F449" s="44" t="s">
        <v>176</v>
      </c>
      <c r="G449" s="139" t="s">
        <v>66</v>
      </c>
      <c r="H449" s="139">
        <f t="shared" si="18"/>
        <v>4</v>
      </c>
      <c r="I449" s="86">
        <f>IF([1]项目总工作量!B$6="交易类",H449*1.5/22,IF([1]项目总工作量!B$6="数据分析类",H449*1.5*0.9/22,IF([1]项目总工作量!B$6="流程管理类",H449*1.5*0.8/22,IF([1]项目总工作量!B$6="渠道类",H449*1.5*0.7/22,FALSE))))</f>
        <v>0.27272727272727271</v>
      </c>
      <c r="J449" s="86" t="s">
        <v>44</v>
      </c>
    </row>
    <row r="450" spans="1:10" s="40" customFormat="1" ht="14" x14ac:dyDescent="0.15">
      <c r="A450" s="165"/>
      <c r="B450" s="166"/>
      <c r="C450" s="166"/>
      <c r="D450" s="155">
        <f t="shared" si="17"/>
        <v>0.27272727272727271</v>
      </c>
      <c r="E450" s="138"/>
      <c r="F450" s="44" t="s">
        <v>652</v>
      </c>
      <c r="G450" s="139" t="s">
        <v>66</v>
      </c>
      <c r="H450" s="139">
        <f t="shared" si="18"/>
        <v>4</v>
      </c>
      <c r="I450" s="86">
        <f>IF([1]项目总工作量!B$6="交易类",H450*1.5/22,IF([1]项目总工作量!B$6="数据分析类",H450*1.5*0.9/22,IF([1]项目总工作量!B$6="流程管理类",H450*1.5*0.8/22,IF([1]项目总工作量!B$6="渠道类",H450*1.5*0.7/22,FALSE))))</f>
        <v>0.27272727272727271</v>
      </c>
      <c r="J450" s="86" t="s">
        <v>44</v>
      </c>
    </row>
    <row r="451" spans="1:10" s="40" customFormat="1" ht="14" x14ac:dyDescent="0.15">
      <c r="A451" s="165"/>
      <c r="B451" s="166"/>
      <c r="C451" s="166"/>
      <c r="D451" s="155">
        <f t="shared" si="17"/>
        <v>0.27272727272727271</v>
      </c>
      <c r="E451" s="138"/>
      <c r="F451" s="44" t="s">
        <v>653</v>
      </c>
      <c r="G451" s="139" t="s">
        <v>66</v>
      </c>
      <c r="H451" s="139">
        <f t="shared" si="18"/>
        <v>4</v>
      </c>
      <c r="I451" s="86">
        <f>IF([1]项目总工作量!B$6="交易类",H451*1.5/22,IF([1]项目总工作量!B$6="数据分析类",H451*1.5*0.9/22,IF([1]项目总工作量!B$6="流程管理类",H451*1.5*0.8/22,IF([1]项目总工作量!B$6="渠道类",H451*1.5*0.7/22,FALSE))))</f>
        <v>0.27272727272727271</v>
      </c>
      <c r="J451" s="86" t="s">
        <v>44</v>
      </c>
    </row>
    <row r="452" spans="1:10" s="40" customFormat="1" ht="14" x14ac:dyDescent="0.15">
      <c r="A452" s="165"/>
      <c r="B452" s="166"/>
      <c r="C452" s="166"/>
      <c r="D452" s="155">
        <f t="shared" si="17"/>
        <v>0.27272727272727271</v>
      </c>
      <c r="E452" s="138"/>
      <c r="F452" s="44" t="s">
        <v>654</v>
      </c>
      <c r="G452" s="139" t="s">
        <v>66</v>
      </c>
      <c r="H452" s="139">
        <f t="shared" si="18"/>
        <v>4</v>
      </c>
      <c r="I452" s="86">
        <f>IF([1]项目总工作量!B$6="交易类",H452*1.5/22,IF([1]项目总工作量!B$6="数据分析类",H452*1.5*0.9/22,IF([1]项目总工作量!B$6="流程管理类",H452*1.5*0.8/22,IF([1]项目总工作量!B$6="渠道类",H452*1.5*0.7/22,FALSE))))</f>
        <v>0.27272727272727271</v>
      </c>
      <c r="J452" s="86" t="s">
        <v>44</v>
      </c>
    </row>
    <row r="453" spans="1:10" s="40" customFormat="1" ht="14" x14ac:dyDescent="0.15">
      <c r="A453" s="165"/>
      <c r="B453" s="166"/>
      <c r="C453" s="166"/>
      <c r="D453" s="155">
        <f t="shared" si="17"/>
        <v>0.27272727272727271</v>
      </c>
      <c r="E453" s="138"/>
      <c r="F453" s="44" t="s">
        <v>655</v>
      </c>
      <c r="G453" s="139" t="s">
        <v>66</v>
      </c>
      <c r="H453" s="139">
        <f t="shared" si="18"/>
        <v>4</v>
      </c>
      <c r="I453" s="86">
        <f>IF([1]项目总工作量!B$6="交易类",H453*1.5/22,IF([1]项目总工作量!B$6="数据分析类",H453*1.5*0.9/22,IF([1]项目总工作量!B$6="流程管理类",H453*1.5*0.8/22,IF([1]项目总工作量!B$6="渠道类",H453*1.5*0.7/22,FALSE))))</f>
        <v>0.27272727272727271</v>
      </c>
      <c r="J453" s="86" t="s">
        <v>44</v>
      </c>
    </row>
    <row r="454" spans="1:10" s="40" customFormat="1" ht="28" x14ac:dyDescent="0.15">
      <c r="A454" s="165"/>
      <c r="B454" s="166"/>
      <c r="C454" s="166"/>
      <c r="D454" s="155">
        <f t="shared" si="17"/>
        <v>0.27272727272727271</v>
      </c>
      <c r="E454" s="138"/>
      <c r="F454" s="44" t="s">
        <v>656</v>
      </c>
      <c r="G454" s="139" t="s">
        <v>66</v>
      </c>
      <c r="H454" s="139">
        <f t="shared" si="18"/>
        <v>4</v>
      </c>
      <c r="I454" s="86">
        <f>IF([1]项目总工作量!B$6="交易类",H454*1.5/22,IF([1]项目总工作量!B$6="数据分析类",H454*1.5*0.9/22,IF([1]项目总工作量!B$6="流程管理类",H454*1.5*0.8/22,IF([1]项目总工作量!B$6="渠道类",H454*1.5*0.7/22,FALSE))))</f>
        <v>0.27272727272727271</v>
      </c>
      <c r="J454" s="86" t="s">
        <v>44</v>
      </c>
    </row>
    <row r="455" spans="1:10" s="40" customFormat="1" ht="14" x14ac:dyDescent="0.15">
      <c r="A455" s="165"/>
      <c r="B455" s="166"/>
      <c r="C455" s="166"/>
      <c r="D455" s="155">
        <f t="shared" si="17"/>
        <v>0.27272727272727271</v>
      </c>
      <c r="E455" s="138"/>
      <c r="F455" s="44" t="s">
        <v>657</v>
      </c>
      <c r="G455" s="139" t="s">
        <v>66</v>
      </c>
      <c r="H455" s="139">
        <f t="shared" si="18"/>
        <v>4</v>
      </c>
      <c r="I455" s="86">
        <f>IF([1]项目总工作量!B$6="交易类",H455*1.5/22,IF([1]项目总工作量!B$6="数据分析类",H455*1.5*0.9/22,IF([1]项目总工作量!B$6="流程管理类",H455*1.5*0.8/22,IF([1]项目总工作量!B$6="渠道类",H455*1.5*0.7/22,FALSE))))</f>
        <v>0.27272727272727271</v>
      </c>
      <c r="J455" s="86" t="s">
        <v>44</v>
      </c>
    </row>
    <row r="456" spans="1:10" s="40" customFormat="1" ht="14" x14ac:dyDescent="0.15">
      <c r="A456" s="165"/>
      <c r="B456" s="166"/>
      <c r="C456" s="166"/>
      <c r="D456" s="155">
        <f t="shared" si="17"/>
        <v>0.27272727272727271</v>
      </c>
      <c r="E456" s="138"/>
      <c r="F456" s="44" t="s">
        <v>658</v>
      </c>
      <c r="G456" s="139" t="s">
        <v>66</v>
      </c>
      <c r="H456" s="139">
        <f t="shared" si="18"/>
        <v>4</v>
      </c>
      <c r="I456" s="86">
        <f>IF([1]项目总工作量!B$6="交易类",H456*1.5/22,IF([1]项目总工作量!B$6="数据分析类",H456*1.5*0.9/22,IF([1]项目总工作量!B$6="流程管理类",H456*1.5*0.8/22,IF([1]项目总工作量!B$6="渠道类",H456*1.5*0.7/22,FALSE))))</f>
        <v>0.27272727272727271</v>
      </c>
      <c r="J456" s="86" t="s">
        <v>44</v>
      </c>
    </row>
    <row r="457" spans="1:10" s="40" customFormat="1" ht="14" x14ac:dyDescent="0.15">
      <c r="A457" s="165"/>
      <c r="B457" s="166"/>
      <c r="C457" s="166"/>
      <c r="D457" s="155">
        <f t="shared" si="17"/>
        <v>0.27272727272727271</v>
      </c>
      <c r="E457" s="138"/>
      <c r="F457" s="44" t="s">
        <v>659</v>
      </c>
      <c r="G457" s="139" t="s">
        <v>66</v>
      </c>
      <c r="H457" s="139">
        <f t="shared" si="18"/>
        <v>4</v>
      </c>
      <c r="I457" s="86">
        <f>IF([1]项目总工作量!B$6="交易类",H457*1.5/22,IF([1]项目总工作量!B$6="数据分析类",H457*1.5*0.9/22,IF([1]项目总工作量!B$6="流程管理类",H457*1.5*0.8/22,IF([1]项目总工作量!B$6="渠道类",H457*1.5*0.7/22,FALSE))))</f>
        <v>0.27272727272727271</v>
      </c>
      <c r="J457" s="86" t="s">
        <v>44</v>
      </c>
    </row>
    <row r="458" spans="1:10" s="40" customFormat="1" ht="14" x14ac:dyDescent="0.15">
      <c r="A458" s="165"/>
      <c r="B458" s="166"/>
      <c r="C458" s="166"/>
      <c r="D458" s="155">
        <f t="shared" si="17"/>
        <v>0.27272727272727271</v>
      </c>
      <c r="E458" s="138"/>
      <c r="F458" s="44" t="s">
        <v>660</v>
      </c>
      <c r="G458" s="139" t="s">
        <v>66</v>
      </c>
      <c r="H458" s="139">
        <f t="shared" si="18"/>
        <v>4</v>
      </c>
      <c r="I458" s="86">
        <f>IF([1]项目总工作量!B$6="交易类",H458*1.5/22,IF([1]项目总工作量!B$6="数据分析类",H458*1.5*0.9/22,IF([1]项目总工作量!B$6="流程管理类",H458*1.5*0.8/22,IF([1]项目总工作量!B$6="渠道类",H458*1.5*0.7/22,FALSE))))</f>
        <v>0.27272727272727271</v>
      </c>
      <c r="J458" s="86" t="s">
        <v>44</v>
      </c>
    </row>
    <row r="459" spans="1:10" s="40" customFormat="1" ht="14" x14ac:dyDescent="0.15">
      <c r="A459" s="165"/>
      <c r="B459" s="166"/>
      <c r="C459" s="166"/>
      <c r="D459" s="155">
        <f t="shared" si="17"/>
        <v>0.27272727272727271</v>
      </c>
      <c r="E459" s="138"/>
      <c r="F459" s="44" t="s">
        <v>661</v>
      </c>
      <c r="G459" s="139" t="s">
        <v>66</v>
      </c>
      <c r="H459" s="139">
        <f t="shared" si="18"/>
        <v>4</v>
      </c>
      <c r="I459" s="86">
        <f>IF([1]项目总工作量!B$6="交易类",H459*1.5/22,IF([1]项目总工作量!B$6="数据分析类",H459*1.5*0.9/22,IF([1]项目总工作量!B$6="流程管理类",H459*1.5*0.8/22,IF([1]项目总工作量!B$6="渠道类",H459*1.5*0.7/22,FALSE))))</f>
        <v>0.27272727272727271</v>
      </c>
      <c r="J459" s="86" t="s">
        <v>44</v>
      </c>
    </row>
    <row r="460" spans="1:10" s="40" customFormat="1" ht="14" x14ac:dyDescent="0.15">
      <c r="A460" s="165"/>
      <c r="B460" s="166"/>
      <c r="C460" s="166"/>
      <c r="D460" s="155">
        <f t="shared" si="17"/>
        <v>0.27272727272727271</v>
      </c>
      <c r="E460" s="138"/>
      <c r="F460" s="44" t="s">
        <v>662</v>
      </c>
      <c r="G460" s="139" t="s">
        <v>66</v>
      </c>
      <c r="H460" s="139">
        <f t="shared" si="18"/>
        <v>4</v>
      </c>
      <c r="I460" s="86">
        <f>IF([1]项目总工作量!B$6="交易类",H460*1.5/22,IF([1]项目总工作量!B$6="数据分析类",H460*1.5*0.9/22,IF([1]项目总工作量!B$6="流程管理类",H460*1.5*0.8/22,IF([1]项目总工作量!B$6="渠道类",H460*1.5*0.7/22,FALSE))))</f>
        <v>0.27272727272727271</v>
      </c>
      <c r="J460" s="86" t="s">
        <v>44</v>
      </c>
    </row>
    <row r="461" spans="1:10" s="40" customFormat="1" ht="14" x14ac:dyDescent="0.15">
      <c r="A461" s="165"/>
      <c r="B461" s="166"/>
      <c r="C461" s="166"/>
      <c r="D461" s="155">
        <f t="shared" si="17"/>
        <v>0.27272727272727271</v>
      </c>
      <c r="E461" s="138"/>
      <c r="F461" s="44" t="s">
        <v>663</v>
      </c>
      <c r="G461" s="139" t="s">
        <v>66</v>
      </c>
      <c r="H461" s="139">
        <f t="shared" si="18"/>
        <v>4</v>
      </c>
      <c r="I461" s="86">
        <f>IF([1]项目总工作量!B$6="交易类",H461*1.5/22,IF([1]项目总工作量!B$6="数据分析类",H461*1.5*0.9/22,IF([1]项目总工作量!B$6="流程管理类",H461*1.5*0.8/22,IF([1]项目总工作量!B$6="渠道类",H461*1.5*0.7/22,FALSE))))</f>
        <v>0.27272727272727271</v>
      </c>
      <c r="J461" s="86" t="s">
        <v>44</v>
      </c>
    </row>
    <row r="462" spans="1:10" s="40" customFormat="1" ht="14" x14ac:dyDescent="0.15">
      <c r="A462" s="165"/>
      <c r="B462" s="166"/>
      <c r="C462" s="166"/>
      <c r="D462" s="155">
        <f t="shared" si="17"/>
        <v>0.27272727272727271</v>
      </c>
      <c r="E462" s="138"/>
      <c r="F462" s="44" t="s">
        <v>177</v>
      </c>
      <c r="G462" s="139" t="s">
        <v>66</v>
      </c>
      <c r="H462" s="139">
        <f t="shared" si="18"/>
        <v>4</v>
      </c>
      <c r="I462" s="86">
        <f>IF([1]项目总工作量!B$6="交易类",H462*1.5/22,IF([1]项目总工作量!B$6="数据分析类",H462*1.5*0.9/22,IF([1]项目总工作量!B$6="流程管理类",H462*1.5*0.8/22,IF([1]项目总工作量!B$6="渠道类",H462*1.5*0.7/22,FALSE))))</f>
        <v>0.27272727272727271</v>
      </c>
      <c r="J462" s="86" t="s">
        <v>44</v>
      </c>
    </row>
    <row r="463" spans="1:10" s="40" customFormat="1" ht="28" x14ac:dyDescent="0.15">
      <c r="A463" s="165"/>
      <c r="B463" s="166"/>
      <c r="C463" s="166"/>
      <c r="D463" s="155">
        <f t="shared" si="17"/>
        <v>0.27272727272727271</v>
      </c>
      <c r="E463" s="138"/>
      <c r="F463" s="44" t="s">
        <v>664</v>
      </c>
      <c r="G463" s="139" t="s">
        <v>66</v>
      </c>
      <c r="H463" s="139">
        <f t="shared" si="18"/>
        <v>4</v>
      </c>
      <c r="I463" s="86">
        <f>IF([1]项目总工作量!B$6="交易类",H463*1.5/22,IF([1]项目总工作量!B$6="数据分析类",H463*1.5*0.9/22,IF([1]项目总工作量!B$6="流程管理类",H463*1.5*0.8/22,IF([1]项目总工作量!B$6="渠道类",H463*1.5*0.7/22,FALSE))))</f>
        <v>0.27272727272727271</v>
      </c>
      <c r="J463" s="86" t="s">
        <v>44</v>
      </c>
    </row>
    <row r="464" spans="1:10" s="40" customFormat="1" ht="28" x14ac:dyDescent="0.15">
      <c r="A464" s="165"/>
      <c r="B464" s="166"/>
      <c r="C464" s="166"/>
      <c r="D464" s="155">
        <f t="shared" si="17"/>
        <v>0.27272727272727271</v>
      </c>
      <c r="E464" s="138"/>
      <c r="F464" s="44" t="s">
        <v>665</v>
      </c>
      <c r="G464" s="139" t="s">
        <v>66</v>
      </c>
      <c r="H464" s="139">
        <f t="shared" si="18"/>
        <v>4</v>
      </c>
      <c r="I464" s="86">
        <f>IF([1]项目总工作量!B$6="交易类",H464*1.5/22,IF([1]项目总工作量!B$6="数据分析类",H464*1.5*0.9/22,IF([1]项目总工作量!B$6="流程管理类",H464*1.5*0.8/22,IF([1]项目总工作量!B$6="渠道类",H464*1.5*0.7/22,FALSE))))</f>
        <v>0.27272727272727271</v>
      </c>
      <c r="J464" s="86" t="s">
        <v>44</v>
      </c>
    </row>
    <row r="465" spans="1:10" s="40" customFormat="1" ht="14" x14ac:dyDescent="0.15">
      <c r="A465" s="165"/>
      <c r="B465" s="166"/>
      <c r="C465" s="166"/>
      <c r="D465" s="155">
        <f t="shared" si="17"/>
        <v>0.27272727272727271</v>
      </c>
      <c r="E465" s="138"/>
      <c r="F465" s="44" t="s">
        <v>666</v>
      </c>
      <c r="G465" s="139" t="s">
        <v>66</v>
      </c>
      <c r="H465" s="139">
        <f t="shared" si="18"/>
        <v>4</v>
      </c>
      <c r="I465" s="86">
        <f>IF([1]项目总工作量!B$6="交易类",H465*1.5/22,IF([1]项目总工作量!B$6="数据分析类",H465*1.5*0.9/22,IF([1]项目总工作量!B$6="流程管理类",H465*1.5*0.8/22,IF([1]项目总工作量!B$6="渠道类",H465*1.5*0.7/22,FALSE))))</f>
        <v>0.27272727272727271</v>
      </c>
      <c r="J465" s="86" t="s">
        <v>44</v>
      </c>
    </row>
    <row r="466" spans="1:10" s="40" customFormat="1" ht="14" x14ac:dyDescent="0.15">
      <c r="A466" s="165"/>
      <c r="B466" s="166"/>
      <c r="C466" s="166"/>
      <c r="D466" s="155">
        <f t="shared" si="17"/>
        <v>0.27272727272727271</v>
      </c>
      <c r="E466" s="138"/>
      <c r="F466" s="44" t="s">
        <v>667</v>
      </c>
      <c r="G466" s="139" t="s">
        <v>66</v>
      </c>
      <c r="H466" s="139">
        <f t="shared" si="18"/>
        <v>4</v>
      </c>
      <c r="I466" s="86">
        <f>IF([1]项目总工作量!B$6="交易类",H466*1.5/22,IF([1]项目总工作量!B$6="数据分析类",H466*1.5*0.9/22,IF([1]项目总工作量!B$6="流程管理类",H466*1.5*0.8/22,IF([1]项目总工作量!B$6="渠道类",H466*1.5*0.7/22,FALSE))))</f>
        <v>0.27272727272727271</v>
      </c>
      <c r="J466" s="86" t="s">
        <v>44</v>
      </c>
    </row>
    <row r="467" spans="1:10" s="40" customFormat="1" ht="14" x14ac:dyDescent="0.15">
      <c r="A467" s="165"/>
      <c r="B467" s="166"/>
      <c r="C467" s="166"/>
      <c r="D467" s="155">
        <f t="shared" si="17"/>
        <v>0.27272727272727271</v>
      </c>
      <c r="E467" s="138"/>
      <c r="F467" s="44" t="s">
        <v>668</v>
      </c>
      <c r="G467" s="139" t="s">
        <v>66</v>
      </c>
      <c r="H467" s="139">
        <f t="shared" si="18"/>
        <v>4</v>
      </c>
      <c r="I467" s="86">
        <f>IF([1]项目总工作量!B$6="交易类",H467*1.5/22,IF([1]项目总工作量!B$6="数据分析类",H467*1.5*0.9/22,IF([1]项目总工作量!B$6="流程管理类",H467*1.5*0.8/22,IF([1]项目总工作量!B$6="渠道类",H467*1.5*0.7/22,FALSE))))</f>
        <v>0.27272727272727271</v>
      </c>
      <c r="J467" s="86" t="s">
        <v>44</v>
      </c>
    </row>
    <row r="468" spans="1:10" s="40" customFormat="1" ht="14" x14ac:dyDescent="0.15">
      <c r="A468" s="165"/>
      <c r="B468" s="166"/>
      <c r="C468" s="166"/>
      <c r="D468" s="155">
        <f t="shared" si="17"/>
        <v>0.27272727272727271</v>
      </c>
      <c r="E468" s="138"/>
      <c r="F468" s="44" t="s">
        <v>178</v>
      </c>
      <c r="G468" s="139" t="s">
        <v>66</v>
      </c>
      <c r="H468" s="139">
        <f t="shared" si="18"/>
        <v>4</v>
      </c>
      <c r="I468" s="86">
        <f>IF([1]项目总工作量!B$6="交易类",H468*1.5/22,IF([1]项目总工作量!B$6="数据分析类",H468*1.5*0.9/22,IF([1]项目总工作量!B$6="流程管理类",H468*1.5*0.8/22,IF([1]项目总工作量!B$6="渠道类",H468*1.5*0.7/22,FALSE))))</f>
        <v>0.27272727272727271</v>
      </c>
      <c r="J468" s="86" t="s">
        <v>44</v>
      </c>
    </row>
    <row r="469" spans="1:10" s="40" customFormat="1" ht="14" x14ac:dyDescent="0.15">
      <c r="A469" s="165"/>
      <c r="B469" s="166"/>
      <c r="C469" s="166"/>
      <c r="D469" s="155">
        <f t="shared" si="17"/>
        <v>0.27272727272727271</v>
      </c>
      <c r="E469" s="138"/>
      <c r="F469" s="44" t="s">
        <v>179</v>
      </c>
      <c r="G469" s="139" t="s">
        <v>66</v>
      </c>
      <c r="H469" s="139">
        <f t="shared" si="18"/>
        <v>4</v>
      </c>
      <c r="I469" s="86">
        <f>IF([1]项目总工作量!B$6="交易类",H469*1.5/22,IF([1]项目总工作量!B$6="数据分析类",H469*1.5*0.9/22,IF([1]项目总工作量!B$6="流程管理类",H469*1.5*0.8/22,IF([1]项目总工作量!B$6="渠道类",H469*1.5*0.7/22,FALSE))))</f>
        <v>0.27272727272727271</v>
      </c>
      <c r="J469" s="86" t="s">
        <v>44</v>
      </c>
    </row>
    <row r="470" spans="1:10" s="40" customFormat="1" ht="14" x14ac:dyDescent="0.15">
      <c r="A470" s="165"/>
      <c r="B470" s="166"/>
      <c r="C470" s="166"/>
      <c r="D470" s="155">
        <f t="shared" si="17"/>
        <v>0.27272727272727271</v>
      </c>
      <c r="E470" s="138"/>
      <c r="F470" s="44" t="s">
        <v>180</v>
      </c>
      <c r="G470" s="139" t="s">
        <v>66</v>
      </c>
      <c r="H470" s="139">
        <f t="shared" si="18"/>
        <v>4</v>
      </c>
      <c r="I470" s="86">
        <f>IF([1]项目总工作量!B$6="交易类",H470*1.5/22,IF([1]项目总工作量!B$6="数据分析类",H470*1.5*0.9/22,IF([1]项目总工作量!B$6="流程管理类",H470*1.5*0.8/22,IF([1]项目总工作量!B$6="渠道类",H470*1.5*0.7/22,FALSE))))</f>
        <v>0.27272727272727271</v>
      </c>
      <c r="J470" s="86" t="s">
        <v>44</v>
      </c>
    </row>
    <row r="471" spans="1:10" s="40" customFormat="1" ht="14" x14ac:dyDescent="0.15">
      <c r="A471" s="165"/>
      <c r="B471" s="166"/>
      <c r="C471" s="166"/>
      <c r="D471" s="155">
        <f t="shared" si="17"/>
        <v>0.27272727272727271</v>
      </c>
      <c r="E471" s="138"/>
      <c r="F471" s="44" t="s">
        <v>181</v>
      </c>
      <c r="G471" s="139" t="s">
        <v>66</v>
      </c>
      <c r="H471" s="139">
        <f t="shared" si="18"/>
        <v>4</v>
      </c>
      <c r="I471" s="86">
        <f>IF([1]项目总工作量!B$6="交易类",H471*1.5/22,IF([1]项目总工作量!B$6="数据分析类",H471*1.5*0.9/22,IF([1]项目总工作量!B$6="流程管理类",H471*1.5*0.8/22,IF([1]项目总工作量!B$6="渠道类",H471*1.5*0.7/22,FALSE))))</f>
        <v>0.27272727272727271</v>
      </c>
      <c r="J471" s="86" t="s">
        <v>44</v>
      </c>
    </row>
    <row r="472" spans="1:10" s="40" customFormat="1" ht="14" x14ac:dyDescent="0.15">
      <c r="A472" s="165"/>
      <c r="B472" s="166"/>
      <c r="C472" s="166"/>
      <c r="D472" s="155">
        <f t="shared" si="17"/>
        <v>0.27272727272727271</v>
      </c>
      <c r="E472" s="138"/>
      <c r="F472" s="44" t="s">
        <v>182</v>
      </c>
      <c r="G472" s="139" t="s">
        <v>66</v>
      </c>
      <c r="H472" s="139">
        <f t="shared" si="18"/>
        <v>4</v>
      </c>
      <c r="I472" s="86">
        <f>IF([1]项目总工作量!B$6="交易类",H472*1.5/22,IF([1]项目总工作量!B$6="数据分析类",H472*1.5*0.9/22,IF([1]项目总工作量!B$6="流程管理类",H472*1.5*0.8/22,IF([1]项目总工作量!B$6="渠道类",H472*1.5*0.7/22,FALSE))))</f>
        <v>0.27272727272727271</v>
      </c>
      <c r="J472" s="86" t="s">
        <v>44</v>
      </c>
    </row>
    <row r="473" spans="1:10" s="40" customFormat="1" ht="14" x14ac:dyDescent="0.15">
      <c r="A473" s="165"/>
      <c r="B473" s="166"/>
      <c r="C473" s="166"/>
      <c r="D473" s="155">
        <f t="shared" si="17"/>
        <v>0.27272727272727271</v>
      </c>
      <c r="E473" s="138"/>
      <c r="F473" s="44" t="s">
        <v>669</v>
      </c>
      <c r="G473" s="139" t="s">
        <v>66</v>
      </c>
      <c r="H473" s="139">
        <f t="shared" si="18"/>
        <v>4</v>
      </c>
      <c r="I473" s="86">
        <f>IF([1]项目总工作量!B$6="交易类",H473*1.5/22,IF([1]项目总工作量!B$6="数据分析类",H473*1.5*0.9/22,IF([1]项目总工作量!B$6="流程管理类",H473*1.5*0.8/22,IF([1]项目总工作量!B$6="渠道类",H473*1.5*0.7/22,FALSE))))</f>
        <v>0.27272727272727271</v>
      </c>
      <c r="J473" s="86" t="s">
        <v>44</v>
      </c>
    </row>
    <row r="474" spans="1:10" s="40" customFormat="1" ht="14" x14ac:dyDescent="0.15">
      <c r="A474" s="165"/>
      <c r="B474" s="166"/>
      <c r="C474" s="166"/>
      <c r="D474" s="155">
        <f t="shared" si="17"/>
        <v>0.27272727272727271</v>
      </c>
      <c r="E474" s="138"/>
      <c r="F474" s="44" t="s">
        <v>183</v>
      </c>
      <c r="G474" s="139" t="s">
        <v>66</v>
      </c>
      <c r="H474" s="139">
        <f t="shared" si="18"/>
        <v>4</v>
      </c>
      <c r="I474" s="86">
        <f>IF([1]项目总工作量!B$6="交易类",H474*1.5/22,IF([1]项目总工作量!B$6="数据分析类",H474*1.5*0.9/22,IF([1]项目总工作量!B$6="流程管理类",H474*1.5*0.8/22,IF([1]项目总工作量!B$6="渠道类",H474*1.5*0.7/22,FALSE))))</f>
        <v>0.27272727272727271</v>
      </c>
      <c r="J474" s="86" t="s">
        <v>44</v>
      </c>
    </row>
    <row r="475" spans="1:10" s="40" customFormat="1" ht="14" x14ac:dyDescent="0.15">
      <c r="A475" s="165"/>
      <c r="B475" s="166"/>
      <c r="C475" s="166"/>
      <c r="D475" s="155">
        <f t="shared" si="17"/>
        <v>0.27272727272727271</v>
      </c>
      <c r="E475" s="138"/>
      <c r="F475" s="44" t="s">
        <v>670</v>
      </c>
      <c r="G475" s="139" t="s">
        <v>66</v>
      </c>
      <c r="H475" s="139">
        <f t="shared" si="18"/>
        <v>4</v>
      </c>
      <c r="I475" s="86">
        <f>IF([1]项目总工作量!B$6="交易类",H475*1.5/22,IF([1]项目总工作量!B$6="数据分析类",H475*1.5*0.9/22,IF([1]项目总工作量!B$6="流程管理类",H475*1.5*0.8/22,IF([1]项目总工作量!B$6="渠道类",H475*1.5*0.7/22,FALSE))))</f>
        <v>0.27272727272727271</v>
      </c>
      <c r="J475" s="86" t="s">
        <v>44</v>
      </c>
    </row>
    <row r="476" spans="1:10" s="40" customFormat="1" ht="14" x14ac:dyDescent="0.15">
      <c r="A476" s="165"/>
      <c r="B476" s="166"/>
      <c r="C476" s="166"/>
      <c r="D476" s="155">
        <f t="shared" si="17"/>
        <v>0.27272727272727271</v>
      </c>
      <c r="E476" s="138"/>
      <c r="F476" s="44" t="s">
        <v>184</v>
      </c>
      <c r="G476" s="139" t="s">
        <v>66</v>
      </c>
      <c r="H476" s="139">
        <f t="shared" si="18"/>
        <v>4</v>
      </c>
      <c r="I476" s="86">
        <f>IF([1]项目总工作量!B$6="交易类",H476*1.5/22,IF([1]项目总工作量!B$6="数据分析类",H476*1.5*0.9/22,IF([1]项目总工作量!B$6="流程管理类",H476*1.5*0.8/22,IF([1]项目总工作量!B$6="渠道类",H476*1.5*0.7/22,FALSE))))</f>
        <v>0.27272727272727271</v>
      </c>
      <c r="J476" s="86" t="s">
        <v>44</v>
      </c>
    </row>
    <row r="477" spans="1:10" s="40" customFormat="1" ht="14" x14ac:dyDescent="0.15">
      <c r="A477" s="165"/>
      <c r="B477" s="166"/>
      <c r="C477" s="166"/>
      <c r="D477" s="155">
        <f t="shared" si="17"/>
        <v>0.27272727272727271</v>
      </c>
      <c r="E477" s="138"/>
      <c r="F477" s="44" t="s">
        <v>185</v>
      </c>
      <c r="G477" s="139" t="s">
        <v>66</v>
      </c>
      <c r="H477" s="139">
        <f t="shared" si="18"/>
        <v>4</v>
      </c>
      <c r="I477" s="86">
        <f>IF([1]项目总工作量!B$6="交易类",H477*1.5/22,IF([1]项目总工作量!B$6="数据分析类",H477*1.5*0.9/22,IF([1]项目总工作量!B$6="流程管理类",H477*1.5*0.8/22,IF([1]项目总工作量!B$6="渠道类",H477*1.5*0.7/22,FALSE))))</f>
        <v>0.27272727272727271</v>
      </c>
      <c r="J477" s="86" t="s">
        <v>44</v>
      </c>
    </row>
    <row r="478" spans="1:10" s="40" customFormat="1" ht="14" x14ac:dyDescent="0.15">
      <c r="A478" s="165"/>
      <c r="B478" s="166"/>
      <c r="C478" s="166"/>
      <c r="D478" s="155">
        <f t="shared" si="17"/>
        <v>0.27272727272727271</v>
      </c>
      <c r="E478" s="138"/>
      <c r="F478" s="44" t="s">
        <v>186</v>
      </c>
      <c r="G478" s="139" t="s">
        <v>66</v>
      </c>
      <c r="H478" s="139">
        <f t="shared" si="18"/>
        <v>4</v>
      </c>
      <c r="I478" s="86">
        <f>IF([1]项目总工作量!B$6="交易类",H478*1.5/22,IF([1]项目总工作量!B$6="数据分析类",H478*1.5*0.9/22,IF([1]项目总工作量!B$6="流程管理类",H478*1.5*0.8/22,IF([1]项目总工作量!B$6="渠道类",H478*1.5*0.7/22,FALSE))))</f>
        <v>0.27272727272727271</v>
      </c>
      <c r="J478" s="86" t="s">
        <v>44</v>
      </c>
    </row>
    <row r="479" spans="1:10" s="40" customFormat="1" ht="14" x14ac:dyDescent="0.15">
      <c r="A479" s="165"/>
      <c r="B479" s="166"/>
      <c r="C479" s="166"/>
      <c r="D479" s="155">
        <f t="shared" si="17"/>
        <v>0.27272727272727271</v>
      </c>
      <c r="E479" s="138"/>
      <c r="F479" s="44" t="s">
        <v>187</v>
      </c>
      <c r="G479" s="139" t="s">
        <v>66</v>
      </c>
      <c r="H479" s="139">
        <f t="shared" si="18"/>
        <v>4</v>
      </c>
      <c r="I479" s="86">
        <f>IF([1]项目总工作量!B$6="交易类",H479*1.5/22,IF([1]项目总工作量!B$6="数据分析类",H479*1.5*0.9/22,IF([1]项目总工作量!B$6="流程管理类",H479*1.5*0.8/22,IF([1]项目总工作量!B$6="渠道类",H479*1.5*0.7/22,FALSE))))</f>
        <v>0.27272727272727271</v>
      </c>
      <c r="J479" s="86" t="s">
        <v>44</v>
      </c>
    </row>
    <row r="480" spans="1:10" s="40" customFormat="1" ht="14" x14ac:dyDescent="0.15">
      <c r="A480" s="165"/>
      <c r="B480" s="166"/>
      <c r="C480" s="166"/>
      <c r="D480" s="155">
        <f t="shared" si="17"/>
        <v>0.27272727272727271</v>
      </c>
      <c r="E480" s="138"/>
      <c r="F480" s="44" t="s">
        <v>671</v>
      </c>
      <c r="G480" s="139" t="s">
        <v>66</v>
      </c>
      <c r="H480" s="139">
        <f t="shared" si="18"/>
        <v>4</v>
      </c>
      <c r="I480" s="86">
        <f>IF([1]项目总工作量!B$6="交易类",H480*1.5/22,IF([1]项目总工作量!B$6="数据分析类",H480*1.5*0.9/22,IF([1]项目总工作量!B$6="流程管理类",H480*1.5*0.8/22,IF([1]项目总工作量!B$6="渠道类",H480*1.5*0.7/22,FALSE))))</f>
        <v>0.27272727272727271</v>
      </c>
      <c r="J480" s="86" t="s">
        <v>44</v>
      </c>
    </row>
    <row r="481" spans="1:10" s="40" customFormat="1" ht="14" x14ac:dyDescent="0.15">
      <c r="A481" s="165"/>
      <c r="B481" s="166"/>
      <c r="C481" s="166"/>
      <c r="D481" s="155">
        <f t="shared" si="17"/>
        <v>0.27272727272727271</v>
      </c>
      <c r="E481" s="138"/>
      <c r="F481" s="44" t="s">
        <v>188</v>
      </c>
      <c r="G481" s="139" t="s">
        <v>66</v>
      </c>
      <c r="H481" s="139">
        <f t="shared" si="18"/>
        <v>4</v>
      </c>
      <c r="I481" s="86">
        <f>IF([1]项目总工作量!B$6="交易类",H481*1.5/22,IF([1]项目总工作量!B$6="数据分析类",H481*1.5*0.9/22,IF([1]项目总工作量!B$6="流程管理类",H481*1.5*0.8/22,IF([1]项目总工作量!B$6="渠道类",H481*1.5*0.7/22,FALSE))))</f>
        <v>0.27272727272727271</v>
      </c>
      <c r="J481" s="86" t="s">
        <v>44</v>
      </c>
    </row>
    <row r="482" spans="1:10" s="40" customFormat="1" ht="14" x14ac:dyDescent="0.15">
      <c r="A482" s="165"/>
      <c r="B482" s="166"/>
      <c r="C482" s="166"/>
      <c r="D482" s="155">
        <f t="shared" si="17"/>
        <v>0.27272727272727271</v>
      </c>
      <c r="E482" s="138"/>
      <c r="F482" s="44" t="s">
        <v>189</v>
      </c>
      <c r="G482" s="139" t="s">
        <v>66</v>
      </c>
      <c r="H482" s="139">
        <f t="shared" si="18"/>
        <v>4</v>
      </c>
      <c r="I482" s="86">
        <f>IF([1]项目总工作量!B$6="交易类",H482*1.5/22,IF([1]项目总工作量!B$6="数据分析类",H482*1.5*0.9/22,IF([1]项目总工作量!B$6="流程管理类",H482*1.5*0.8/22,IF([1]项目总工作量!B$6="渠道类",H482*1.5*0.7/22,FALSE))))</f>
        <v>0.27272727272727271</v>
      </c>
      <c r="J482" s="86" t="s">
        <v>44</v>
      </c>
    </row>
    <row r="483" spans="1:10" s="40" customFormat="1" ht="28" x14ac:dyDescent="0.15">
      <c r="A483" s="165"/>
      <c r="B483" s="166"/>
      <c r="C483" s="166"/>
      <c r="D483" s="155">
        <f t="shared" si="17"/>
        <v>0.27272727272727271</v>
      </c>
      <c r="E483" s="138"/>
      <c r="F483" s="44" t="s">
        <v>190</v>
      </c>
      <c r="G483" s="139" t="s">
        <v>66</v>
      </c>
      <c r="H483" s="139">
        <f t="shared" si="18"/>
        <v>4</v>
      </c>
      <c r="I483" s="86">
        <f>IF([1]项目总工作量!B$6="交易类",H483*1.5/22,IF([1]项目总工作量!B$6="数据分析类",H483*1.5*0.9/22,IF([1]项目总工作量!B$6="流程管理类",H483*1.5*0.8/22,IF([1]项目总工作量!B$6="渠道类",H483*1.5*0.7/22,FALSE))))</f>
        <v>0.27272727272727271</v>
      </c>
      <c r="J483" s="86" t="s">
        <v>44</v>
      </c>
    </row>
    <row r="484" spans="1:10" s="40" customFormat="1" ht="14" x14ac:dyDescent="0.15">
      <c r="A484" s="165"/>
      <c r="B484" s="166"/>
      <c r="C484" s="166"/>
      <c r="D484" s="155">
        <f t="shared" si="17"/>
        <v>0.27272727272727271</v>
      </c>
      <c r="E484" s="138"/>
      <c r="F484" s="44" t="s">
        <v>672</v>
      </c>
      <c r="G484" s="139" t="s">
        <v>66</v>
      </c>
      <c r="H484" s="139">
        <f t="shared" si="18"/>
        <v>4</v>
      </c>
      <c r="I484" s="86">
        <f>IF([1]项目总工作量!B$6="交易类",H484*1.5/22,IF([1]项目总工作量!B$6="数据分析类",H484*1.5*0.9/22,IF([1]项目总工作量!B$6="流程管理类",H484*1.5*0.8/22,IF([1]项目总工作量!B$6="渠道类",H484*1.5*0.7/22,FALSE))))</f>
        <v>0.27272727272727271</v>
      </c>
      <c r="J484" s="86" t="s">
        <v>44</v>
      </c>
    </row>
    <row r="485" spans="1:10" s="40" customFormat="1" ht="14" x14ac:dyDescent="0.15">
      <c r="A485" s="165"/>
      <c r="B485" s="166"/>
      <c r="C485" s="166"/>
      <c r="D485" s="155">
        <f t="shared" si="17"/>
        <v>0.27272727272727271</v>
      </c>
      <c r="E485" s="138"/>
      <c r="F485" s="44" t="s">
        <v>191</v>
      </c>
      <c r="G485" s="139" t="s">
        <v>66</v>
      </c>
      <c r="H485" s="139">
        <f t="shared" si="18"/>
        <v>4</v>
      </c>
      <c r="I485" s="86">
        <f>IF([1]项目总工作量!B$6="交易类",H485*1.5/22,IF([1]项目总工作量!B$6="数据分析类",H485*1.5*0.9/22,IF([1]项目总工作量!B$6="流程管理类",H485*1.5*0.8/22,IF([1]项目总工作量!B$6="渠道类",H485*1.5*0.7/22,FALSE))))</f>
        <v>0.27272727272727271</v>
      </c>
      <c r="J485" s="86" t="s">
        <v>44</v>
      </c>
    </row>
    <row r="486" spans="1:10" s="40" customFormat="1" ht="14" x14ac:dyDescent="0.15">
      <c r="A486" s="165"/>
      <c r="B486" s="166"/>
      <c r="C486" s="166"/>
      <c r="D486" s="155">
        <f t="shared" si="17"/>
        <v>0.27272727272727271</v>
      </c>
      <c r="E486" s="138"/>
      <c r="F486" s="44" t="s">
        <v>673</v>
      </c>
      <c r="G486" s="139" t="s">
        <v>66</v>
      </c>
      <c r="H486" s="139">
        <f t="shared" si="18"/>
        <v>4</v>
      </c>
      <c r="I486" s="86">
        <f>IF([1]项目总工作量!B$6="交易类",H486*1.5/22,IF([1]项目总工作量!B$6="数据分析类",H486*1.5*0.9/22,IF([1]项目总工作量!B$6="流程管理类",H486*1.5*0.8/22,IF([1]项目总工作量!B$6="渠道类",H486*1.5*0.7/22,FALSE))))</f>
        <v>0.27272727272727271</v>
      </c>
      <c r="J486" s="86" t="s">
        <v>44</v>
      </c>
    </row>
    <row r="487" spans="1:10" s="40" customFormat="1" ht="14" x14ac:dyDescent="0.15">
      <c r="A487" s="165"/>
      <c r="B487" s="166"/>
      <c r="C487" s="166"/>
      <c r="D487" s="155">
        <f t="shared" si="17"/>
        <v>0.27272727272727271</v>
      </c>
      <c r="E487" s="138"/>
      <c r="F487" s="44" t="s">
        <v>674</v>
      </c>
      <c r="G487" s="139" t="s">
        <v>66</v>
      </c>
      <c r="H487" s="139">
        <f t="shared" si="18"/>
        <v>4</v>
      </c>
      <c r="I487" s="86">
        <f>IF([1]项目总工作量!B$6="交易类",H487*1.5/22,IF([1]项目总工作量!B$6="数据分析类",H487*1.5*0.9/22,IF([1]项目总工作量!B$6="流程管理类",H487*1.5*0.8/22,IF([1]项目总工作量!B$6="渠道类",H487*1.5*0.7/22,FALSE))))</f>
        <v>0.27272727272727271</v>
      </c>
      <c r="J487" s="86" t="s">
        <v>44</v>
      </c>
    </row>
    <row r="488" spans="1:10" s="40" customFormat="1" ht="14" x14ac:dyDescent="0.15">
      <c r="A488" s="165"/>
      <c r="B488" s="166"/>
      <c r="C488" s="166"/>
      <c r="D488" s="155">
        <f t="shared" si="17"/>
        <v>0.27272727272727271</v>
      </c>
      <c r="E488" s="138"/>
      <c r="F488" s="44" t="s">
        <v>675</v>
      </c>
      <c r="G488" s="139" t="s">
        <v>66</v>
      </c>
      <c r="H488" s="139">
        <f t="shared" si="18"/>
        <v>4</v>
      </c>
      <c r="I488" s="86">
        <f>IF([1]项目总工作量!B$6="交易类",H488*1.5/22,IF([1]项目总工作量!B$6="数据分析类",H488*1.5*0.9/22,IF([1]项目总工作量!B$6="流程管理类",H488*1.5*0.8/22,IF([1]项目总工作量!B$6="渠道类",H488*1.5*0.7/22,FALSE))))</f>
        <v>0.27272727272727271</v>
      </c>
      <c r="J488" s="86" t="s">
        <v>44</v>
      </c>
    </row>
    <row r="489" spans="1:10" s="40" customFormat="1" ht="28" x14ac:dyDescent="0.15">
      <c r="A489" s="165"/>
      <c r="B489" s="166"/>
      <c r="C489" s="166"/>
      <c r="D489" s="155">
        <f t="shared" si="17"/>
        <v>0.27272727272727271</v>
      </c>
      <c r="E489" s="138"/>
      <c r="F489" s="44" t="s">
        <v>192</v>
      </c>
      <c r="G489" s="139" t="s">
        <v>66</v>
      </c>
      <c r="H489" s="139">
        <f t="shared" si="18"/>
        <v>4</v>
      </c>
      <c r="I489" s="86">
        <f>IF([1]项目总工作量!B$6="交易类",H489*1.5/22,IF([1]项目总工作量!B$6="数据分析类",H489*1.5*0.9/22,IF([1]项目总工作量!B$6="流程管理类",H489*1.5*0.8/22,IF([1]项目总工作量!B$6="渠道类",H489*1.5*0.7/22,FALSE))))</f>
        <v>0.27272727272727271</v>
      </c>
      <c r="J489" s="86" t="s">
        <v>44</v>
      </c>
    </row>
    <row r="490" spans="1:10" s="40" customFormat="1" ht="28" x14ac:dyDescent="0.15">
      <c r="A490" s="165"/>
      <c r="B490" s="166"/>
      <c r="C490" s="166"/>
      <c r="D490" s="155">
        <f t="shared" si="17"/>
        <v>0.27272727272727271</v>
      </c>
      <c r="E490" s="138"/>
      <c r="F490" s="44" t="s">
        <v>193</v>
      </c>
      <c r="G490" s="139" t="s">
        <v>66</v>
      </c>
      <c r="H490" s="139">
        <f t="shared" si="18"/>
        <v>4</v>
      </c>
      <c r="I490" s="86">
        <f>IF([1]项目总工作量!B$6="交易类",H490*1.5/22,IF([1]项目总工作量!B$6="数据分析类",H490*1.5*0.9/22,IF([1]项目总工作量!B$6="流程管理类",H490*1.5*0.8/22,IF([1]项目总工作量!B$6="渠道类",H490*1.5*0.7/22,FALSE))))</f>
        <v>0.27272727272727271</v>
      </c>
      <c r="J490" s="86" t="s">
        <v>44</v>
      </c>
    </row>
    <row r="491" spans="1:10" s="40" customFormat="1" ht="14" x14ac:dyDescent="0.15">
      <c r="A491" s="165"/>
      <c r="B491" s="166"/>
      <c r="C491" s="166"/>
      <c r="D491" s="155">
        <f t="shared" si="17"/>
        <v>0.27272727272727271</v>
      </c>
      <c r="E491" s="138"/>
      <c r="F491" s="44" t="s">
        <v>676</v>
      </c>
      <c r="G491" s="139" t="s">
        <v>66</v>
      </c>
      <c r="H491" s="139">
        <f t="shared" si="18"/>
        <v>4</v>
      </c>
      <c r="I491" s="86">
        <f>IF([1]项目总工作量!B$6="交易类",H491*1.5/22,IF([1]项目总工作量!B$6="数据分析类",H491*1.5*0.9/22,IF([1]项目总工作量!B$6="流程管理类",H491*1.5*0.8/22,IF([1]项目总工作量!B$6="渠道类",H491*1.5*0.7/22,FALSE))))</f>
        <v>0.27272727272727271</v>
      </c>
      <c r="J491" s="86" t="s">
        <v>44</v>
      </c>
    </row>
    <row r="492" spans="1:10" s="40" customFormat="1" ht="14" x14ac:dyDescent="0.15">
      <c r="A492" s="165"/>
      <c r="B492" s="166"/>
      <c r="C492" s="166"/>
      <c r="D492" s="155">
        <f t="shared" si="17"/>
        <v>0.27272727272727271</v>
      </c>
      <c r="E492" s="138"/>
      <c r="F492" s="44" t="s">
        <v>677</v>
      </c>
      <c r="G492" s="139" t="s">
        <v>66</v>
      </c>
      <c r="H492" s="139">
        <f t="shared" si="18"/>
        <v>4</v>
      </c>
      <c r="I492" s="86">
        <f>IF([1]项目总工作量!B$6="交易类",H492*1.5/22,IF([1]项目总工作量!B$6="数据分析类",H492*1.5*0.9/22,IF([1]项目总工作量!B$6="流程管理类",H492*1.5*0.8/22,IF([1]项目总工作量!B$6="渠道类",H492*1.5*0.7/22,FALSE))))</f>
        <v>0.27272727272727271</v>
      </c>
      <c r="J492" s="86" t="s">
        <v>44</v>
      </c>
    </row>
    <row r="493" spans="1:10" s="40" customFormat="1" ht="14" x14ac:dyDescent="0.15">
      <c r="A493" s="165"/>
      <c r="B493" s="166"/>
      <c r="C493" s="166"/>
      <c r="D493" s="155">
        <f t="shared" si="17"/>
        <v>0.27272727272727271</v>
      </c>
      <c r="E493" s="138"/>
      <c r="F493" s="44" t="s">
        <v>678</v>
      </c>
      <c r="G493" s="139" t="s">
        <v>66</v>
      </c>
      <c r="H493" s="139">
        <f t="shared" si="18"/>
        <v>4</v>
      </c>
      <c r="I493" s="86">
        <f>IF([1]项目总工作量!B$6="交易类",H493*1.5/22,IF([1]项目总工作量!B$6="数据分析类",H493*1.5*0.9/22,IF([1]项目总工作量!B$6="流程管理类",H493*1.5*0.8/22,IF([1]项目总工作量!B$6="渠道类",H493*1.5*0.7/22,FALSE))))</f>
        <v>0.27272727272727271</v>
      </c>
      <c r="J493" s="86" t="s">
        <v>44</v>
      </c>
    </row>
    <row r="494" spans="1:10" s="40" customFormat="1" ht="14" x14ac:dyDescent="0.15">
      <c r="A494" s="165"/>
      <c r="B494" s="166"/>
      <c r="C494" s="166"/>
      <c r="D494" s="155">
        <f t="shared" si="17"/>
        <v>0.27272727272727271</v>
      </c>
      <c r="E494" s="138"/>
      <c r="F494" s="44" t="s">
        <v>194</v>
      </c>
      <c r="G494" s="139" t="s">
        <v>66</v>
      </c>
      <c r="H494" s="139">
        <f t="shared" si="18"/>
        <v>4</v>
      </c>
      <c r="I494" s="86">
        <f>IF([1]项目总工作量!B$6="交易类",H494*1.5/22,IF([1]项目总工作量!B$6="数据分析类",H494*1.5*0.9/22,IF([1]项目总工作量!B$6="流程管理类",H494*1.5*0.8/22,IF([1]项目总工作量!B$6="渠道类",H494*1.5*0.7/22,FALSE))))</f>
        <v>0.27272727272727271</v>
      </c>
      <c r="J494" s="86" t="s">
        <v>44</v>
      </c>
    </row>
    <row r="495" spans="1:10" s="40" customFormat="1" ht="14" x14ac:dyDescent="0.15">
      <c r="A495" s="165"/>
      <c r="B495" s="166"/>
      <c r="C495" s="166"/>
      <c r="D495" s="155">
        <f t="shared" si="17"/>
        <v>0.27272727272727271</v>
      </c>
      <c r="E495" s="138"/>
      <c r="F495" s="44" t="s">
        <v>195</v>
      </c>
      <c r="G495" s="139" t="s">
        <v>66</v>
      </c>
      <c r="H495" s="139">
        <f t="shared" si="18"/>
        <v>4</v>
      </c>
      <c r="I495" s="86">
        <f>IF([1]项目总工作量!B$6="交易类",H495*1.5/22,IF([1]项目总工作量!B$6="数据分析类",H495*1.5*0.9/22,IF([1]项目总工作量!B$6="流程管理类",H495*1.5*0.8/22,IF([1]项目总工作量!B$6="渠道类",H495*1.5*0.7/22,FALSE))))</f>
        <v>0.27272727272727271</v>
      </c>
      <c r="J495" s="86" t="s">
        <v>44</v>
      </c>
    </row>
    <row r="496" spans="1:10" s="40" customFormat="1" ht="14" x14ac:dyDescent="0.15">
      <c r="A496" s="165"/>
      <c r="B496" s="166"/>
      <c r="C496" s="166"/>
      <c r="D496" s="155">
        <f t="shared" si="17"/>
        <v>0.27272727272727271</v>
      </c>
      <c r="E496" s="138"/>
      <c r="F496" s="44" t="s">
        <v>679</v>
      </c>
      <c r="G496" s="139" t="s">
        <v>66</v>
      </c>
      <c r="H496" s="139">
        <f t="shared" si="18"/>
        <v>4</v>
      </c>
      <c r="I496" s="86">
        <f>IF([1]项目总工作量!B$6="交易类",H496*1.5/22,IF([1]项目总工作量!B$6="数据分析类",H496*1.5*0.9/22,IF([1]项目总工作量!B$6="流程管理类",H496*1.5*0.8/22,IF([1]项目总工作量!B$6="渠道类",H496*1.5*0.7/22,FALSE))))</f>
        <v>0.27272727272727271</v>
      </c>
      <c r="J496" s="86" t="s">
        <v>44</v>
      </c>
    </row>
    <row r="497" spans="1:10" s="40" customFormat="1" ht="14" x14ac:dyDescent="0.15">
      <c r="A497" s="165"/>
      <c r="B497" s="166"/>
      <c r="C497" s="166"/>
      <c r="D497" s="155">
        <f t="shared" si="17"/>
        <v>0.27272727272727271</v>
      </c>
      <c r="E497" s="138"/>
      <c r="F497" s="44" t="s">
        <v>680</v>
      </c>
      <c r="G497" s="139" t="s">
        <v>66</v>
      </c>
      <c r="H497" s="139">
        <f t="shared" si="18"/>
        <v>4</v>
      </c>
      <c r="I497" s="86">
        <f>IF([1]项目总工作量!B$6="交易类",H497*1.5/22,IF([1]项目总工作量!B$6="数据分析类",H497*1.5*0.9/22,IF([1]项目总工作量!B$6="流程管理类",H497*1.5*0.8/22,IF([1]项目总工作量!B$6="渠道类",H497*1.5*0.7/22,FALSE))))</f>
        <v>0.27272727272727271</v>
      </c>
      <c r="J497" s="86" t="s">
        <v>44</v>
      </c>
    </row>
    <row r="498" spans="1:10" s="40" customFormat="1" ht="14" x14ac:dyDescent="0.15">
      <c r="A498" s="165"/>
      <c r="B498" s="166"/>
      <c r="C498" s="166"/>
      <c r="D498" s="155">
        <f t="shared" si="17"/>
        <v>0.27272727272727271</v>
      </c>
      <c r="E498" s="138"/>
      <c r="F498" s="44" t="s">
        <v>681</v>
      </c>
      <c r="G498" s="139" t="s">
        <v>66</v>
      </c>
      <c r="H498" s="139">
        <f t="shared" si="18"/>
        <v>4</v>
      </c>
      <c r="I498" s="86">
        <f>IF([1]项目总工作量!B$6="交易类",H498*1.5/22,IF([1]项目总工作量!B$6="数据分析类",H498*1.5*0.9/22,IF([1]项目总工作量!B$6="流程管理类",H498*1.5*0.8/22,IF([1]项目总工作量!B$6="渠道类",H498*1.5*0.7/22,FALSE))))</f>
        <v>0.27272727272727271</v>
      </c>
      <c r="J498" s="86" t="s">
        <v>44</v>
      </c>
    </row>
    <row r="499" spans="1:10" s="87" customFormat="1" ht="14" x14ac:dyDescent="0.15">
      <c r="A499" s="120">
        <v>8</v>
      </c>
      <c r="B499" s="119" t="s">
        <v>218</v>
      </c>
      <c r="C499" s="119" t="s">
        <v>217</v>
      </c>
      <c r="D499" s="154">
        <f t="shared" ref="D499:D525" si="19">I499</f>
        <v>0.27272727272727271</v>
      </c>
      <c r="E499" s="85"/>
      <c r="F499" s="97" t="s">
        <v>216</v>
      </c>
      <c r="G499" s="86" t="s">
        <v>66</v>
      </c>
      <c r="H499" s="86">
        <f t="shared" ref="H499:H526" si="20">IF(G499="EI",4,IF(G499="EO",5,IF(G499="EQ",4,0)))</f>
        <v>4</v>
      </c>
      <c r="I499" s="86">
        <f>IF([1]项目总工作量!B$6="交易类",H499*1.5/22,IF([1]项目总工作量!B$6="数据分析类",H499*1.5*0.9/22,IF([1]项目总工作量!B$6="流程管理类",H499*1.5*0.8/22,IF([1]项目总工作量!B$6="渠道类",H499*1.5*0.7/22,FALSE))))</f>
        <v>0.27272727272727271</v>
      </c>
      <c r="J499" s="86" t="s">
        <v>44</v>
      </c>
    </row>
    <row r="500" spans="1:10" s="87" customFormat="1" ht="14" x14ac:dyDescent="0.15">
      <c r="A500" s="120"/>
      <c r="B500" s="119"/>
      <c r="C500" s="119"/>
      <c r="D500" s="154">
        <f t="shared" si="19"/>
        <v>0.27272727272727271</v>
      </c>
      <c r="E500" s="85"/>
      <c r="F500" s="97" t="s">
        <v>215</v>
      </c>
      <c r="G500" s="86" t="s">
        <v>66</v>
      </c>
      <c r="H500" s="86">
        <f t="shared" si="20"/>
        <v>4</v>
      </c>
      <c r="I500" s="86">
        <f>IF([1]项目总工作量!B$6="交易类",H500*1.5/22,IF([1]项目总工作量!B$6="数据分析类",H500*1.5*0.9/22,IF([1]项目总工作量!B$6="流程管理类",H500*1.5*0.8/22,IF([1]项目总工作量!B$6="渠道类",H500*1.5*0.7/22,FALSE))))</f>
        <v>0.27272727272727271</v>
      </c>
      <c r="J500" s="86" t="s">
        <v>44</v>
      </c>
    </row>
    <row r="501" spans="1:10" s="87" customFormat="1" ht="14" x14ac:dyDescent="0.15">
      <c r="A501" s="120"/>
      <c r="B501" s="119"/>
      <c r="C501" s="119"/>
      <c r="D501" s="154">
        <f t="shared" si="19"/>
        <v>0.27272727272727271</v>
      </c>
      <c r="E501" s="85"/>
      <c r="F501" s="97" t="s">
        <v>214</v>
      </c>
      <c r="G501" s="86" t="s">
        <v>66</v>
      </c>
      <c r="H501" s="86">
        <f t="shared" si="20"/>
        <v>4</v>
      </c>
      <c r="I501" s="86">
        <f>IF([1]项目总工作量!B$6="交易类",H501*1.5/22,IF([1]项目总工作量!B$6="数据分析类",H501*1.5*0.9/22,IF([1]项目总工作量!B$6="流程管理类",H501*1.5*0.8/22,IF([1]项目总工作量!B$6="渠道类",H501*1.5*0.7/22,FALSE))))</f>
        <v>0.27272727272727271</v>
      </c>
      <c r="J501" s="86" t="s">
        <v>44</v>
      </c>
    </row>
    <row r="502" spans="1:10" s="87" customFormat="1" ht="14" x14ac:dyDescent="0.15">
      <c r="A502" s="120"/>
      <c r="B502" s="119"/>
      <c r="C502" s="119"/>
      <c r="D502" s="154">
        <f t="shared" si="19"/>
        <v>0.27272727272727271</v>
      </c>
      <c r="E502" s="85"/>
      <c r="F502" s="97" t="s">
        <v>213</v>
      </c>
      <c r="G502" s="86" t="s">
        <v>66</v>
      </c>
      <c r="H502" s="86">
        <f t="shared" si="20"/>
        <v>4</v>
      </c>
      <c r="I502" s="86">
        <f>IF([1]项目总工作量!B$6="交易类",H502*1.5/22,IF([1]项目总工作量!B$6="数据分析类",H502*1.5*0.9/22,IF([1]项目总工作量!B$6="流程管理类",H502*1.5*0.8/22,IF([1]项目总工作量!B$6="渠道类",H502*1.5*0.7/22,FALSE))))</f>
        <v>0.27272727272727271</v>
      </c>
      <c r="J502" s="86" t="s">
        <v>44</v>
      </c>
    </row>
    <row r="503" spans="1:10" s="87" customFormat="1" ht="14" x14ac:dyDescent="0.15">
      <c r="A503" s="120"/>
      <c r="B503" s="119"/>
      <c r="C503" s="119"/>
      <c r="D503" s="154">
        <f t="shared" si="19"/>
        <v>0.27272727272727271</v>
      </c>
      <c r="E503" s="85"/>
      <c r="F503" s="97" t="s">
        <v>212</v>
      </c>
      <c r="G503" s="86" t="s">
        <v>66</v>
      </c>
      <c r="H503" s="86">
        <f t="shared" si="20"/>
        <v>4</v>
      </c>
      <c r="I503" s="86">
        <f>IF([1]项目总工作量!B$6="交易类",H503*1.5/22,IF([1]项目总工作量!B$6="数据分析类",H503*1.5*0.9/22,IF([1]项目总工作量!B$6="流程管理类",H503*1.5*0.8/22,IF([1]项目总工作量!B$6="渠道类",H503*1.5*0.7/22,FALSE))))</f>
        <v>0.27272727272727271</v>
      </c>
      <c r="J503" s="86" t="s">
        <v>44</v>
      </c>
    </row>
    <row r="504" spans="1:10" s="87" customFormat="1" ht="14" x14ac:dyDescent="0.15">
      <c r="A504" s="120"/>
      <c r="B504" s="119"/>
      <c r="C504" s="119"/>
      <c r="D504" s="154">
        <f t="shared" si="19"/>
        <v>0.27272727272727271</v>
      </c>
      <c r="E504" s="85"/>
      <c r="F504" s="97" t="s">
        <v>211</v>
      </c>
      <c r="G504" s="86" t="s">
        <v>66</v>
      </c>
      <c r="H504" s="86">
        <f t="shared" si="20"/>
        <v>4</v>
      </c>
      <c r="I504" s="86">
        <f>IF([1]项目总工作量!B$6="交易类",H504*1.5/22,IF([1]项目总工作量!B$6="数据分析类",H504*1.5*0.9/22,IF([1]项目总工作量!B$6="流程管理类",H504*1.5*0.8/22,IF([1]项目总工作量!B$6="渠道类",H504*1.5*0.7/22,FALSE))))</f>
        <v>0.27272727272727271</v>
      </c>
      <c r="J504" s="86" t="s">
        <v>44</v>
      </c>
    </row>
    <row r="505" spans="1:10" s="87" customFormat="1" ht="14" x14ac:dyDescent="0.15">
      <c r="A505" s="120"/>
      <c r="B505" s="119"/>
      <c r="C505" s="119"/>
      <c r="D505" s="154">
        <f t="shared" si="19"/>
        <v>0.27272727272727271</v>
      </c>
      <c r="E505" s="85"/>
      <c r="F505" s="97" t="s">
        <v>210</v>
      </c>
      <c r="G505" s="86" t="s">
        <v>66</v>
      </c>
      <c r="H505" s="86">
        <f t="shared" si="20"/>
        <v>4</v>
      </c>
      <c r="I505" s="86">
        <f>IF([1]项目总工作量!B$6="交易类",H505*1.5/22,IF([1]项目总工作量!B$6="数据分析类",H505*1.5*0.9/22,IF([1]项目总工作量!B$6="流程管理类",H505*1.5*0.8/22,IF([1]项目总工作量!B$6="渠道类",H505*1.5*0.7/22,FALSE))))</f>
        <v>0.27272727272727271</v>
      </c>
      <c r="J505" s="86" t="s">
        <v>44</v>
      </c>
    </row>
    <row r="506" spans="1:10" s="87" customFormat="1" ht="14" x14ac:dyDescent="0.15">
      <c r="A506" s="120"/>
      <c r="B506" s="119"/>
      <c r="C506" s="119"/>
      <c r="D506" s="154">
        <f t="shared" si="19"/>
        <v>0.27272727272727271</v>
      </c>
      <c r="E506" s="85"/>
      <c r="F506" s="97" t="s">
        <v>209</v>
      </c>
      <c r="G506" s="86" t="s">
        <v>66</v>
      </c>
      <c r="H506" s="86">
        <f t="shared" si="20"/>
        <v>4</v>
      </c>
      <c r="I506" s="86">
        <f>IF([1]项目总工作量!B$6="交易类",H506*1.5/22,IF([1]项目总工作量!B$6="数据分析类",H506*1.5*0.9/22,IF([1]项目总工作量!B$6="流程管理类",H506*1.5*0.8/22,IF([1]项目总工作量!B$6="渠道类",H506*1.5*0.7/22,FALSE))))</f>
        <v>0.27272727272727271</v>
      </c>
      <c r="J506" s="86" t="s">
        <v>44</v>
      </c>
    </row>
    <row r="507" spans="1:10" s="87" customFormat="1" ht="14" x14ac:dyDescent="0.15">
      <c r="A507" s="120"/>
      <c r="B507" s="119"/>
      <c r="C507" s="119"/>
      <c r="D507" s="154">
        <f t="shared" si="19"/>
        <v>0.27272727272727271</v>
      </c>
      <c r="E507" s="85"/>
      <c r="F507" s="97" t="s">
        <v>208</v>
      </c>
      <c r="G507" s="86" t="s">
        <v>66</v>
      </c>
      <c r="H507" s="86">
        <f t="shared" si="20"/>
        <v>4</v>
      </c>
      <c r="I507" s="86">
        <f>IF([1]项目总工作量!B$6="交易类",H507*1.5/22,IF([1]项目总工作量!B$6="数据分析类",H507*1.5*0.9/22,IF([1]项目总工作量!B$6="流程管理类",H507*1.5*0.8/22,IF([1]项目总工作量!B$6="渠道类",H507*1.5*0.7/22,FALSE))))</f>
        <v>0.27272727272727271</v>
      </c>
      <c r="J507" s="86" t="s">
        <v>44</v>
      </c>
    </row>
    <row r="508" spans="1:10" s="87" customFormat="1" ht="14" x14ac:dyDescent="0.15">
      <c r="A508" s="120"/>
      <c r="B508" s="119"/>
      <c r="C508" s="119" t="s">
        <v>207</v>
      </c>
      <c r="D508" s="154">
        <f t="shared" si="19"/>
        <v>0.34090909090909088</v>
      </c>
      <c r="E508" s="85"/>
      <c r="F508" s="97" t="s">
        <v>206</v>
      </c>
      <c r="G508" s="86" t="s">
        <v>67</v>
      </c>
      <c r="H508" s="86">
        <f t="shared" si="20"/>
        <v>5</v>
      </c>
      <c r="I508" s="86">
        <f>IF([1]项目总工作量!B$6="交易类",H508*1.5/22,IF([1]项目总工作量!B$6="数据分析类",H508*1.5*0.9/22,IF([1]项目总工作量!B$6="流程管理类",H508*1.5*0.8/22,IF([1]项目总工作量!B$6="渠道类",H508*1.5*0.7/22,FALSE))))</f>
        <v>0.34090909090909088</v>
      </c>
      <c r="J508" s="86" t="s">
        <v>44</v>
      </c>
    </row>
    <row r="509" spans="1:10" s="87" customFormat="1" ht="14" x14ac:dyDescent="0.15">
      <c r="A509" s="120"/>
      <c r="B509" s="119"/>
      <c r="C509" s="119"/>
      <c r="D509" s="154">
        <f t="shared" si="19"/>
        <v>0.34090909090909088</v>
      </c>
      <c r="E509" s="85"/>
      <c r="F509" s="97" t="s">
        <v>205</v>
      </c>
      <c r="G509" s="86" t="s">
        <v>67</v>
      </c>
      <c r="H509" s="86">
        <f t="shared" si="20"/>
        <v>5</v>
      </c>
      <c r="I509" s="86">
        <f>IF([1]项目总工作量!B$6="交易类",H509*1.5/22,IF([1]项目总工作量!B$6="数据分析类",H509*1.5*0.9/22,IF([1]项目总工作量!B$6="流程管理类",H509*1.5*0.8/22,IF([1]项目总工作量!B$6="渠道类",H509*1.5*0.7/22,FALSE))))</f>
        <v>0.34090909090909088</v>
      </c>
      <c r="J509" s="86" t="s">
        <v>44</v>
      </c>
    </row>
    <row r="510" spans="1:10" s="87" customFormat="1" ht="14" x14ac:dyDescent="0.15">
      <c r="A510" s="120"/>
      <c r="B510" s="119"/>
      <c r="C510" s="119"/>
      <c r="D510" s="154">
        <f t="shared" si="19"/>
        <v>0.34090909090909088</v>
      </c>
      <c r="E510" s="85"/>
      <c r="F510" s="97" t="s">
        <v>204</v>
      </c>
      <c r="G510" s="86" t="s">
        <v>67</v>
      </c>
      <c r="H510" s="86">
        <f t="shared" si="20"/>
        <v>5</v>
      </c>
      <c r="I510" s="86">
        <f>IF([1]项目总工作量!B$6="交易类",H510*1.5/22,IF([1]项目总工作量!B$6="数据分析类",H510*1.5*0.9/22,IF([1]项目总工作量!B$6="流程管理类",H510*1.5*0.8/22,IF([1]项目总工作量!B$6="渠道类",H510*1.5*0.7/22,FALSE))))</f>
        <v>0.34090909090909088</v>
      </c>
      <c r="J510" s="86" t="s">
        <v>44</v>
      </c>
    </row>
    <row r="511" spans="1:10" s="87" customFormat="1" ht="14" x14ac:dyDescent="0.15">
      <c r="A511" s="120"/>
      <c r="B511" s="119"/>
      <c r="C511" s="119"/>
      <c r="D511" s="154">
        <f t="shared" si="19"/>
        <v>0.34090909090909088</v>
      </c>
      <c r="E511" s="85"/>
      <c r="F511" s="97" t="s">
        <v>203</v>
      </c>
      <c r="G511" s="86" t="s">
        <v>67</v>
      </c>
      <c r="H511" s="86">
        <f t="shared" si="20"/>
        <v>5</v>
      </c>
      <c r="I511" s="86">
        <f>IF([1]项目总工作量!B$6="交易类",H511*1.5/22,IF([1]项目总工作量!B$6="数据分析类",H511*1.5*0.9/22,IF([1]项目总工作量!B$6="流程管理类",H511*1.5*0.8/22,IF([1]项目总工作量!B$6="渠道类",H511*1.5*0.7/22,FALSE))))</f>
        <v>0.34090909090909088</v>
      </c>
      <c r="J511" s="86" t="s">
        <v>44</v>
      </c>
    </row>
    <row r="512" spans="1:10" s="87" customFormat="1" ht="14" x14ac:dyDescent="0.15">
      <c r="A512" s="120"/>
      <c r="B512" s="119"/>
      <c r="C512" s="119"/>
      <c r="D512" s="154">
        <f t="shared" si="19"/>
        <v>0.34090909090909088</v>
      </c>
      <c r="E512" s="85"/>
      <c r="F512" s="97" t="s">
        <v>202</v>
      </c>
      <c r="G512" s="86" t="s">
        <v>67</v>
      </c>
      <c r="H512" s="86">
        <f t="shared" si="20"/>
        <v>5</v>
      </c>
      <c r="I512" s="86">
        <f>IF([1]项目总工作量!B$6="交易类",H512*1.5/22,IF([1]项目总工作量!B$6="数据分析类",H512*1.5*0.9/22,IF([1]项目总工作量!B$6="流程管理类",H512*1.5*0.8/22,IF([1]项目总工作量!B$6="渠道类",H512*1.5*0.7/22,FALSE))))</f>
        <v>0.34090909090909088</v>
      </c>
      <c r="J512" s="86" t="s">
        <v>44</v>
      </c>
    </row>
    <row r="513" spans="1:10" s="87" customFormat="1" ht="14" x14ac:dyDescent="0.15">
      <c r="A513" s="120"/>
      <c r="B513" s="119"/>
      <c r="C513" s="119"/>
      <c r="D513" s="154">
        <f t="shared" si="19"/>
        <v>0.34090909090909088</v>
      </c>
      <c r="E513" s="85"/>
      <c r="F513" s="97" t="s">
        <v>201</v>
      </c>
      <c r="G513" s="86" t="s">
        <v>67</v>
      </c>
      <c r="H513" s="86">
        <f t="shared" si="20"/>
        <v>5</v>
      </c>
      <c r="I513" s="86">
        <f>IF([1]项目总工作量!B$6="交易类",H513*1.5/22,IF([1]项目总工作量!B$6="数据分析类",H513*1.5*0.9/22,IF([1]项目总工作量!B$6="流程管理类",H513*1.5*0.8/22,IF([1]项目总工作量!B$6="渠道类",H513*1.5*0.7/22,FALSE))))</f>
        <v>0.34090909090909088</v>
      </c>
      <c r="J513" s="86" t="s">
        <v>44</v>
      </c>
    </row>
    <row r="514" spans="1:10" s="87" customFormat="1" ht="14" x14ac:dyDescent="0.15">
      <c r="A514" s="120"/>
      <c r="B514" s="119"/>
      <c r="C514" s="119"/>
      <c r="D514" s="154">
        <f t="shared" si="19"/>
        <v>0.34090909090909088</v>
      </c>
      <c r="E514" s="85"/>
      <c r="F514" s="97" t="s">
        <v>200</v>
      </c>
      <c r="G514" s="86" t="s">
        <v>67</v>
      </c>
      <c r="H514" s="86">
        <f t="shared" si="20"/>
        <v>5</v>
      </c>
      <c r="I514" s="86">
        <f>IF([1]项目总工作量!B$6="交易类",H514*1.5/22,IF([1]项目总工作量!B$6="数据分析类",H514*1.5*0.9/22,IF([1]项目总工作量!B$6="流程管理类",H514*1.5*0.8/22,IF([1]项目总工作量!B$6="渠道类",H514*1.5*0.7/22,FALSE))))</f>
        <v>0.34090909090909088</v>
      </c>
      <c r="J514" s="86" t="s">
        <v>44</v>
      </c>
    </row>
    <row r="515" spans="1:10" s="87" customFormat="1" ht="14" x14ac:dyDescent="0.15">
      <c r="A515" s="120"/>
      <c r="B515" s="119"/>
      <c r="C515" s="119"/>
      <c r="D515" s="154">
        <f t="shared" si="19"/>
        <v>0.34090909090909088</v>
      </c>
      <c r="E515" s="85"/>
      <c r="F515" s="97" t="s">
        <v>199</v>
      </c>
      <c r="G515" s="86" t="s">
        <v>67</v>
      </c>
      <c r="H515" s="86">
        <f t="shared" si="20"/>
        <v>5</v>
      </c>
      <c r="I515" s="86">
        <f>IF([1]项目总工作量!B$6="交易类",H515*1.5/22,IF([1]项目总工作量!B$6="数据分析类",H515*1.5*0.9/22,IF([1]项目总工作量!B$6="流程管理类",H515*1.5*0.8/22,IF([1]项目总工作量!B$6="渠道类",H515*1.5*0.7/22,FALSE))))</f>
        <v>0.34090909090909088</v>
      </c>
      <c r="J515" s="86" t="s">
        <v>44</v>
      </c>
    </row>
    <row r="516" spans="1:10" s="87" customFormat="1" ht="14" x14ac:dyDescent="0.15">
      <c r="A516" s="120"/>
      <c r="B516" s="119"/>
      <c r="C516" s="119"/>
      <c r="D516" s="154">
        <f t="shared" si="19"/>
        <v>0.34090909090909088</v>
      </c>
      <c r="E516" s="85"/>
      <c r="F516" s="97" t="s">
        <v>198</v>
      </c>
      <c r="G516" s="86" t="s">
        <v>67</v>
      </c>
      <c r="H516" s="86">
        <f t="shared" si="20"/>
        <v>5</v>
      </c>
      <c r="I516" s="86">
        <f>IF([1]项目总工作量!B$6="交易类",H516*1.5/22,IF([1]项目总工作量!B$6="数据分析类",H516*1.5*0.9/22,IF([1]项目总工作量!B$6="流程管理类",H516*1.5*0.8/22,IF([1]项目总工作量!B$6="渠道类",H516*1.5*0.7/22,FALSE))))</f>
        <v>0.34090909090909088</v>
      </c>
      <c r="J516" s="86" t="s">
        <v>44</v>
      </c>
    </row>
    <row r="517" spans="1:10" s="140" customFormat="1" ht="14.25" customHeight="1" x14ac:dyDescent="0.15">
      <c r="A517" s="120"/>
      <c r="B517" s="119"/>
      <c r="C517" s="141" t="s">
        <v>197</v>
      </c>
      <c r="D517" s="155">
        <f t="shared" si="19"/>
        <v>0.34090909090909088</v>
      </c>
      <c r="E517" s="138"/>
      <c r="F517" s="44" t="s">
        <v>532</v>
      </c>
      <c r="G517" s="139" t="s">
        <v>67</v>
      </c>
      <c r="H517" s="139">
        <f t="shared" si="20"/>
        <v>5</v>
      </c>
      <c r="I517" s="86">
        <f>IF([1]项目总工作量!B$6="交易类",H517*1.5/22,IF([1]项目总工作量!B$6="数据分析类",H517*1.5*0.9/22,IF([1]项目总工作量!B$6="流程管理类",H517*1.5*0.8/22,IF([1]项目总工作量!B$6="渠道类",H517*1.5*0.7/22,FALSE))))</f>
        <v>0.34090909090909088</v>
      </c>
      <c r="J517" s="86" t="s">
        <v>44</v>
      </c>
    </row>
    <row r="518" spans="1:10" s="140" customFormat="1" ht="14" x14ac:dyDescent="0.15">
      <c r="A518" s="120"/>
      <c r="B518" s="119"/>
      <c r="C518" s="142"/>
      <c r="D518" s="155">
        <f t="shared" si="19"/>
        <v>0.34090909090909088</v>
      </c>
      <c r="E518" s="138"/>
      <c r="F518" s="44" t="s">
        <v>533</v>
      </c>
      <c r="G518" s="139" t="s">
        <v>67</v>
      </c>
      <c r="H518" s="139">
        <f t="shared" si="20"/>
        <v>5</v>
      </c>
      <c r="I518" s="86">
        <f>IF([1]项目总工作量!B$6="交易类",H518*1.5/22,IF([1]项目总工作量!B$6="数据分析类",H518*1.5*0.9/22,IF([1]项目总工作量!B$6="流程管理类",H518*1.5*0.8/22,IF([1]项目总工作量!B$6="渠道类",H518*1.5*0.7/22,FALSE))))</f>
        <v>0.34090909090909088</v>
      </c>
      <c r="J518" s="86" t="s">
        <v>44</v>
      </c>
    </row>
    <row r="519" spans="1:10" s="140" customFormat="1" ht="14" x14ac:dyDescent="0.15">
      <c r="A519" s="120"/>
      <c r="B519" s="119"/>
      <c r="C519" s="142"/>
      <c r="D519" s="155">
        <f t="shared" si="19"/>
        <v>0.34090909090909088</v>
      </c>
      <c r="E519" s="138"/>
      <c r="F519" s="44" t="s">
        <v>534</v>
      </c>
      <c r="G519" s="139" t="s">
        <v>67</v>
      </c>
      <c r="H519" s="139">
        <f t="shared" si="20"/>
        <v>5</v>
      </c>
      <c r="I519" s="86">
        <f>IF([1]项目总工作量!B$6="交易类",H519*1.5/22,IF([1]项目总工作量!B$6="数据分析类",H519*1.5*0.9/22,IF([1]项目总工作量!B$6="流程管理类",H519*1.5*0.8/22,IF([1]项目总工作量!B$6="渠道类",H519*1.5*0.7/22,FALSE))))</f>
        <v>0.34090909090909088</v>
      </c>
      <c r="J519" s="86" t="s">
        <v>44</v>
      </c>
    </row>
    <row r="520" spans="1:10" s="140" customFormat="1" ht="14" x14ac:dyDescent="0.15">
      <c r="A520" s="120"/>
      <c r="B520" s="119"/>
      <c r="C520" s="142"/>
      <c r="D520" s="155">
        <f t="shared" si="19"/>
        <v>0.34090909090909088</v>
      </c>
      <c r="E520" s="138"/>
      <c r="F520" s="44" t="s">
        <v>535</v>
      </c>
      <c r="G520" s="139" t="s">
        <v>67</v>
      </c>
      <c r="H520" s="139">
        <f t="shared" si="20"/>
        <v>5</v>
      </c>
      <c r="I520" s="86">
        <f>IF([1]项目总工作量!B$6="交易类",H520*1.5/22,IF([1]项目总工作量!B$6="数据分析类",H520*1.5*0.9/22,IF([1]项目总工作量!B$6="流程管理类",H520*1.5*0.8/22,IF([1]项目总工作量!B$6="渠道类",H520*1.5*0.7/22,FALSE))))</f>
        <v>0.34090909090909088</v>
      </c>
      <c r="J520" s="86" t="s">
        <v>44</v>
      </c>
    </row>
    <row r="521" spans="1:10" s="140" customFormat="1" ht="14" x14ac:dyDescent="0.15">
      <c r="A521" s="120"/>
      <c r="B521" s="119"/>
      <c r="C521" s="142"/>
      <c r="D521" s="155">
        <f t="shared" si="19"/>
        <v>0.34090909090909088</v>
      </c>
      <c r="E521" s="138"/>
      <c r="F521" s="44" t="s">
        <v>536</v>
      </c>
      <c r="G521" s="139" t="s">
        <v>67</v>
      </c>
      <c r="H521" s="139">
        <f t="shared" si="20"/>
        <v>5</v>
      </c>
      <c r="I521" s="86">
        <f>IF([1]项目总工作量!B$6="交易类",H521*1.5/22,IF([1]项目总工作量!B$6="数据分析类",H521*1.5*0.9/22,IF([1]项目总工作量!B$6="流程管理类",H521*1.5*0.8/22,IF([1]项目总工作量!B$6="渠道类",H521*1.5*0.7/22,FALSE))))</f>
        <v>0.34090909090909088</v>
      </c>
      <c r="J521" s="86" t="s">
        <v>44</v>
      </c>
    </row>
    <row r="522" spans="1:10" s="140" customFormat="1" ht="14" x14ac:dyDescent="0.15">
      <c r="A522" s="120"/>
      <c r="B522" s="119"/>
      <c r="C522" s="142"/>
      <c r="D522" s="155">
        <f t="shared" si="19"/>
        <v>0.34090909090909088</v>
      </c>
      <c r="E522" s="138"/>
      <c r="F522" s="44" t="s">
        <v>537</v>
      </c>
      <c r="G522" s="139" t="s">
        <v>67</v>
      </c>
      <c r="H522" s="139">
        <f t="shared" si="20"/>
        <v>5</v>
      </c>
      <c r="I522" s="86">
        <f>IF([1]项目总工作量!B$6="交易类",H522*1.5/22,IF([1]项目总工作量!B$6="数据分析类",H522*1.5*0.9/22,IF([1]项目总工作量!B$6="流程管理类",H522*1.5*0.8/22,IF([1]项目总工作量!B$6="渠道类",H522*1.5*0.7/22,FALSE))))</f>
        <v>0.34090909090909088</v>
      </c>
      <c r="J522" s="86" t="s">
        <v>44</v>
      </c>
    </row>
    <row r="523" spans="1:10" s="140" customFormat="1" ht="14" x14ac:dyDescent="0.15">
      <c r="A523" s="120"/>
      <c r="B523" s="119"/>
      <c r="C523" s="142"/>
      <c r="D523" s="155">
        <f t="shared" si="19"/>
        <v>0.34090909090909088</v>
      </c>
      <c r="E523" s="138"/>
      <c r="F523" s="44" t="s">
        <v>538</v>
      </c>
      <c r="G523" s="139" t="s">
        <v>67</v>
      </c>
      <c r="H523" s="139">
        <f t="shared" si="20"/>
        <v>5</v>
      </c>
      <c r="I523" s="86">
        <f>IF([1]项目总工作量!B$6="交易类",H523*1.5/22,IF([1]项目总工作量!B$6="数据分析类",H523*1.5*0.9/22,IF([1]项目总工作量!B$6="流程管理类",H523*1.5*0.8/22,IF([1]项目总工作量!B$6="渠道类",H523*1.5*0.7/22,FALSE))))</f>
        <v>0.34090909090909088</v>
      </c>
      <c r="J523" s="86" t="s">
        <v>44</v>
      </c>
    </row>
    <row r="524" spans="1:10" s="140" customFormat="1" ht="14" x14ac:dyDescent="0.15">
      <c r="A524" s="120"/>
      <c r="B524" s="119"/>
      <c r="C524" s="142"/>
      <c r="D524" s="155">
        <f t="shared" si="19"/>
        <v>0.34090909090909088</v>
      </c>
      <c r="E524" s="138"/>
      <c r="F524" s="44" t="s">
        <v>539</v>
      </c>
      <c r="G524" s="139" t="s">
        <v>67</v>
      </c>
      <c r="H524" s="139">
        <f t="shared" si="20"/>
        <v>5</v>
      </c>
      <c r="I524" s="86">
        <f>IF([1]项目总工作量!B$6="交易类",H524*1.5/22,IF([1]项目总工作量!B$6="数据分析类",H524*1.5*0.9/22,IF([1]项目总工作量!B$6="流程管理类",H524*1.5*0.8/22,IF([1]项目总工作量!B$6="渠道类",H524*1.5*0.7/22,FALSE))))</f>
        <v>0.34090909090909088</v>
      </c>
      <c r="J524" s="86" t="s">
        <v>44</v>
      </c>
    </row>
    <row r="525" spans="1:10" s="140" customFormat="1" ht="14.25" customHeight="1" x14ac:dyDescent="0.15">
      <c r="A525" s="120"/>
      <c r="B525" s="119"/>
      <c r="C525" s="142"/>
      <c r="D525" s="155">
        <f t="shared" si="19"/>
        <v>0.34090909090909088</v>
      </c>
      <c r="E525" s="138"/>
      <c r="F525" s="44" t="s">
        <v>540</v>
      </c>
      <c r="G525" s="139" t="s">
        <v>67</v>
      </c>
      <c r="H525" s="139">
        <f t="shared" si="20"/>
        <v>5</v>
      </c>
      <c r="I525" s="86">
        <f>IF([1]项目总工作量!B$6="交易类",H525*1.5/22,IF([1]项目总工作量!B$6="数据分析类",H525*1.5*0.9/22,IF([1]项目总工作量!B$6="流程管理类",H525*1.5*0.8/22,IF([1]项目总工作量!B$6="渠道类",H525*1.5*0.7/22,FALSE))))</f>
        <v>0.34090909090909088</v>
      </c>
      <c r="J525" s="86" t="s">
        <v>44</v>
      </c>
    </row>
    <row r="526" spans="1:10" s="87" customFormat="1" ht="14" x14ac:dyDescent="0.15">
      <c r="A526" s="120"/>
      <c r="B526" s="119"/>
      <c r="C526" s="143"/>
      <c r="D526" s="154">
        <f>I526</f>
        <v>0.34090909090909088</v>
      </c>
      <c r="E526" s="85"/>
      <c r="F526" s="97" t="s">
        <v>196</v>
      </c>
      <c r="G526" s="86" t="s">
        <v>67</v>
      </c>
      <c r="H526" s="86">
        <f t="shared" si="20"/>
        <v>5</v>
      </c>
      <c r="I526" s="86">
        <f>IF([1]项目总工作量!B$6="交易类",H526*1.5/22,IF([1]项目总工作量!B$6="数据分析类",H526*1.5*0.9/22,IF([1]项目总工作量!B$6="流程管理类",H526*1.5*0.8/22,IF([1]项目总工作量!B$6="渠道类",H526*1.5*0.7/22,FALSE))))</f>
        <v>0.34090909090909088</v>
      </c>
      <c r="J526" s="86" t="s">
        <v>44</v>
      </c>
    </row>
    <row r="527" spans="1:10" s="41" customFormat="1" ht="14" x14ac:dyDescent="0.15">
      <c r="A527" s="123" t="s">
        <v>41</v>
      </c>
      <c r="B527" s="123"/>
      <c r="C527" s="123"/>
      <c r="D527" s="36">
        <f>SUM(D4:D526)</f>
        <v>140.31818181818076</v>
      </c>
      <c r="E527" s="36">
        <f>SUM(E4:E526)</f>
        <v>10.25</v>
      </c>
      <c r="F527" s="57"/>
      <c r="G527" s="57"/>
      <c r="H527" s="39">
        <f>SUM(H4:H526)</f>
        <v>2182</v>
      </c>
      <c r="I527" s="39">
        <f>SUM(I4:I526)</f>
        <v>148.77272727272671</v>
      </c>
      <c r="J527" s="57"/>
    </row>
  </sheetData>
  <mergeCells count="38">
    <mergeCell ref="A437:A498"/>
    <mergeCell ref="B437:B498"/>
    <mergeCell ref="C437:C498"/>
    <mergeCell ref="C517:C526"/>
    <mergeCell ref="B95:B296"/>
    <mergeCell ref="C110:C113"/>
    <mergeCell ref="C114:C116"/>
    <mergeCell ref="A95:A296"/>
    <mergeCell ref="C193:C261"/>
    <mergeCell ref="C95:C109"/>
    <mergeCell ref="C118:C119"/>
    <mergeCell ref="C120:C174"/>
    <mergeCell ref="A4:A39"/>
    <mergeCell ref="B4:B39"/>
    <mergeCell ref="C4:C32"/>
    <mergeCell ref="C33:C39"/>
    <mergeCell ref="A40:A94"/>
    <mergeCell ref="B40:B94"/>
    <mergeCell ref="C40:C77"/>
    <mergeCell ref="C78:C94"/>
    <mergeCell ref="C262:C276"/>
    <mergeCell ref="C277:C296"/>
    <mergeCell ref="C320:C436"/>
    <mergeCell ref="B320:B436"/>
    <mergeCell ref="A320:A436"/>
    <mergeCell ref="A297:A311"/>
    <mergeCell ref="B297:B311"/>
    <mergeCell ref="C297:C311"/>
    <mergeCell ref="A527:C527"/>
    <mergeCell ref="A1:J1"/>
    <mergeCell ref="C312:C319"/>
    <mergeCell ref="A499:A526"/>
    <mergeCell ref="A312:A319"/>
    <mergeCell ref="B312:B319"/>
    <mergeCell ref="C499:C507"/>
    <mergeCell ref="C508:C516"/>
    <mergeCell ref="B499:B526"/>
    <mergeCell ref="C175:C192"/>
  </mergeCells>
  <phoneticPr fontId="2" type="noConversion"/>
  <conditionalFormatting sqref="E175:E261">
    <cfRule type="cellIs" dxfId="1" priority="2" stopIfTrue="1" operator="lessThan">
      <formula>0</formula>
    </cfRule>
  </conditionalFormatting>
  <conditionalFormatting sqref="E262:E311">
    <cfRule type="cellIs" dxfId="0" priority="1" stopIfTrue="1" operator="lessThan">
      <formula>0</formula>
    </cfRule>
  </conditionalFormatting>
  <dataValidations count="2">
    <dataValidation type="list" allowBlank="1" showInputMessage="1" showErrorMessage="1" sqref="G4:G529">
      <formula1>"EI,EQ,EO"</formula1>
    </dataValidation>
    <dataValidation type="list" allowBlank="1" showInputMessage="1" showErrorMessage="1" sqref="J4:J529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V27"/>
  <sheetViews>
    <sheetView workbookViewId="0">
      <pane ySplit="3" topLeftCell="A4" activePane="bottomLeft" state="frozen"/>
      <selection pane="bottomLeft" activeCell="K34" sqref="K34"/>
    </sheetView>
  </sheetViews>
  <sheetFormatPr baseColWidth="10" defaultColWidth="9" defaultRowHeight="15" x14ac:dyDescent="0.15"/>
  <cols>
    <col min="1" max="1" width="6.1640625" style="28" customWidth="1"/>
    <col min="2" max="2" width="32.1640625" style="28" customWidth="1"/>
    <col min="3" max="3" width="26.5" style="28" customWidth="1"/>
    <col min="4" max="4" width="8.6640625" style="60" customWidth="1"/>
    <col min="5" max="6" width="20.1640625" style="37" customWidth="1"/>
    <col min="7" max="7" width="12.5" style="28" customWidth="1"/>
    <col min="8" max="8" width="9.6640625" style="28" customWidth="1"/>
    <col min="9" max="16384" width="9" style="28"/>
  </cols>
  <sheetData>
    <row r="1" spans="1:256" ht="31.5" customHeight="1" x14ac:dyDescent="0.15">
      <c r="A1" s="131" t="s">
        <v>6</v>
      </c>
      <c r="B1" s="131"/>
      <c r="C1" s="131"/>
      <c r="D1" s="131"/>
      <c r="E1" s="131"/>
      <c r="F1" s="131"/>
      <c r="G1" s="131"/>
      <c r="H1" s="131"/>
    </row>
    <row r="2" spans="1:256" s="30" customFormat="1" ht="34.5" customHeight="1" x14ac:dyDescent="0.15">
      <c r="A2" s="29" t="s">
        <v>0</v>
      </c>
      <c r="B2" s="29" t="s">
        <v>1</v>
      </c>
      <c r="C2" s="29" t="s">
        <v>2</v>
      </c>
      <c r="D2" s="58" t="s">
        <v>50</v>
      </c>
      <c r="E2" s="74" t="s">
        <v>12</v>
      </c>
      <c r="F2" s="74" t="s">
        <v>13</v>
      </c>
      <c r="G2" s="75" t="s">
        <v>5</v>
      </c>
      <c r="H2" s="75" t="s">
        <v>63</v>
      </c>
    </row>
    <row r="3" spans="1:256" s="30" customFormat="1" ht="74.25" customHeight="1" x14ac:dyDescent="0.15">
      <c r="A3" s="23"/>
      <c r="B3" s="31" t="s">
        <v>57</v>
      </c>
      <c r="C3" s="24" t="s">
        <v>47</v>
      </c>
      <c r="D3" s="62" t="s">
        <v>55</v>
      </c>
      <c r="E3" s="62" t="s">
        <v>55</v>
      </c>
      <c r="F3" s="35" t="s">
        <v>48</v>
      </c>
      <c r="G3" s="76" t="s">
        <v>46</v>
      </c>
      <c r="H3" s="76" t="s">
        <v>65</v>
      </c>
    </row>
    <row r="4" spans="1:256" s="79" customFormat="1" ht="17" customHeight="1" x14ac:dyDescent="0.15">
      <c r="A4" s="82">
        <v>1</v>
      </c>
      <c r="B4" s="77" t="s">
        <v>399</v>
      </c>
      <c r="C4" s="77" t="s">
        <v>68</v>
      </c>
      <c r="D4" s="63">
        <f t="shared" ref="D4:D26" si="0">IF(C4="ILF",10,IF(C4="EIF",7,0))</f>
        <v>10</v>
      </c>
      <c r="E4" s="70">
        <f>IF(项目总工作量!$B$6="交易类",D4*1.5/22,IF(项目总工作量!$B$6="数据分析类",D4*1.5*0.9/22,IF(项目总工作量!$B$6="流程管理类",D4*1.5*0.8/22,IF(项目总工作量!$B$6="渠道类",FALSE))))</f>
        <v>0.68181818181818177</v>
      </c>
      <c r="F4" s="83">
        <v>1</v>
      </c>
      <c r="G4" s="80"/>
      <c r="H4" s="80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8"/>
      <c r="CW4" s="78"/>
      <c r="CX4" s="78"/>
      <c r="CY4" s="78"/>
      <c r="CZ4" s="78"/>
      <c r="DA4" s="78"/>
      <c r="DB4" s="78"/>
      <c r="DC4" s="78"/>
      <c r="DD4" s="78"/>
      <c r="DE4" s="78"/>
      <c r="DF4" s="78"/>
      <c r="DG4" s="78"/>
      <c r="DH4" s="78"/>
      <c r="DI4" s="78"/>
      <c r="DJ4" s="78"/>
      <c r="DK4" s="78"/>
      <c r="DL4" s="78"/>
      <c r="DM4" s="78"/>
      <c r="DN4" s="78"/>
      <c r="DO4" s="78"/>
      <c r="DP4" s="78"/>
      <c r="DQ4" s="78"/>
      <c r="DR4" s="78"/>
      <c r="DS4" s="78"/>
      <c r="DT4" s="78"/>
      <c r="DU4" s="78"/>
      <c r="DV4" s="78"/>
      <c r="DW4" s="78"/>
      <c r="DX4" s="78"/>
      <c r="DY4" s="78"/>
      <c r="DZ4" s="78"/>
      <c r="EA4" s="78"/>
      <c r="EB4" s="78"/>
      <c r="EC4" s="78"/>
      <c r="ED4" s="78"/>
      <c r="EE4" s="78"/>
      <c r="EF4" s="78"/>
      <c r="EG4" s="78"/>
      <c r="EH4" s="78"/>
      <c r="EI4" s="78"/>
      <c r="EJ4" s="78"/>
      <c r="EK4" s="78"/>
      <c r="EL4" s="78"/>
      <c r="EM4" s="78"/>
      <c r="EN4" s="78"/>
      <c r="EO4" s="78"/>
      <c r="EP4" s="78"/>
      <c r="EQ4" s="78"/>
      <c r="ER4" s="78"/>
      <c r="ES4" s="78"/>
      <c r="ET4" s="78"/>
      <c r="EU4" s="78"/>
      <c r="EV4" s="78"/>
      <c r="EW4" s="78"/>
      <c r="EX4" s="78"/>
      <c r="EY4" s="78"/>
      <c r="EZ4" s="78"/>
      <c r="FA4" s="78"/>
      <c r="FB4" s="78"/>
      <c r="FC4" s="78"/>
      <c r="FD4" s="78"/>
      <c r="FE4" s="78"/>
      <c r="FF4" s="78"/>
      <c r="FG4" s="78"/>
      <c r="FH4" s="78"/>
      <c r="FI4" s="78"/>
      <c r="FJ4" s="78"/>
      <c r="FK4" s="78"/>
      <c r="FL4" s="78"/>
      <c r="FM4" s="78"/>
      <c r="FN4" s="78"/>
      <c r="FO4" s="78"/>
      <c r="FP4" s="78"/>
      <c r="FQ4" s="78"/>
      <c r="FR4" s="78"/>
      <c r="FS4" s="78"/>
      <c r="FT4" s="78"/>
      <c r="FU4" s="78"/>
      <c r="FV4" s="78"/>
      <c r="FW4" s="78"/>
      <c r="FX4" s="78"/>
      <c r="FY4" s="78"/>
      <c r="FZ4" s="78"/>
      <c r="GA4" s="78"/>
      <c r="GB4" s="78"/>
      <c r="GC4" s="78"/>
      <c r="GD4" s="78"/>
      <c r="GE4" s="78"/>
      <c r="GF4" s="78"/>
      <c r="GG4" s="78"/>
      <c r="GH4" s="78"/>
      <c r="GI4" s="78"/>
      <c r="GJ4" s="78"/>
      <c r="GK4" s="78"/>
      <c r="GL4" s="78"/>
      <c r="GM4" s="78"/>
      <c r="GN4" s="78"/>
      <c r="GO4" s="78"/>
      <c r="GP4" s="78"/>
      <c r="GQ4" s="78"/>
      <c r="GR4" s="78"/>
      <c r="GS4" s="78"/>
      <c r="GT4" s="78"/>
      <c r="GU4" s="78"/>
      <c r="GV4" s="78"/>
      <c r="GW4" s="78"/>
      <c r="GX4" s="78"/>
      <c r="GY4" s="78"/>
      <c r="GZ4" s="78"/>
      <c r="HA4" s="78"/>
      <c r="HB4" s="78"/>
      <c r="HC4" s="78"/>
      <c r="HD4" s="78"/>
      <c r="HE4" s="78"/>
      <c r="HF4" s="78"/>
      <c r="HG4" s="78"/>
      <c r="HH4" s="78"/>
      <c r="HI4" s="78"/>
      <c r="HJ4" s="78"/>
      <c r="HK4" s="78"/>
      <c r="HL4" s="78"/>
      <c r="HM4" s="78"/>
      <c r="HN4" s="78"/>
      <c r="HO4" s="78"/>
      <c r="HP4" s="78"/>
      <c r="HQ4" s="78"/>
      <c r="HR4" s="78"/>
      <c r="HS4" s="78"/>
      <c r="HT4" s="78"/>
      <c r="HU4" s="78"/>
      <c r="HV4" s="78"/>
      <c r="HW4" s="78"/>
      <c r="HX4" s="78"/>
      <c r="HY4" s="78"/>
      <c r="HZ4" s="78"/>
      <c r="IA4" s="78"/>
      <c r="IB4" s="78"/>
      <c r="IC4" s="78"/>
      <c r="ID4" s="78"/>
      <c r="IE4" s="78"/>
      <c r="IF4" s="78"/>
      <c r="IG4" s="78"/>
      <c r="IH4" s="78"/>
      <c r="II4" s="78"/>
      <c r="IJ4" s="78"/>
      <c r="IK4" s="78"/>
      <c r="IL4" s="78"/>
      <c r="IM4" s="78"/>
      <c r="IN4" s="78"/>
      <c r="IO4" s="78"/>
      <c r="IP4" s="78"/>
      <c r="IQ4" s="78"/>
      <c r="IR4" s="78"/>
      <c r="IS4" s="78"/>
      <c r="IT4" s="78"/>
      <c r="IU4" s="78"/>
      <c r="IV4" s="78"/>
    </row>
    <row r="5" spans="1:256" s="79" customFormat="1" ht="17" customHeight="1" x14ac:dyDescent="0.15">
      <c r="A5" s="82">
        <v>2</v>
      </c>
      <c r="B5" s="77" t="s">
        <v>400</v>
      </c>
      <c r="C5" s="77" t="s">
        <v>68</v>
      </c>
      <c r="D5" s="63">
        <f t="shared" si="0"/>
        <v>10</v>
      </c>
      <c r="E5" s="70">
        <f>IF(项目总工作量!$B$6="交易类",D5*1.5/22,IF(项目总工作量!$B$6="数据分析类",D5*1.5*0.9/22,IF(项目总工作量!$B$6="流程管理类",D5*1.5*0.8/22,IF(项目总工作量!$B$6="渠道类",FALSE))))</f>
        <v>0.68181818181818177</v>
      </c>
      <c r="F5" s="83">
        <v>1</v>
      </c>
      <c r="G5" s="80"/>
      <c r="H5" s="80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  <c r="CN5" s="78"/>
      <c r="CO5" s="78"/>
      <c r="CP5" s="78"/>
      <c r="CQ5" s="78"/>
      <c r="CR5" s="78"/>
      <c r="CS5" s="78"/>
      <c r="CT5" s="78"/>
      <c r="CU5" s="78"/>
      <c r="CV5" s="78"/>
      <c r="CW5" s="78"/>
      <c r="CX5" s="78"/>
      <c r="CY5" s="78"/>
      <c r="CZ5" s="78"/>
      <c r="DA5" s="78"/>
      <c r="DB5" s="78"/>
      <c r="DC5" s="78"/>
      <c r="DD5" s="78"/>
      <c r="DE5" s="78"/>
      <c r="DF5" s="78"/>
      <c r="DG5" s="78"/>
      <c r="DH5" s="78"/>
      <c r="DI5" s="78"/>
      <c r="DJ5" s="78"/>
      <c r="DK5" s="78"/>
      <c r="DL5" s="78"/>
      <c r="DM5" s="78"/>
      <c r="DN5" s="78"/>
      <c r="DO5" s="78"/>
      <c r="DP5" s="78"/>
      <c r="DQ5" s="78"/>
      <c r="DR5" s="78"/>
      <c r="DS5" s="78"/>
      <c r="DT5" s="78"/>
      <c r="DU5" s="78"/>
      <c r="DV5" s="78"/>
      <c r="DW5" s="78"/>
      <c r="DX5" s="78"/>
      <c r="DY5" s="78"/>
      <c r="DZ5" s="78"/>
      <c r="EA5" s="78"/>
      <c r="EB5" s="78"/>
      <c r="EC5" s="78"/>
      <c r="ED5" s="78"/>
      <c r="EE5" s="78"/>
      <c r="EF5" s="78"/>
      <c r="EG5" s="78"/>
      <c r="EH5" s="78"/>
      <c r="EI5" s="78"/>
      <c r="EJ5" s="78"/>
      <c r="EK5" s="78"/>
      <c r="EL5" s="78"/>
      <c r="EM5" s="78"/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78"/>
      <c r="FA5" s="78"/>
      <c r="FB5" s="78"/>
      <c r="FC5" s="78"/>
      <c r="FD5" s="78"/>
      <c r="FE5" s="78"/>
      <c r="FF5" s="78"/>
      <c r="FG5" s="78"/>
      <c r="FH5" s="78"/>
      <c r="FI5" s="78"/>
      <c r="FJ5" s="78"/>
      <c r="FK5" s="78"/>
      <c r="FL5" s="78"/>
      <c r="FM5" s="78"/>
      <c r="FN5" s="78"/>
      <c r="FO5" s="78"/>
      <c r="FP5" s="78"/>
      <c r="FQ5" s="78"/>
      <c r="FR5" s="78"/>
      <c r="FS5" s="78"/>
      <c r="FT5" s="78"/>
      <c r="FU5" s="78"/>
      <c r="FV5" s="78"/>
      <c r="FW5" s="78"/>
      <c r="FX5" s="78"/>
      <c r="FY5" s="78"/>
      <c r="FZ5" s="78"/>
      <c r="GA5" s="78"/>
      <c r="GB5" s="78"/>
      <c r="GC5" s="78"/>
      <c r="GD5" s="78"/>
      <c r="GE5" s="78"/>
      <c r="GF5" s="78"/>
      <c r="GG5" s="78"/>
      <c r="GH5" s="78"/>
      <c r="GI5" s="78"/>
      <c r="GJ5" s="78"/>
      <c r="GK5" s="78"/>
      <c r="GL5" s="78"/>
      <c r="GM5" s="78"/>
      <c r="GN5" s="78"/>
      <c r="GO5" s="78"/>
      <c r="GP5" s="78"/>
      <c r="GQ5" s="78"/>
      <c r="GR5" s="78"/>
      <c r="GS5" s="78"/>
      <c r="GT5" s="78"/>
      <c r="GU5" s="78"/>
      <c r="GV5" s="78"/>
      <c r="GW5" s="78"/>
      <c r="GX5" s="78"/>
      <c r="GY5" s="78"/>
      <c r="GZ5" s="78"/>
      <c r="HA5" s="78"/>
      <c r="HB5" s="78"/>
      <c r="HC5" s="78"/>
      <c r="HD5" s="78"/>
      <c r="HE5" s="78"/>
      <c r="HF5" s="78"/>
      <c r="HG5" s="78"/>
      <c r="HH5" s="78"/>
      <c r="HI5" s="78"/>
      <c r="HJ5" s="78"/>
      <c r="HK5" s="78"/>
      <c r="HL5" s="78"/>
      <c r="HM5" s="78"/>
      <c r="HN5" s="78"/>
      <c r="HO5" s="78"/>
      <c r="HP5" s="78"/>
      <c r="HQ5" s="78"/>
      <c r="HR5" s="78"/>
      <c r="HS5" s="78"/>
      <c r="HT5" s="78"/>
      <c r="HU5" s="78"/>
      <c r="HV5" s="78"/>
      <c r="HW5" s="78"/>
      <c r="HX5" s="78"/>
      <c r="HY5" s="78"/>
      <c r="HZ5" s="78"/>
      <c r="IA5" s="78"/>
      <c r="IB5" s="78"/>
      <c r="IC5" s="78"/>
      <c r="ID5" s="78"/>
      <c r="IE5" s="78"/>
      <c r="IF5" s="78"/>
      <c r="IG5" s="78"/>
      <c r="IH5" s="78"/>
      <c r="II5" s="78"/>
      <c r="IJ5" s="78"/>
      <c r="IK5" s="78"/>
      <c r="IL5" s="78"/>
      <c r="IM5" s="78"/>
      <c r="IN5" s="78"/>
      <c r="IO5" s="78"/>
      <c r="IP5" s="78"/>
      <c r="IQ5" s="78"/>
      <c r="IR5" s="78"/>
      <c r="IS5" s="78"/>
      <c r="IT5" s="78"/>
      <c r="IU5" s="78"/>
      <c r="IV5" s="78"/>
    </row>
    <row r="6" spans="1:256" s="79" customFormat="1" ht="17" customHeight="1" x14ac:dyDescent="0.15">
      <c r="A6" s="82">
        <v>3</v>
      </c>
      <c r="B6" s="77" t="s">
        <v>401</v>
      </c>
      <c r="C6" s="77" t="s">
        <v>68</v>
      </c>
      <c r="D6" s="63">
        <f t="shared" si="0"/>
        <v>10</v>
      </c>
      <c r="E6" s="70">
        <f>IF(项目总工作量!$B$6="交易类",D6*1.5/22,IF(项目总工作量!$B$6="数据分析类",D6*1.5*0.9/22,IF(项目总工作量!$B$6="流程管理类",D6*1.5*0.8/22,IF(项目总工作量!$B$6="渠道类",FALSE))))</f>
        <v>0.68181818181818177</v>
      </c>
      <c r="F6" s="83">
        <v>1</v>
      </c>
      <c r="G6" s="80"/>
      <c r="H6" s="80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8"/>
      <c r="BZ6" s="78"/>
      <c r="CA6" s="78"/>
      <c r="CB6" s="78"/>
      <c r="CC6" s="78"/>
      <c r="CD6" s="78"/>
      <c r="CE6" s="78"/>
      <c r="CF6" s="78"/>
      <c r="CG6" s="78"/>
      <c r="CH6" s="78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78"/>
      <c r="CU6" s="78"/>
      <c r="CV6" s="78"/>
      <c r="CW6" s="78"/>
      <c r="CX6" s="78"/>
      <c r="CY6" s="78"/>
      <c r="CZ6" s="78"/>
      <c r="DA6" s="78"/>
      <c r="DB6" s="78"/>
      <c r="DC6" s="78"/>
      <c r="DD6" s="78"/>
      <c r="DE6" s="78"/>
      <c r="DF6" s="78"/>
      <c r="DG6" s="78"/>
      <c r="DH6" s="78"/>
      <c r="DI6" s="78"/>
      <c r="DJ6" s="78"/>
      <c r="DK6" s="78"/>
      <c r="DL6" s="78"/>
      <c r="DM6" s="78"/>
      <c r="DN6" s="78"/>
      <c r="DO6" s="78"/>
      <c r="DP6" s="78"/>
      <c r="DQ6" s="78"/>
      <c r="DR6" s="78"/>
      <c r="DS6" s="78"/>
      <c r="DT6" s="78"/>
      <c r="DU6" s="78"/>
      <c r="DV6" s="78"/>
      <c r="DW6" s="78"/>
      <c r="DX6" s="78"/>
      <c r="DY6" s="78"/>
      <c r="DZ6" s="78"/>
      <c r="EA6" s="78"/>
      <c r="EB6" s="78"/>
      <c r="EC6" s="78"/>
      <c r="ED6" s="78"/>
      <c r="EE6" s="78"/>
      <c r="EF6" s="78"/>
      <c r="EG6" s="78"/>
      <c r="EH6" s="78"/>
      <c r="EI6" s="78"/>
      <c r="EJ6" s="78"/>
      <c r="EK6" s="78"/>
      <c r="EL6" s="78"/>
      <c r="EM6" s="78"/>
      <c r="EN6" s="78"/>
      <c r="EO6" s="78"/>
      <c r="EP6" s="78"/>
      <c r="EQ6" s="78"/>
      <c r="ER6" s="78"/>
      <c r="ES6" s="78"/>
      <c r="ET6" s="78"/>
      <c r="EU6" s="78"/>
      <c r="EV6" s="78"/>
      <c r="EW6" s="78"/>
      <c r="EX6" s="78"/>
      <c r="EY6" s="78"/>
      <c r="EZ6" s="78"/>
      <c r="FA6" s="78"/>
      <c r="FB6" s="78"/>
      <c r="FC6" s="78"/>
      <c r="FD6" s="78"/>
      <c r="FE6" s="78"/>
      <c r="FF6" s="78"/>
      <c r="FG6" s="78"/>
      <c r="FH6" s="78"/>
      <c r="FI6" s="78"/>
      <c r="FJ6" s="78"/>
      <c r="FK6" s="78"/>
      <c r="FL6" s="78"/>
      <c r="FM6" s="78"/>
      <c r="FN6" s="78"/>
      <c r="FO6" s="78"/>
      <c r="FP6" s="78"/>
      <c r="FQ6" s="78"/>
      <c r="FR6" s="78"/>
      <c r="FS6" s="78"/>
      <c r="FT6" s="78"/>
      <c r="FU6" s="78"/>
      <c r="FV6" s="78"/>
      <c r="FW6" s="78"/>
      <c r="FX6" s="78"/>
      <c r="FY6" s="78"/>
      <c r="FZ6" s="78"/>
      <c r="GA6" s="78"/>
      <c r="GB6" s="78"/>
      <c r="GC6" s="78"/>
      <c r="GD6" s="78"/>
      <c r="GE6" s="78"/>
      <c r="GF6" s="78"/>
      <c r="GG6" s="78"/>
      <c r="GH6" s="78"/>
      <c r="GI6" s="78"/>
      <c r="GJ6" s="78"/>
      <c r="GK6" s="78"/>
      <c r="GL6" s="78"/>
      <c r="GM6" s="78"/>
      <c r="GN6" s="78"/>
      <c r="GO6" s="78"/>
      <c r="GP6" s="78"/>
      <c r="GQ6" s="78"/>
      <c r="GR6" s="78"/>
      <c r="GS6" s="78"/>
      <c r="GT6" s="78"/>
      <c r="GU6" s="78"/>
      <c r="GV6" s="78"/>
      <c r="GW6" s="78"/>
      <c r="GX6" s="78"/>
      <c r="GY6" s="78"/>
      <c r="GZ6" s="78"/>
      <c r="HA6" s="78"/>
      <c r="HB6" s="78"/>
      <c r="HC6" s="78"/>
      <c r="HD6" s="78"/>
      <c r="HE6" s="78"/>
      <c r="HF6" s="78"/>
      <c r="HG6" s="78"/>
      <c r="HH6" s="78"/>
      <c r="HI6" s="78"/>
      <c r="HJ6" s="78"/>
      <c r="HK6" s="78"/>
      <c r="HL6" s="78"/>
      <c r="HM6" s="78"/>
      <c r="HN6" s="78"/>
      <c r="HO6" s="78"/>
      <c r="HP6" s="78"/>
      <c r="HQ6" s="78"/>
      <c r="HR6" s="78"/>
      <c r="HS6" s="78"/>
      <c r="HT6" s="78"/>
      <c r="HU6" s="78"/>
      <c r="HV6" s="78"/>
      <c r="HW6" s="78"/>
      <c r="HX6" s="78"/>
      <c r="HY6" s="78"/>
      <c r="HZ6" s="78"/>
      <c r="IA6" s="78"/>
      <c r="IB6" s="78"/>
      <c r="IC6" s="78"/>
      <c r="ID6" s="78"/>
      <c r="IE6" s="78"/>
      <c r="IF6" s="78"/>
      <c r="IG6" s="78"/>
      <c r="IH6" s="78"/>
      <c r="II6" s="78"/>
      <c r="IJ6" s="78"/>
      <c r="IK6" s="78"/>
      <c r="IL6" s="78"/>
      <c r="IM6" s="78"/>
      <c r="IN6" s="78"/>
      <c r="IO6" s="78"/>
      <c r="IP6" s="78"/>
      <c r="IQ6" s="78"/>
      <c r="IR6" s="78"/>
      <c r="IS6" s="78"/>
      <c r="IT6" s="78"/>
      <c r="IU6" s="78"/>
      <c r="IV6" s="78"/>
    </row>
    <row r="7" spans="1:256" s="79" customFormat="1" ht="17" customHeight="1" x14ac:dyDescent="0.15">
      <c r="A7" s="82">
        <v>4</v>
      </c>
      <c r="B7" s="77" t="s">
        <v>402</v>
      </c>
      <c r="C7" s="77" t="s">
        <v>68</v>
      </c>
      <c r="D7" s="63">
        <f t="shared" si="0"/>
        <v>10</v>
      </c>
      <c r="E7" s="70">
        <f>IF(项目总工作量!$B$6="交易类",D7*1.5/22,IF(项目总工作量!$B$6="数据分析类",D7*1.5*0.9/22,IF(项目总工作量!$B$6="流程管理类",D7*1.5*0.8/22,IF(项目总工作量!$B$6="渠道类",FALSE))))</f>
        <v>0.68181818181818177</v>
      </c>
      <c r="F7" s="83">
        <v>1</v>
      </c>
      <c r="G7" s="80"/>
      <c r="H7" s="80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78"/>
      <c r="CU7" s="78"/>
      <c r="CV7" s="78"/>
      <c r="CW7" s="78"/>
      <c r="CX7" s="78"/>
      <c r="CY7" s="78"/>
      <c r="CZ7" s="78"/>
      <c r="DA7" s="78"/>
      <c r="DB7" s="78"/>
      <c r="DC7" s="78"/>
      <c r="DD7" s="78"/>
      <c r="DE7" s="78"/>
      <c r="DF7" s="78"/>
      <c r="DG7" s="78"/>
      <c r="DH7" s="78"/>
      <c r="DI7" s="78"/>
      <c r="DJ7" s="78"/>
      <c r="DK7" s="78"/>
      <c r="DL7" s="78"/>
      <c r="DM7" s="78"/>
      <c r="DN7" s="78"/>
      <c r="DO7" s="78"/>
      <c r="DP7" s="78"/>
      <c r="DQ7" s="78"/>
      <c r="DR7" s="78"/>
      <c r="DS7" s="78"/>
      <c r="DT7" s="78"/>
      <c r="DU7" s="78"/>
      <c r="DV7" s="78"/>
      <c r="DW7" s="78"/>
      <c r="DX7" s="78"/>
      <c r="DY7" s="78"/>
      <c r="DZ7" s="78"/>
      <c r="EA7" s="78"/>
      <c r="EB7" s="78"/>
      <c r="EC7" s="78"/>
      <c r="ED7" s="78"/>
      <c r="EE7" s="78"/>
      <c r="EF7" s="78"/>
      <c r="EG7" s="78"/>
      <c r="EH7" s="78"/>
      <c r="EI7" s="78"/>
      <c r="EJ7" s="78"/>
      <c r="EK7" s="78"/>
      <c r="EL7" s="78"/>
      <c r="EM7" s="78"/>
      <c r="EN7" s="78"/>
      <c r="EO7" s="78"/>
      <c r="EP7" s="78"/>
      <c r="EQ7" s="78"/>
      <c r="ER7" s="78"/>
      <c r="ES7" s="78"/>
      <c r="ET7" s="78"/>
      <c r="EU7" s="78"/>
      <c r="EV7" s="78"/>
      <c r="EW7" s="78"/>
      <c r="EX7" s="78"/>
      <c r="EY7" s="78"/>
      <c r="EZ7" s="78"/>
      <c r="FA7" s="78"/>
      <c r="FB7" s="78"/>
      <c r="FC7" s="78"/>
      <c r="FD7" s="78"/>
      <c r="FE7" s="78"/>
      <c r="FF7" s="78"/>
      <c r="FG7" s="78"/>
      <c r="FH7" s="78"/>
      <c r="FI7" s="78"/>
      <c r="FJ7" s="78"/>
      <c r="FK7" s="78"/>
      <c r="FL7" s="78"/>
      <c r="FM7" s="78"/>
      <c r="FN7" s="78"/>
      <c r="FO7" s="78"/>
      <c r="FP7" s="78"/>
      <c r="FQ7" s="78"/>
      <c r="FR7" s="78"/>
      <c r="FS7" s="78"/>
      <c r="FT7" s="78"/>
      <c r="FU7" s="78"/>
      <c r="FV7" s="78"/>
      <c r="FW7" s="78"/>
      <c r="FX7" s="78"/>
      <c r="FY7" s="78"/>
      <c r="FZ7" s="78"/>
      <c r="GA7" s="78"/>
      <c r="GB7" s="78"/>
      <c r="GC7" s="78"/>
      <c r="GD7" s="78"/>
      <c r="GE7" s="78"/>
      <c r="GF7" s="78"/>
      <c r="GG7" s="78"/>
      <c r="GH7" s="78"/>
      <c r="GI7" s="78"/>
      <c r="GJ7" s="78"/>
      <c r="GK7" s="78"/>
      <c r="GL7" s="78"/>
      <c r="GM7" s="78"/>
      <c r="GN7" s="78"/>
      <c r="GO7" s="78"/>
      <c r="GP7" s="78"/>
      <c r="GQ7" s="78"/>
      <c r="GR7" s="78"/>
      <c r="GS7" s="78"/>
      <c r="GT7" s="78"/>
      <c r="GU7" s="78"/>
      <c r="GV7" s="78"/>
      <c r="GW7" s="78"/>
      <c r="GX7" s="78"/>
      <c r="GY7" s="78"/>
      <c r="GZ7" s="78"/>
      <c r="HA7" s="78"/>
      <c r="HB7" s="78"/>
      <c r="HC7" s="78"/>
      <c r="HD7" s="78"/>
      <c r="HE7" s="78"/>
      <c r="HF7" s="78"/>
      <c r="HG7" s="78"/>
      <c r="HH7" s="78"/>
      <c r="HI7" s="78"/>
      <c r="HJ7" s="78"/>
      <c r="HK7" s="78"/>
      <c r="HL7" s="78"/>
      <c r="HM7" s="78"/>
      <c r="HN7" s="78"/>
      <c r="HO7" s="78"/>
      <c r="HP7" s="78"/>
      <c r="HQ7" s="78"/>
      <c r="HR7" s="78"/>
      <c r="HS7" s="78"/>
      <c r="HT7" s="78"/>
      <c r="HU7" s="78"/>
      <c r="HV7" s="78"/>
      <c r="HW7" s="78"/>
      <c r="HX7" s="78"/>
      <c r="HY7" s="78"/>
      <c r="HZ7" s="78"/>
      <c r="IA7" s="78"/>
      <c r="IB7" s="78"/>
      <c r="IC7" s="78"/>
      <c r="ID7" s="78"/>
      <c r="IE7" s="78"/>
      <c r="IF7" s="78"/>
      <c r="IG7" s="78"/>
      <c r="IH7" s="78"/>
      <c r="II7" s="78"/>
      <c r="IJ7" s="78"/>
      <c r="IK7" s="78"/>
      <c r="IL7" s="78"/>
      <c r="IM7" s="78"/>
      <c r="IN7" s="78"/>
      <c r="IO7" s="78"/>
      <c r="IP7" s="78"/>
      <c r="IQ7" s="78"/>
      <c r="IR7" s="78"/>
      <c r="IS7" s="78"/>
      <c r="IT7" s="78"/>
      <c r="IU7" s="78"/>
      <c r="IV7" s="78"/>
    </row>
    <row r="8" spans="1:256" s="79" customFormat="1" ht="17" customHeight="1" x14ac:dyDescent="0.15">
      <c r="A8" s="82">
        <v>5</v>
      </c>
      <c r="B8" s="77" t="s">
        <v>403</v>
      </c>
      <c r="C8" s="77" t="s">
        <v>68</v>
      </c>
      <c r="D8" s="63">
        <f t="shared" si="0"/>
        <v>10</v>
      </c>
      <c r="E8" s="70">
        <f>IF(项目总工作量!$B$6="交易类",D8*1.5/22,IF(项目总工作量!$B$6="数据分析类",D8*1.5*0.9/22,IF(项目总工作量!$B$6="流程管理类",D8*1.5*0.8/22,IF(项目总工作量!$B$6="渠道类",FALSE))))</f>
        <v>0.68181818181818177</v>
      </c>
      <c r="F8" s="83">
        <v>1</v>
      </c>
      <c r="G8" s="80"/>
      <c r="H8" s="80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78"/>
      <c r="CW8" s="78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78"/>
      <c r="DI8" s="78"/>
      <c r="DJ8" s="78"/>
      <c r="DK8" s="78"/>
      <c r="DL8" s="78"/>
      <c r="DM8" s="78"/>
      <c r="DN8" s="78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78"/>
      <c r="DZ8" s="78"/>
      <c r="EA8" s="78"/>
      <c r="EB8" s="78"/>
      <c r="EC8" s="78"/>
      <c r="ED8" s="78"/>
      <c r="EE8" s="78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78"/>
      <c r="EQ8" s="78"/>
      <c r="ER8" s="78"/>
      <c r="ES8" s="78"/>
      <c r="ET8" s="78"/>
      <c r="EU8" s="78"/>
      <c r="EV8" s="78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78"/>
      <c r="FH8" s="78"/>
      <c r="FI8" s="78"/>
      <c r="FJ8" s="78"/>
      <c r="FK8" s="78"/>
      <c r="FL8" s="78"/>
      <c r="FM8" s="78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78"/>
      <c r="GA8" s="78"/>
      <c r="GB8" s="78"/>
      <c r="GC8" s="78"/>
      <c r="GD8" s="78"/>
      <c r="GE8" s="78"/>
      <c r="GF8" s="78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78"/>
      <c r="GT8" s="78"/>
      <c r="GU8" s="78"/>
      <c r="GV8" s="78"/>
      <c r="GW8" s="78"/>
      <c r="GX8" s="78"/>
      <c r="GY8" s="78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78"/>
      <c r="HM8" s="78"/>
      <c r="HN8" s="78"/>
      <c r="HO8" s="78"/>
      <c r="HP8" s="78"/>
      <c r="HQ8" s="78"/>
      <c r="HR8" s="78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78"/>
      <c r="IF8" s="78"/>
      <c r="IG8" s="78"/>
      <c r="IH8" s="78"/>
      <c r="II8" s="78"/>
      <c r="IJ8" s="78"/>
      <c r="IK8" s="78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</row>
    <row r="9" spans="1:256" s="79" customFormat="1" ht="17" customHeight="1" x14ac:dyDescent="0.15">
      <c r="A9" s="82">
        <v>6</v>
      </c>
      <c r="B9" s="77" t="s">
        <v>404</v>
      </c>
      <c r="C9" s="77" t="s">
        <v>68</v>
      </c>
      <c r="D9" s="63">
        <f t="shared" si="0"/>
        <v>10</v>
      </c>
      <c r="E9" s="70">
        <f>IF(项目总工作量!$B$6="交易类",D9*1.5/22,IF(项目总工作量!$B$6="数据分析类",D9*1.5*0.9/22,IF(项目总工作量!$B$6="流程管理类",D9*1.5*0.8/22,IF(项目总工作量!$B$6="渠道类",FALSE))))</f>
        <v>0.68181818181818177</v>
      </c>
      <c r="F9" s="83">
        <v>1</v>
      </c>
      <c r="G9" s="80"/>
      <c r="H9" s="80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8"/>
      <c r="CV9" s="78"/>
      <c r="CW9" s="78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78"/>
      <c r="DI9" s="78"/>
      <c r="DJ9" s="78"/>
      <c r="DK9" s="78"/>
      <c r="DL9" s="78"/>
      <c r="DM9" s="78"/>
      <c r="DN9" s="78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78"/>
      <c r="DZ9" s="78"/>
      <c r="EA9" s="78"/>
      <c r="EB9" s="78"/>
      <c r="EC9" s="78"/>
      <c r="ED9" s="78"/>
      <c r="EE9" s="78"/>
      <c r="EF9" s="78"/>
      <c r="EG9" s="78"/>
      <c r="EH9" s="78"/>
      <c r="EI9" s="78"/>
      <c r="EJ9" s="78"/>
      <c r="EK9" s="78"/>
      <c r="EL9" s="78"/>
      <c r="EM9" s="78"/>
      <c r="EN9" s="78"/>
      <c r="EO9" s="78"/>
      <c r="EP9" s="78"/>
      <c r="EQ9" s="78"/>
      <c r="ER9" s="78"/>
      <c r="ES9" s="78"/>
      <c r="ET9" s="78"/>
      <c r="EU9" s="78"/>
      <c r="EV9" s="78"/>
      <c r="EW9" s="78"/>
      <c r="EX9" s="78"/>
      <c r="EY9" s="78"/>
      <c r="EZ9" s="78"/>
      <c r="FA9" s="78"/>
      <c r="FB9" s="78"/>
      <c r="FC9" s="78"/>
      <c r="FD9" s="78"/>
      <c r="FE9" s="78"/>
      <c r="FF9" s="78"/>
      <c r="FG9" s="78"/>
      <c r="FH9" s="78"/>
      <c r="FI9" s="78"/>
      <c r="FJ9" s="78"/>
      <c r="FK9" s="78"/>
      <c r="FL9" s="78"/>
      <c r="FM9" s="78"/>
      <c r="FN9" s="78"/>
      <c r="FO9" s="78"/>
      <c r="FP9" s="78"/>
      <c r="FQ9" s="78"/>
      <c r="FR9" s="78"/>
      <c r="FS9" s="78"/>
      <c r="FT9" s="78"/>
      <c r="FU9" s="78"/>
      <c r="FV9" s="78"/>
      <c r="FW9" s="78"/>
      <c r="FX9" s="78"/>
      <c r="FY9" s="78"/>
      <c r="FZ9" s="78"/>
      <c r="GA9" s="78"/>
      <c r="GB9" s="78"/>
      <c r="GC9" s="78"/>
      <c r="GD9" s="78"/>
      <c r="GE9" s="78"/>
      <c r="GF9" s="78"/>
      <c r="GG9" s="78"/>
      <c r="GH9" s="78"/>
      <c r="GI9" s="78"/>
      <c r="GJ9" s="78"/>
      <c r="GK9" s="78"/>
      <c r="GL9" s="78"/>
      <c r="GM9" s="78"/>
      <c r="GN9" s="78"/>
      <c r="GO9" s="78"/>
      <c r="GP9" s="78"/>
      <c r="GQ9" s="78"/>
      <c r="GR9" s="78"/>
      <c r="GS9" s="78"/>
      <c r="GT9" s="78"/>
      <c r="GU9" s="78"/>
      <c r="GV9" s="78"/>
      <c r="GW9" s="78"/>
      <c r="GX9" s="78"/>
      <c r="GY9" s="78"/>
      <c r="GZ9" s="78"/>
      <c r="HA9" s="78"/>
      <c r="HB9" s="78"/>
      <c r="HC9" s="78"/>
      <c r="HD9" s="78"/>
      <c r="HE9" s="78"/>
      <c r="HF9" s="78"/>
      <c r="HG9" s="78"/>
      <c r="HH9" s="78"/>
      <c r="HI9" s="78"/>
      <c r="HJ9" s="78"/>
      <c r="HK9" s="78"/>
      <c r="HL9" s="78"/>
      <c r="HM9" s="78"/>
      <c r="HN9" s="78"/>
      <c r="HO9" s="78"/>
      <c r="HP9" s="78"/>
      <c r="HQ9" s="78"/>
      <c r="HR9" s="78"/>
      <c r="HS9" s="78"/>
      <c r="HT9" s="78"/>
      <c r="HU9" s="78"/>
      <c r="HV9" s="78"/>
      <c r="HW9" s="78"/>
      <c r="HX9" s="78"/>
      <c r="HY9" s="78"/>
      <c r="HZ9" s="78"/>
      <c r="IA9" s="78"/>
      <c r="IB9" s="78"/>
      <c r="IC9" s="78"/>
      <c r="ID9" s="78"/>
      <c r="IE9" s="78"/>
      <c r="IF9" s="78"/>
      <c r="IG9" s="78"/>
      <c r="IH9" s="78"/>
      <c r="II9" s="78"/>
      <c r="IJ9" s="78"/>
      <c r="IK9" s="78"/>
      <c r="IL9" s="78"/>
      <c r="IM9" s="78"/>
      <c r="IN9" s="78"/>
      <c r="IO9" s="78"/>
      <c r="IP9" s="78"/>
      <c r="IQ9" s="78"/>
      <c r="IR9" s="78"/>
      <c r="IS9" s="78"/>
      <c r="IT9" s="78"/>
      <c r="IU9" s="78"/>
      <c r="IV9" s="78"/>
    </row>
    <row r="10" spans="1:256" s="79" customFormat="1" ht="17" customHeight="1" x14ac:dyDescent="0.15">
      <c r="A10" s="82">
        <v>7</v>
      </c>
      <c r="B10" s="77" t="s">
        <v>405</v>
      </c>
      <c r="C10" s="77" t="s">
        <v>68</v>
      </c>
      <c r="D10" s="63">
        <f t="shared" si="0"/>
        <v>10</v>
      </c>
      <c r="E10" s="70">
        <f>IF(项目总工作量!$B$6="交易类",D10*1.5/22,IF(项目总工作量!$B$6="数据分析类",D10*1.5*0.9/22,IF(项目总工作量!$B$6="流程管理类",D10*1.5*0.8/22,IF(项目总工作量!$B$6="渠道类",FALSE))))</f>
        <v>0.68181818181818177</v>
      </c>
      <c r="F10" s="83">
        <v>1</v>
      </c>
      <c r="G10" s="80"/>
      <c r="H10" s="80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8"/>
      <c r="BZ10" s="78"/>
      <c r="CA10" s="78"/>
      <c r="CB10" s="78"/>
      <c r="CC10" s="78"/>
      <c r="CD10" s="78"/>
      <c r="CE10" s="78"/>
      <c r="CF10" s="78"/>
      <c r="CG10" s="78"/>
      <c r="CH10" s="78"/>
      <c r="CI10" s="78"/>
      <c r="CJ10" s="78"/>
      <c r="CK10" s="78"/>
      <c r="CL10" s="78"/>
      <c r="CM10" s="78"/>
      <c r="CN10" s="78"/>
      <c r="CO10" s="78"/>
      <c r="CP10" s="78"/>
      <c r="CQ10" s="78"/>
      <c r="CR10" s="78"/>
      <c r="CS10" s="78"/>
      <c r="CT10" s="78"/>
      <c r="CU10" s="78"/>
      <c r="CV10" s="78"/>
      <c r="CW10" s="78"/>
      <c r="CX10" s="78"/>
      <c r="CY10" s="78"/>
      <c r="CZ10" s="78"/>
      <c r="DA10" s="78"/>
      <c r="DB10" s="78"/>
      <c r="DC10" s="78"/>
      <c r="DD10" s="78"/>
      <c r="DE10" s="78"/>
      <c r="DF10" s="78"/>
      <c r="DG10" s="78"/>
      <c r="DH10" s="78"/>
      <c r="DI10" s="78"/>
      <c r="DJ10" s="78"/>
      <c r="DK10" s="78"/>
      <c r="DL10" s="78"/>
      <c r="DM10" s="78"/>
      <c r="DN10" s="78"/>
      <c r="DO10" s="78"/>
      <c r="DP10" s="78"/>
      <c r="DQ10" s="78"/>
      <c r="DR10" s="78"/>
      <c r="DS10" s="78"/>
      <c r="DT10" s="78"/>
      <c r="DU10" s="78"/>
      <c r="DV10" s="78"/>
      <c r="DW10" s="78"/>
      <c r="DX10" s="78"/>
      <c r="DY10" s="78"/>
      <c r="DZ10" s="78"/>
      <c r="EA10" s="78"/>
      <c r="EB10" s="78"/>
      <c r="EC10" s="78"/>
      <c r="ED10" s="78"/>
      <c r="EE10" s="78"/>
      <c r="EF10" s="78"/>
      <c r="EG10" s="78"/>
      <c r="EH10" s="78"/>
      <c r="EI10" s="78"/>
      <c r="EJ10" s="78"/>
      <c r="EK10" s="78"/>
      <c r="EL10" s="78"/>
      <c r="EM10" s="78"/>
      <c r="EN10" s="78"/>
      <c r="EO10" s="78"/>
      <c r="EP10" s="78"/>
      <c r="EQ10" s="78"/>
      <c r="ER10" s="78"/>
      <c r="ES10" s="78"/>
      <c r="ET10" s="78"/>
      <c r="EU10" s="78"/>
      <c r="EV10" s="78"/>
      <c r="EW10" s="78"/>
      <c r="EX10" s="78"/>
      <c r="EY10" s="78"/>
      <c r="EZ10" s="78"/>
      <c r="FA10" s="78"/>
      <c r="FB10" s="78"/>
      <c r="FC10" s="78"/>
      <c r="FD10" s="78"/>
      <c r="FE10" s="78"/>
      <c r="FF10" s="78"/>
      <c r="FG10" s="78"/>
      <c r="FH10" s="78"/>
      <c r="FI10" s="78"/>
      <c r="FJ10" s="78"/>
      <c r="FK10" s="78"/>
      <c r="FL10" s="78"/>
      <c r="FM10" s="78"/>
      <c r="FN10" s="78"/>
      <c r="FO10" s="78"/>
      <c r="FP10" s="78"/>
      <c r="FQ10" s="78"/>
      <c r="FR10" s="78"/>
      <c r="FS10" s="78"/>
      <c r="FT10" s="78"/>
      <c r="FU10" s="78"/>
      <c r="FV10" s="78"/>
      <c r="FW10" s="78"/>
      <c r="FX10" s="78"/>
      <c r="FY10" s="78"/>
      <c r="FZ10" s="78"/>
      <c r="GA10" s="78"/>
      <c r="GB10" s="78"/>
      <c r="GC10" s="78"/>
      <c r="GD10" s="78"/>
      <c r="GE10" s="78"/>
      <c r="GF10" s="78"/>
      <c r="GG10" s="78"/>
      <c r="GH10" s="78"/>
      <c r="GI10" s="78"/>
      <c r="GJ10" s="78"/>
      <c r="GK10" s="78"/>
      <c r="GL10" s="78"/>
      <c r="GM10" s="78"/>
      <c r="GN10" s="78"/>
      <c r="GO10" s="78"/>
      <c r="GP10" s="78"/>
      <c r="GQ10" s="78"/>
      <c r="GR10" s="78"/>
      <c r="GS10" s="78"/>
      <c r="GT10" s="78"/>
      <c r="GU10" s="78"/>
      <c r="GV10" s="78"/>
      <c r="GW10" s="78"/>
      <c r="GX10" s="78"/>
      <c r="GY10" s="78"/>
      <c r="GZ10" s="78"/>
      <c r="HA10" s="78"/>
      <c r="HB10" s="78"/>
      <c r="HC10" s="78"/>
      <c r="HD10" s="78"/>
      <c r="HE10" s="78"/>
      <c r="HF10" s="78"/>
      <c r="HG10" s="78"/>
      <c r="HH10" s="78"/>
      <c r="HI10" s="78"/>
      <c r="HJ10" s="78"/>
      <c r="HK10" s="78"/>
      <c r="HL10" s="78"/>
      <c r="HM10" s="78"/>
      <c r="HN10" s="78"/>
      <c r="HO10" s="78"/>
      <c r="HP10" s="78"/>
      <c r="HQ10" s="78"/>
      <c r="HR10" s="78"/>
      <c r="HS10" s="78"/>
      <c r="HT10" s="78"/>
      <c r="HU10" s="78"/>
      <c r="HV10" s="78"/>
      <c r="HW10" s="78"/>
      <c r="HX10" s="78"/>
      <c r="HY10" s="78"/>
      <c r="HZ10" s="78"/>
      <c r="IA10" s="78"/>
      <c r="IB10" s="78"/>
      <c r="IC10" s="78"/>
      <c r="ID10" s="78"/>
      <c r="IE10" s="78"/>
      <c r="IF10" s="78"/>
      <c r="IG10" s="78"/>
      <c r="IH10" s="78"/>
      <c r="II10" s="78"/>
      <c r="IJ10" s="78"/>
      <c r="IK10" s="78"/>
      <c r="IL10" s="78"/>
      <c r="IM10" s="78"/>
      <c r="IN10" s="78"/>
      <c r="IO10" s="78"/>
      <c r="IP10" s="78"/>
      <c r="IQ10" s="78"/>
      <c r="IR10" s="78"/>
      <c r="IS10" s="78"/>
      <c r="IT10" s="78"/>
      <c r="IU10" s="78"/>
      <c r="IV10" s="78"/>
    </row>
    <row r="11" spans="1:256" s="79" customFormat="1" ht="17" customHeight="1" x14ac:dyDescent="0.15">
      <c r="A11" s="82">
        <v>8</v>
      </c>
      <c r="B11" s="77" t="s">
        <v>406</v>
      </c>
      <c r="C11" s="77" t="s">
        <v>68</v>
      </c>
      <c r="D11" s="63">
        <f t="shared" si="0"/>
        <v>10</v>
      </c>
      <c r="E11" s="70">
        <f>IF(项目总工作量!$B$6="交易类",D11*1.5/22,IF(项目总工作量!$B$6="数据分析类",D11*1.5*0.9/22,IF(项目总工作量!$B$6="流程管理类",D11*1.5*0.8/22,IF(项目总工作量!$B$6="渠道类",FALSE))))</f>
        <v>0.68181818181818177</v>
      </c>
      <c r="F11" s="83">
        <v>1</v>
      </c>
      <c r="G11" s="80"/>
      <c r="H11" s="80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8"/>
      <c r="BZ11" s="78"/>
      <c r="CA11" s="78"/>
      <c r="CB11" s="78"/>
      <c r="CC11" s="78"/>
      <c r="CD11" s="78"/>
      <c r="CE11" s="78"/>
      <c r="CF11" s="78"/>
      <c r="CG11" s="78"/>
      <c r="CH11" s="78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8"/>
      <c r="CV11" s="78"/>
      <c r="CW11" s="78"/>
      <c r="CX11" s="78"/>
      <c r="CY11" s="78"/>
      <c r="CZ11" s="78"/>
      <c r="DA11" s="78"/>
      <c r="DB11" s="78"/>
      <c r="DC11" s="78"/>
      <c r="DD11" s="78"/>
      <c r="DE11" s="78"/>
      <c r="DF11" s="78"/>
      <c r="DG11" s="78"/>
      <c r="DH11" s="78"/>
      <c r="DI11" s="78"/>
      <c r="DJ11" s="78"/>
      <c r="DK11" s="78"/>
      <c r="DL11" s="78"/>
      <c r="DM11" s="78"/>
      <c r="DN11" s="78"/>
      <c r="DO11" s="78"/>
      <c r="DP11" s="78"/>
      <c r="DQ11" s="78"/>
      <c r="DR11" s="78"/>
      <c r="DS11" s="78"/>
      <c r="DT11" s="78"/>
      <c r="DU11" s="78"/>
      <c r="DV11" s="78"/>
      <c r="DW11" s="78"/>
      <c r="DX11" s="78"/>
      <c r="DY11" s="78"/>
      <c r="DZ11" s="78"/>
      <c r="EA11" s="78"/>
      <c r="EB11" s="78"/>
      <c r="EC11" s="78"/>
      <c r="ED11" s="78"/>
      <c r="EE11" s="78"/>
      <c r="EF11" s="78"/>
      <c r="EG11" s="78"/>
      <c r="EH11" s="78"/>
      <c r="EI11" s="78"/>
      <c r="EJ11" s="78"/>
      <c r="EK11" s="78"/>
      <c r="EL11" s="78"/>
      <c r="EM11" s="78"/>
      <c r="EN11" s="78"/>
      <c r="EO11" s="78"/>
      <c r="EP11" s="78"/>
      <c r="EQ11" s="78"/>
      <c r="ER11" s="78"/>
      <c r="ES11" s="78"/>
      <c r="ET11" s="78"/>
      <c r="EU11" s="78"/>
      <c r="EV11" s="78"/>
      <c r="EW11" s="78"/>
      <c r="EX11" s="78"/>
      <c r="EY11" s="78"/>
      <c r="EZ11" s="78"/>
      <c r="FA11" s="78"/>
      <c r="FB11" s="78"/>
      <c r="FC11" s="78"/>
      <c r="FD11" s="78"/>
      <c r="FE11" s="78"/>
      <c r="FF11" s="78"/>
      <c r="FG11" s="78"/>
      <c r="FH11" s="78"/>
      <c r="FI11" s="78"/>
      <c r="FJ11" s="78"/>
      <c r="FK11" s="78"/>
      <c r="FL11" s="78"/>
      <c r="FM11" s="78"/>
      <c r="FN11" s="78"/>
      <c r="FO11" s="78"/>
      <c r="FP11" s="78"/>
      <c r="FQ11" s="78"/>
      <c r="FR11" s="78"/>
      <c r="FS11" s="78"/>
      <c r="FT11" s="78"/>
      <c r="FU11" s="78"/>
      <c r="FV11" s="78"/>
      <c r="FW11" s="78"/>
      <c r="FX11" s="78"/>
      <c r="FY11" s="78"/>
      <c r="FZ11" s="78"/>
      <c r="GA11" s="78"/>
      <c r="GB11" s="78"/>
      <c r="GC11" s="78"/>
      <c r="GD11" s="78"/>
      <c r="GE11" s="78"/>
      <c r="GF11" s="78"/>
      <c r="GG11" s="78"/>
      <c r="GH11" s="78"/>
      <c r="GI11" s="78"/>
      <c r="GJ11" s="78"/>
      <c r="GK11" s="78"/>
      <c r="GL11" s="78"/>
      <c r="GM11" s="78"/>
      <c r="GN11" s="78"/>
      <c r="GO11" s="78"/>
      <c r="GP11" s="78"/>
      <c r="GQ11" s="78"/>
      <c r="GR11" s="78"/>
      <c r="GS11" s="78"/>
      <c r="GT11" s="78"/>
      <c r="GU11" s="78"/>
      <c r="GV11" s="78"/>
      <c r="GW11" s="78"/>
      <c r="GX11" s="78"/>
      <c r="GY11" s="78"/>
      <c r="GZ11" s="78"/>
      <c r="HA11" s="78"/>
      <c r="HB11" s="78"/>
      <c r="HC11" s="78"/>
      <c r="HD11" s="78"/>
      <c r="HE11" s="78"/>
      <c r="HF11" s="78"/>
      <c r="HG11" s="78"/>
      <c r="HH11" s="78"/>
      <c r="HI11" s="78"/>
      <c r="HJ11" s="78"/>
      <c r="HK11" s="78"/>
      <c r="HL11" s="78"/>
      <c r="HM11" s="78"/>
      <c r="HN11" s="78"/>
      <c r="HO11" s="78"/>
      <c r="HP11" s="78"/>
      <c r="HQ11" s="78"/>
      <c r="HR11" s="78"/>
      <c r="HS11" s="78"/>
      <c r="HT11" s="78"/>
      <c r="HU11" s="78"/>
      <c r="HV11" s="78"/>
      <c r="HW11" s="78"/>
      <c r="HX11" s="78"/>
      <c r="HY11" s="78"/>
      <c r="HZ11" s="78"/>
      <c r="IA11" s="78"/>
      <c r="IB11" s="78"/>
      <c r="IC11" s="78"/>
      <c r="ID11" s="78"/>
      <c r="IE11" s="78"/>
      <c r="IF11" s="78"/>
      <c r="IG11" s="78"/>
      <c r="IH11" s="78"/>
      <c r="II11" s="78"/>
      <c r="IJ11" s="78"/>
      <c r="IK11" s="78"/>
      <c r="IL11" s="78"/>
      <c r="IM11" s="78"/>
      <c r="IN11" s="78"/>
      <c r="IO11" s="78"/>
      <c r="IP11" s="78"/>
      <c r="IQ11" s="78"/>
      <c r="IR11" s="78"/>
      <c r="IS11" s="78"/>
      <c r="IT11" s="78"/>
      <c r="IU11" s="78"/>
      <c r="IV11" s="78"/>
    </row>
    <row r="12" spans="1:256" s="79" customFormat="1" ht="17" customHeight="1" x14ac:dyDescent="0.15">
      <c r="A12" s="82">
        <v>9</v>
      </c>
      <c r="B12" s="77" t="s">
        <v>407</v>
      </c>
      <c r="C12" s="77" t="s">
        <v>68</v>
      </c>
      <c r="D12" s="63">
        <f t="shared" si="0"/>
        <v>10</v>
      </c>
      <c r="E12" s="70">
        <f>IF(项目总工作量!$B$6="交易类",D12*1.5/22,IF(项目总工作量!$B$6="数据分析类",D12*1.5*0.9/22,IF(项目总工作量!$B$6="流程管理类",D12*1.5*0.8/22,IF(项目总工作量!$B$6="渠道类",FALSE))))</f>
        <v>0.68181818181818177</v>
      </c>
      <c r="F12" s="83">
        <v>1</v>
      </c>
      <c r="G12" s="80"/>
      <c r="H12" s="80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8"/>
      <c r="BZ12" s="78"/>
      <c r="CA12" s="78"/>
      <c r="CB12" s="78"/>
      <c r="CC12" s="78"/>
      <c r="CD12" s="78"/>
      <c r="CE12" s="78"/>
      <c r="CF12" s="78"/>
      <c r="CG12" s="78"/>
      <c r="CH12" s="78"/>
      <c r="CI12" s="78"/>
      <c r="CJ12" s="78"/>
      <c r="CK12" s="78"/>
      <c r="CL12" s="78"/>
      <c r="CM12" s="78"/>
      <c r="CN12" s="78"/>
      <c r="CO12" s="78"/>
      <c r="CP12" s="78"/>
      <c r="CQ12" s="78"/>
      <c r="CR12" s="78"/>
      <c r="CS12" s="78"/>
      <c r="CT12" s="78"/>
      <c r="CU12" s="78"/>
      <c r="CV12" s="78"/>
      <c r="CW12" s="78"/>
      <c r="CX12" s="78"/>
      <c r="CY12" s="78"/>
      <c r="CZ12" s="78"/>
      <c r="DA12" s="78"/>
      <c r="DB12" s="78"/>
      <c r="DC12" s="78"/>
      <c r="DD12" s="78"/>
      <c r="DE12" s="78"/>
      <c r="DF12" s="78"/>
      <c r="DG12" s="78"/>
      <c r="DH12" s="78"/>
      <c r="DI12" s="78"/>
      <c r="DJ12" s="78"/>
      <c r="DK12" s="78"/>
      <c r="DL12" s="78"/>
      <c r="DM12" s="78"/>
      <c r="DN12" s="78"/>
      <c r="DO12" s="78"/>
      <c r="DP12" s="78"/>
      <c r="DQ12" s="78"/>
      <c r="DR12" s="78"/>
      <c r="DS12" s="78"/>
      <c r="DT12" s="78"/>
      <c r="DU12" s="78"/>
      <c r="DV12" s="78"/>
      <c r="DW12" s="78"/>
      <c r="DX12" s="78"/>
      <c r="DY12" s="78"/>
      <c r="DZ12" s="78"/>
      <c r="EA12" s="78"/>
      <c r="EB12" s="78"/>
      <c r="EC12" s="78"/>
      <c r="ED12" s="78"/>
      <c r="EE12" s="78"/>
      <c r="EF12" s="78"/>
      <c r="EG12" s="78"/>
      <c r="EH12" s="78"/>
      <c r="EI12" s="78"/>
      <c r="EJ12" s="78"/>
      <c r="EK12" s="78"/>
      <c r="EL12" s="78"/>
      <c r="EM12" s="78"/>
      <c r="EN12" s="78"/>
      <c r="EO12" s="78"/>
      <c r="EP12" s="78"/>
      <c r="EQ12" s="78"/>
      <c r="ER12" s="78"/>
      <c r="ES12" s="78"/>
      <c r="ET12" s="78"/>
      <c r="EU12" s="78"/>
      <c r="EV12" s="78"/>
      <c r="EW12" s="78"/>
      <c r="EX12" s="78"/>
      <c r="EY12" s="78"/>
      <c r="EZ12" s="78"/>
      <c r="FA12" s="78"/>
      <c r="FB12" s="78"/>
      <c r="FC12" s="78"/>
      <c r="FD12" s="78"/>
      <c r="FE12" s="78"/>
      <c r="FF12" s="78"/>
      <c r="FG12" s="78"/>
      <c r="FH12" s="78"/>
      <c r="FI12" s="78"/>
      <c r="FJ12" s="78"/>
      <c r="FK12" s="78"/>
      <c r="FL12" s="78"/>
      <c r="FM12" s="78"/>
      <c r="FN12" s="78"/>
      <c r="FO12" s="78"/>
      <c r="FP12" s="78"/>
      <c r="FQ12" s="78"/>
      <c r="FR12" s="78"/>
      <c r="FS12" s="78"/>
      <c r="FT12" s="78"/>
      <c r="FU12" s="78"/>
      <c r="FV12" s="78"/>
      <c r="FW12" s="78"/>
      <c r="FX12" s="78"/>
      <c r="FY12" s="78"/>
      <c r="FZ12" s="78"/>
      <c r="GA12" s="78"/>
      <c r="GB12" s="78"/>
      <c r="GC12" s="78"/>
      <c r="GD12" s="78"/>
      <c r="GE12" s="78"/>
      <c r="GF12" s="78"/>
      <c r="GG12" s="78"/>
      <c r="GH12" s="78"/>
      <c r="GI12" s="78"/>
      <c r="GJ12" s="78"/>
      <c r="GK12" s="78"/>
      <c r="GL12" s="78"/>
      <c r="GM12" s="78"/>
      <c r="GN12" s="78"/>
      <c r="GO12" s="78"/>
      <c r="GP12" s="78"/>
      <c r="GQ12" s="78"/>
      <c r="GR12" s="78"/>
      <c r="GS12" s="78"/>
      <c r="GT12" s="78"/>
      <c r="GU12" s="78"/>
      <c r="GV12" s="78"/>
      <c r="GW12" s="78"/>
      <c r="GX12" s="78"/>
      <c r="GY12" s="78"/>
      <c r="GZ12" s="78"/>
      <c r="HA12" s="78"/>
      <c r="HB12" s="78"/>
      <c r="HC12" s="78"/>
      <c r="HD12" s="78"/>
      <c r="HE12" s="78"/>
      <c r="HF12" s="78"/>
      <c r="HG12" s="78"/>
      <c r="HH12" s="78"/>
      <c r="HI12" s="78"/>
      <c r="HJ12" s="78"/>
      <c r="HK12" s="78"/>
      <c r="HL12" s="78"/>
      <c r="HM12" s="78"/>
      <c r="HN12" s="78"/>
      <c r="HO12" s="78"/>
      <c r="HP12" s="78"/>
      <c r="HQ12" s="78"/>
      <c r="HR12" s="78"/>
      <c r="HS12" s="78"/>
      <c r="HT12" s="78"/>
      <c r="HU12" s="78"/>
      <c r="HV12" s="78"/>
      <c r="HW12" s="78"/>
      <c r="HX12" s="78"/>
      <c r="HY12" s="78"/>
      <c r="HZ12" s="78"/>
      <c r="IA12" s="78"/>
      <c r="IB12" s="78"/>
      <c r="IC12" s="78"/>
      <c r="ID12" s="78"/>
      <c r="IE12" s="78"/>
      <c r="IF12" s="78"/>
      <c r="IG12" s="78"/>
      <c r="IH12" s="78"/>
      <c r="II12" s="78"/>
      <c r="IJ12" s="78"/>
      <c r="IK12" s="78"/>
      <c r="IL12" s="78"/>
      <c r="IM12" s="78"/>
      <c r="IN12" s="78"/>
      <c r="IO12" s="78"/>
      <c r="IP12" s="78"/>
      <c r="IQ12" s="78"/>
      <c r="IR12" s="78"/>
      <c r="IS12" s="78"/>
      <c r="IT12" s="78"/>
      <c r="IU12" s="78"/>
      <c r="IV12" s="78"/>
    </row>
    <row r="13" spans="1:256" s="79" customFormat="1" ht="17" customHeight="1" x14ac:dyDescent="0.15">
      <c r="A13" s="82">
        <v>10</v>
      </c>
      <c r="B13" s="77" t="s">
        <v>408</v>
      </c>
      <c r="C13" s="77" t="s">
        <v>68</v>
      </c>
      <c r="D13" s="63">
        <f t="shared" si="0"/>
        <v>10</v>
      </c>
      <c r="E13" s="70">
        <f>IF(项目总工作量!$B$6="交易类",D13*1.5/22,IF(项目总工作量!$B$6="数据分析类",D13*1.5*0.9/22,IF(项目总工作量!$B$6="流程管理类",D13*1.5*0.8/22,IF(项目总工作量!$B$6="渠道类",FALSE))))</f>
        <v>0.68181818181818177</v>
      </c>
      <c r="F13" s="83">
        <v>1</v>
      </c>
      <c r="G13" s="80"/>
      <c r="H13" s="80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8"/>
      <c r="BZ13" s="78"/>
      <c r="CA13" s="78"/>
      <c r="CB13" s="78"/>
      <c r="CC13" s="78"/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8"/>
      <c r="CQ13" s="78"/>
      <c r="CR13" s="78"/>
      <c r="CS13" s="78"/>
      <c r="CT13" s="78"/>
      <c r="CU13" s="78"/>
      <c r="CV13" s="78"/>
      <c r="CW13" s="78"/>
      <c r="CX13" s="78"/>
      <c r="CY13" s="78"/>
      <c r="CZ13" s="78"/>
      <c r="DA13" s="78"/>
      <c r="DB13" s="78"/>
      <c r="DC13" s="78"/>
      <c r="DD13" s="78"/>
      <c r="DE13" s="78"/>
      <c r="DF13" s="78"/>
      <c r="DG13" s="78"/>
      <c r="DH13" s="78"/>
      <c r="DI13" s="78"/>
      <c r="DJ13" s="78"/>
      <c r="DK13" s="78"/>
      <c r="DL13" s="78"/>
      <c r="DM13" s="78"/>
      <c r="DN13" s="78"/>
      <c r="DO13" s="78"/>
      <c r="DP13" s="78"/>
      <c r="DQ13" s="78"/>
      <c r="DR13" s="78"/>
      <c r="DS13" s="78"/>
      <c r="DT13" s="78"/>
      <c r="DU13" s="78"/>
      <c r="DV13" s="78"/>
      <c r="DW13" s="78"/>
      <c r="DX13" s="78"/>
      <c r="DY13" s="78"/>
      <c r="DZ13" s="78"/>
      <c r="EA13" s="78"/>
      <c r="EB13" s="78"/>
      <c r="EC13" s="78"/>
      <c r="ED13" s="78"/>
      <c r="EE13" s="78"/>
      <c r="EF13" s="78"/>
      <c r="EG13" s="78"/>
      <c r="EH13" s="78"/>
      <c r="EI13" s="78"/>
      <c r="EJ13" s="78"/>
      <c r="EK13" s="78"/>
      <c r="EL13" s="78"/>
      <c r="EM13" s="78"/>
      <c r="EN13" s="78"/>
      <c r="EO13" s="78"/>
      <c r="EP13" s="78"/>
      <c r="EQ13" s="78"/>
      <c r="ER13" s="78"/>
      <c r="ES13" s="78"/>
      <c r="ET13" s="78"/>
      <c r="EU13" s="78"/>
      <c r="EV13" s="78"/>
      <c r="EW13" s="78"/>
      <c r="EX13" s="78"/>
      <c r="EY13" s="78"/>
      <c r="EZ13" s="78"/>
      <c r="FA13" s="78"/>
      <c r="FB13" s="78"/>
      <c r="FC13" s="78"/>
      <c r="FD13" s="78"/>
      <c r="FE13" s="78"/>
      <c r="FF13" s="78"/>
      <c r="FG13" s="78"/>
      <c r="FH13" s="78"/>
      <c r="FI13" s="78"/>
      <c r="FJ13" s="78"/>
      <c r="FK13" s="78"/>
      <c r="FL13" s="78"/>
      <c r="FM13" s="78"/>
      <c r="FN13" s="78"/>
      <c r="FO13" s="78"/>
      <c r="FP13" s="78"/>
      <c r="FQ13" s="78"/>
      <c r="FR13" s="78"/>
      <c r="FS13" s="78"/>
      <c r="FT13" s="78"/>
      <c r="FU13" s="78"/>
      <c r="FV13" s="78"/>
      <c r="FW13" s="78"/>
      <c r="FX13" s="78"/>
      <c r="FY13" s="78"/>
      <c r="FZ13" s="78"/>
      <c r="GA13" s="78"/>
      <c r="GB13" s="78"/>
      <c r="GC13" s="78"/>
      <c r="GD13" s="78"/>
      <c r="GE13" s="78"/>
      <c r="GF13" s="78"/>
      <c r="GG13" s="78"/>
      <c r="GH13" s="78"/>
      <c r="GI13" s="78"/>
      <c r="GJ13" s="78"/>
      <c r="GK13" s="78"/>
      <c r="GL13" s="78"/>
      <c r="GM13" s="78"/>
      <c r="GN13" s="78"/>
      <c r="GO13" s="78"/>
      <c r="GP13" s="78"/>
      <c r="GQ13" s="78"/>
      <c r="GR13" s="78"/>
      <c r="GS13" s="78"/>
      <c r="GT13" s="78"/>
      <c r="GU13" s="78"/>
      <c r="GV13" s="78"/>
      <c r="GW13" s="78"/>
      <c r="GX13" s="78"/>
      <c r="GY13" s="78"/>
      <c r="GZ13" s="78"/>
      <c r="HA13" s="78"/>
      <c r="HB13" s="78"/>
      <c r="HC13" s="78"/>
      <c r="HD13" s="78"/>
      <c r="HE13" s="78"/>
      <c r="HF13" s="78"/>
      <c r="HG13" s="78"/>
      <c r="HH13" s="78"/>
      <c r="HI13" s="78"/>
      <c r="HJ13" s="78"/>
      <c r="HK13" s="78"/>
      <c r="HL13" s="78"/>
      <c r="HM13" s="78"/>
      <c r="HN13" s="78"/>
      <c r="HO13" s="78"/>
      <c r="HP13" s="78"/>
      <c r="HQ13" s="78"/>
      <c r="HR13" s="78"/>
      <c r="HS13" s="78"/>
      <c r="HT13" s="78"/>
      <c r="HU13" s="78"/>
      <c r="HV13" s="78"/>
      <c r="HW13" s="78"/>
      <c r="HX13" s="78"/>
      <c r="HY13" s="78"/>
      <c r="HZ13" s="78"/>
      <c r="IA13" s="78"/>
      <c r="IB13" s="78"/>
      <c r="IC13" s="78"/>
      <c r="ID13" s="78"/>
      <c r="IE13" s="78"/>
      <c r="IF13" s="78"/>
      <c r="IG13" s="78"/>
      <c r="IH13" s="78"/>
      <c r="II13" s="78"/>
      <c r="IJ13" s="78"/>
      <c r="IK13" s="78"/>
      <c r="IL13" s="78"/>
      <c r="IM13" s="78"/>
      <c r="IN13" s="78"/>
      <c r="IO13" s="78"/>
      <c r="IP13" s="78"/>
      <c r="IQ13" s="78"/>
      <c r="IR13" s="78"/>
      <c r="IS13" s="78"/>
      <c r="IT13" s="78"/>
      <c r="IU13" s="78"/>
      <c r="IV13" s="78"/>
    </row>
    <row r="14" spans="1:256" s="79" customFormat="1" ht="17" customHeight="1" x14ac:dyDescent="0.15">
      <c r="A14" s="82">
        <v>11</v>
      </c>
      <c r="B14" s="77" t="s">
        <v>409</v>
      </c>
      <c r="C14" s="77" t="s">
        <v>68</v>
      </c>
      <c r="D14" s="63">
        <f t="shared" si="0"/>
        <v>10</v>
      </c>
      <c r="E14" s="70">
        <f>IF(项目总工作量!$B$6="交易类",D14*1.5/22,IF(项目总工作量!$B$6="数据分析类",D14*1.5*0.9/22,IF(项目总工作量!$B$6="流程管理类",D14*1.5*0.8/22,IF(项目总工作量!$B$6="渠道类",FALSE))))</f>
        <v>0.68181818181818177</v>
      </c>
      <c r="F14" s="83">
        <v>1</v>
      </c>
      <c r="G14" s="80"/>
      <c r="H14" s="80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8"/>
      <c r="BZ14" s="78"/>
      <c r="CA14" s="78"/>
      <c r="CB14" s="78"/>
      <c r="CC14" s="78"/>
      <c r="CD14" s="78"/>
      <c r="CE14" s="78"/>
      <c r="CF14" s="78"/>
      <c r="CG14" s="78"/>
      <c r="CH14" s="78"/>
      <c r="CI14" s="78"/>
      <c r="CJ14" s="78"/>
      <c r="CK14" s="78"/>
      <c r="CL14" s="78"/>
      <c r="CM14" s="78"/>
      <c r="CN14" s="78"/>
      <c r="CO14" s="78"/>
      <c r="CP14" s="78"/>
      <c r="CQ14" s="78"/>
      <c r="CR14" s="78"/>
      <c r="CS14" s="78"/>
      <c r="CT14" s="78"/>
      <c r="CU14" s="78"/>
      <c r="CV14" s="78"/>
      <c r="CW14" s="78"/>
      <c r="CX14" s="78"/>
      <c r="CY14" s="78"/>
      <c r="CZ14" s="78"/>
      <c r="DA14" s="78"/>
      <c r="DB14" s="78"/>
      <c r="DC14" s="78"/>
      <c r="DD14" s="78"/>
      <c r="DE14" s="78"/>
      <c r="DF14" s="78"/>
      <c r="DG14" s="78"/>
      <c r="DH14" s="78"/>
      <c r="DI14" s="78"/>
      <c r="DJ14" s="78"/>
      <c r="DK14" s="78"/>
      <c r="DL14" s="78"/>
      <c r="DM14" s="78"/>
      <c r="DN14" s="78"/>
      <c r="DO14" s="78"/>
      <c r="DP14" s="78"/>
      <c r="DQ14" s="78"/>
      <c r="DR14" s="78"/>
      <c r="DS14" s="78"/>
      <c r="DT14" s="78"/>
      <c r="DU14" s="78"/>
      <c r="DV14" s="78"/>
      <c r="DW14" s="78"/>
      <c r="DX14" s="78"/>
      <c r="DY14" s="78"/>
      <c r="DZ14" s="78"/>
      <c r="EA14" s="78"/>
      <c r="EB14" s="78"/>
      <c r="EC14" s="78"/>
      <c r="ED14" s="78"/>
      <c r="EE14" s="78"/>
      <c r="EF14" s="78"/>
      <c r="EG14" s="78"/>
      <c r="EH14" s="78"/>
      <c r="EI14" s="78"/>
      <c r="EJ14" s="78"/>
      <c r="EK14" s="78"/>
      <c r="EL14" s="78"/>
      <c r="EM14" s="78"/>
      <c r="EN14" s="78"/>
      <c r="EO14" s="78"/>
      <c r="EP14" s="78"/>
      <c r="EQ14" s="78"/>
      <c r="ER14" s="78"/>
      <c r="ES14" s="78"/>
      <c r="ET14" s="78"/>
      <c r="EU14" s="78"/>
      <c r="EV14" s="78"/>
      <c r="EW14" s="78"/>
      <c r="EX14" s="78"/>
      <c r="EY14" s="78"/>
      <c r="EZ14" s="78"/>
      <c r="FA14" s="78"/>
      <c r="FB14" s="78"/>
      <c r="FC14" s="78"/>
      <c r="FD14" s="78"/>
      <c r="FE14" s="78"/>
      <c r="FF14" s="78"/>
      <c r="FG14" s="78"/>
      <c r="FH14" s="78"/>
      <c r="FI14" s="78"/>
      <c r="FJ14" s="78"/>
      <c r="FK14" s="78"/>
      <c r="FL14" s="78"/>
      <c r="FM14" s="78"/>
      <c r="FN14" s="78"/>
      <c r="FO14" s="78"/>
      <c r="FP14" s="78"/>
      <c r="FQ14" s="78"/>
      <c r="FR14" s="78"/>
      <c r="FS14" s="78"/>
      <c r="FT14" s="78"/>
      <c r="FU14" s="78"/>
      <c r="FV14" s="78"/>
      <c r="FW14" s="78"/>
      <c r="FX14" s="78"/>
      <c r="FY14" s="78"/>
      <c r="FZ14" s="78"/>
      <c r="GA14" s="78"/>
      <c r="GB14" s="78"/>
      <c r="GC14" s="78"/>
      <c r="GD14" s="78"/>
      <c r="GE14" s="78"/>
      <c r="GF14" s="78"/>
      <c r="GG14" s="78"/>
      <c r="GH14" s="78"/>
      <c r="GI14" s="78"/>
      <c r="GJ14" s="78"/>
      <c r="GK14" s="78"/>
      <c r="GL14" s="78"/>
      <c r="GM14" s="78"/>
      <c r="GN14" s="78"/>
      <c r="GO14" s="78"/>
      <c r="GP14" s="78"/>
      <c r="GQ14" s="78"/>
      <c r="GR14" s="78"/>
      <c r="GS14" s="78"/>
      <c r="GT14" s="78"/>
      <c r="GU14" s="78"/>
      <c r="GV14" s="78"/>
      <c r="GW14" s="78"/>
      <c r="GX14" s="78"/>
      <c r="GY14" s="78"/>
      <c r="GZ14" s="78"/>
      <c r="HA14" s="78"/>
      <c r="HB14" s="78"/>
      <c r="HC14" s="78"/>
      <c r="HD14" s="78"/>
      <c r="HE14" s="78"/>
      <c r="HF14" s="78"/>
      <c r="HG14" s="78"/>
      <c r="HH14" s="78"/>
      <c r="HI14" s="78"/>
      <c r="HJ14" s="78"/>
      <c r="HK14" s="78"/>
      <c r="HL14" s="78"/>
      <c r="HM14" s="78"/>
      <c r="HN14" s="78"/>
      <c r="HO14" s="78"/>
      <c r="HP14" s="78"/>
      <c r="HQ14" s="78"/>
      <c r="HR14" s="78"/>
      <c r="HS14" s="78"/>
      <c r="HT14" s="78"/>
      <c r="HU14" s="78"/>
      <c r="HV14" s="78"/>
      <c r="HW14" s="78"/>
      <c r="HX14" s="78"/>
      <c r="HY14" s="78"/>
      <c r="HZ14" s="78"/>
      <c r="IA14" s="78"/>
      <c r="IB14" s="78"/>
      <c r="IC14" s="78"/>
      <c r="ID14" s="78"/>
      <c r="IE14" s="78"/>
      <c r="IF14" s="78"/>
      <c r="IG14" s="78"/>
      <c r="IH14" s="78"/>
      <c r="II14" s="78"/>
      <c r="IJ14" s="78"/>
      <c r="IK14" s="78"/>
      <c r="IL14" s="78"/>
      <c r="IM14" s="78"/>
      <c r="IN14" s="78"/>
      <c r="IO14" s="78"/>
      <c r="IP14" s="78"/>
      <c r="IQ14" s="78"/>
      <c r="IR14" s="78"/>
      <c r="IS14" s="78"/>
      <c r="IT14" s="78"/>
      <c r="IU14" s="78"/>
      <c r="IV14" s="78"/>
    </row>
    <row r="15" spans="1:256" s="79" customFormat="1" ht="17" customHeight="1" x14ac:dyDescent="0.15">
      <c r="A15" s="82">
        <v>12</v>
      </c>
      <c r="B15" s="77" t="s">
        <v>410</v>
      </c>
      <c r="C15" s="77" t="s">
        <v>68</v>
      </c>
      <c r="D15" s="63">
        <f t="shared" si="0"/>
        <v>10</v>
      </c>
      <c r="E15" s="70">
        <f>IF(项目总工作量!$B$6="交易类",D15*1.5/22,IF(项目总工作量!$B$6="数据分析类",D15*1.5*0.9/22,IF(项目总工作量!$B$6="流程管理类",D15*1.5*0.8/22,IF(项目总工作量!$B$6="渠道类",FALSE))))</f>
        <v>0.68181818181818177</v>
      </c>
      <c r="F15" s="83">
        <v>1</v>
      </c>
      <c r="G15" s="80"/>
      <c r="H15" s="80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78"/>
      <c r="CE15" s="78"/>
      <c r="CF15" s="78"/>
      <c r="CG15" s="78"/>
      <c r="CH15" s="78"/>
      <c r="CI15" s="78"/>
      <c r="CJ15" s="78"/>
      <c r="CK15" s="78"/>
      <c r="CL15" s="78"/>
      <c r="CM15" s="78"/>
      <c r="CN15" s="78"/>
      <c r="CO15" s="78"/>
      <c r="CP15" s="78"/>
      <c r="CQ15" s="78"/>
      <c r="CR15" s="78"/>
      <c r="CS15" s="78"/>
      <c r="CT15" s="78"/>
      <c r="CU15" s="78"/>
      <c r="CV15" s="78"/>
      <c r="CW15" s="78"/>
      <c r="CX15" s="78"/>
      <c r="CY15" s="78"/>
      <c r="CZ15" s="78"/>
      <c r="DA15" s="78"/>
      <c r="DB15" s="78"/>
      <c r="DC15" s="78"/>
      <c r="DD15" s="78"/>
      <c r="DE15" s="78"/>
      <c r="DF15" s="78"/>
      <c r="DG15" s="78"/>
      <c r="DH15" s="78"/>
      <c r="DI15" s="78"/>
      <c r="DJ15" s="78"/>
      <c r="DK15" s="78"/>
      <c r="DL15" s="78"/>
      <c r="DM15" s="78"/>
      <c r="DN15" s="78"/>
      <c r="DO15" s="78"/>
      <c r="DP15" s="78"/>
      <c r="DQ15" s="78"/>
      <c r="DR15" s="78"/>
      <c r="DS15" s="78"/>
      <c r="DT15" s="78"/>
      <c r="DU15" s="78"/>
      <c r="DV15" s="78"/>
      <c r="DW15" s="78"/>
      <c r="DX15" s="78"/>
      <c r="DY15" s="78"/>
      <c r="DZ15" s="78"/>
      <c r="EA15" s="78"/>
      <c r="EB15" s="78"/>
      <c r="EC15" s="78"/>
      <c r="ED15" s="78"/>
      <c r="EE15" s="78"/>
      <c r="EF15" s="78"/>
      <c r="EG15" s="78"/>
      <c r="EH15" s="78"/>
      <c r="EI15" s="78"/>
      <c r="EJ15" s="78"/>
      <c r="EK15" s="78"/>
      <c r="EL15" s="78"/>
      <c r="EM15" s="78"/>
      <c r="EN15" s="78"/>
      <c r="EO15" s="78"/>
      <c r="EP15" s="78"/>
      <c r="EQ15" s="78"/>
      <c r="ER15" s="78"/>
      <c r="ES15" s="78"/>
      <c r="ET15" s="78"/>
      <c r="EU15" s="78"/>
      <c r="EV15" s="78"/>
      <c r="EW15" s="78"/>
      <c r="EX15" s="78"/>
      <c r="EY15" s="78"/>
      <c r="EZ15" s="78"/>
      <c r="FA15" s="78"/>
      <c r="FB15" s="78"/>
      <c r="FC15" s="78"/>
      <c r="FD15" s="78"/>
      <c r="FE15" s="78"/>
      <c r="FF15" s="78"/>
      <c r="FG15" s="78"/>
      <c r="FH15" s="78"/>
      <c r="FI15" s="78"/>
      <c r="FJ15" s="78"/>
      <c r="FK15" s="78"/>
      <c r="FL15" s="78"/>
      <c r="FM15" s="78"/>
      <c r="FN15" s="78"/>
      <c r="FO15" s="78"/>
      <c r="FP15" s="78"/>
      <c r="FQ15" s="78"/>
      <c r="FR15" s="78"/>
      <c r="FS15" s="78"/>
      <c r="FT15" s="78"/>
      <c r="FU15" s="78"/>
      <c r="FV15" s="78"/>
      <c r="FW15" s="78"/>
      <c r="FX15" s="78"/>
      <c r="FY15" s="78"/>
      <c r="FZ15" s="78"/>
      <c r="GA15" s="78"/>
      <c r="GB15" s="78"/>
      <c r="GC15" s="78"/>
      <c r="GD15" s="78"/>
      <c r="GE15" s="78"/>
      <c r="GF15" s="78"/>
      <c r="GG15" s="78"/>
      <c r="GH15" s="78"/>
      <c r="GI15" s="78"/>
      <c r="GJ15" s="78"/>
      <c r="GK15" s="78"/>
      <c r="GL15" s="78"/>
      <c r="GM15" s="78"/>
      <c r="GN15" s="78"/>
      <c r="GO15" s="78"/>
      <c r="GP15" s="78"/>
      <c r="GQ15" s="78"/>
      <c r="GR15" s="78"/>
      <c r="GS15" s="78"/>
      <c r="GT15" s="78"/>
      <c r="GU15" s="78"/>
      <c r="GV15" s="78"/>
      <c r="GW15" s="78"/>
      <c r="GX15" s="78"/>
      <c r="GY15" s="78"/>
      <c r="GZ15" s="78"/>
      <c r="HA15" s="78"/>
      <c r="HB15" s="78"/>
      <c r="HC15" s="78"/>
      <c r="HD15" s="78"/>
      <c r="HE15" s="78"/>
      <c r="HF15" s="78"/>
      <c r="HG15" s="78"/>
      <c r="HH15" s="78"/>
      <c r="HI15" s="78"/>
      <c r="HJ15" s="78"/>
      <c r="HK15" s="78"/>
      <c r="HL15" s="78"/>
      <c r="HM15" s="78"/>
      <c r="HN15" s="78"/>
      <c r="HO15" s="78"/>
      <c r="HP15" s="78"/>
      <c r="HQ15" s="78"/>
      <c r="HR15" s="78"/>
      <c r="HS15" s="78"/>
      <c r="HT15" s="78"/>
      <c r="HU15" s="78"/>
      <c r="HV15" s="78"/>
      <c r="HW15" s="78"/>
      <c r="HX15" s="78"/>
      <c r="HY15" s="78"/>
      <c r="HZ15" s="78"/>
      <c r="IA15" s="78"/>
      <c r="IB15" s="78"/>
      <c r="IC15" s="78"/>
      <c r="ID15" s="78"/>
      <c r="IE15" s="78"/>
      <c r="IF15" s="78"/>
      <c r="IG15" s="78"/>
      <c r="IH15" s="78"/>
      <c r="II15" s="78"/>
      <c r="IJ15" s="78"/>
      <c r="IK15" s="78"/>
      <c r="IL15" s="78"/>
      <c r="IM15" s="78"/>
      <c r="IN15" s="78"/>
      <c r="IO15" s="78"/>
      <c r="IP15" s="78"/>
      <c r="IQ15" s="78"/>
      <c r="IR15" s="78"/>
      <c r="IS15" s="78"/>
      <c r="IT15" s="78"/>
      <c r="IU15" s="78"/>
      <c r="IV15" s="78"/>
    </row>
    <row r="16" spans="1:256" s="79" customFormat="1" ht="17" customHeight="1" x14ac:dyDescent="0.15">
      <c r="A16" s="82">
        <v>13</v>
      </c>
      <c r="B16" s="77" t="s">
        <v>411</v>
      </c>
      <c r="C16" s="77" t="s">
        <v>68</v>
      </c>
      <c r="D16" s="63">
        <f t="shared" si="0"/>
        <v>10</v>
      </c>
      <c r="E16" s="70">
        <f>IF(项目总工作量!$B$6="交易类",D16*1.5/22,IF(项目总工作量!$B$6="数据分析类",D16*1.5*0.9/22,IF(项目总工作量!$B$6="流程管理类",D16*1.5*0.8/22,IF(项目总工作量!$B$6="渠道类",FALSE))))</f>
        <v>0.68181818181818177</v>
      </c>
      <c r="F16" s="83">
        <v>1</v>
      </c>
      <c r="G16" s="80"/>
      <c r="H16" s="80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8"/>
      <c r="BZ16" s="78"/>
      <c r="CA16" s="78"/>
      <c r="CB16" s="78"/>
      <c r="CC16" s="78"/>
      <c r="CD16" s="78"/>
      <c r="CE16" s="78"/>
      <c r="CF16" s="78"/>
      <c r="CG16" s="78"/>
      <c r="CH16" s="78"/>
      <c r="CI16" s="78"/>
      <c r="CJ16" s="78"/>
      <c r="CK16" s="78"/>
      <c r="CL16" s="78"/>
      <c r="CM16" s="78"/>
      <c r="CN16" s="78"/>
      <c r="CO16" s="78"/>
      <c r="CP16" s="78"/>
      <c r="CQ16" s="78"/>
      <c r="CR16" s="78"/>
      <c r="CS16" s="78"/>
      <c r="CT16" s="78"/>
      <c r="CU16" s="78"/>
      <c r="CV16" s="78"/>
      <c r="CW16" s="78"/>
      <c r="CX16" s="78"/>
      <c r="CY16" s="78"/>
      <c r="CZ16" s="78"/>
      <c r="DA16" s="78"/>
      <c r="DB16" s="78"/>
      <c r="DC16" s="78"/>
      <c r="DD16" s="78"/>
      <c r="DE16" s="78"/>
      <c r="DF16" s="78"/>
      <c r="DG16" s="78"/>
      <c r="DH16" s="78"/>
      <c r="DI16" s="78"/>
      <c r="DJ16" s="78"/>
      <c r="DK16" s="78"/>
      <c r="DL16" s="78"/>
      <c r="DM16" s="78"/>
      <c r="DN16" s="78"/>
      <c r="DO16" s="78"/>
      <c r="DP16" s="78"/>
      <c r="DQ16" s="78"/>
      <c r="DR16" s="78"/>
      <c r="DS16" s="78"/>
      <c r="DT16" s="78"/>
      <c r="DU16" s="78"/>
      <c r="DV16" s="78"/>
      <c r="DW16" s="78"/>
      <c r="DX16" s="78"/>
      <c r="DY16" s="78"/>
      <c r="DZ16" s="78"/>
      <c r="EA16" s="78"/>
      <c r="EB16" s="78"/>
      <c r="EC16" s="78"/>
      <c r="ED16" s="78"/>
      <c r="EE16" s="78"/>
      <c r="EF16" s="78"/>
      <c r="EG16" s="78"/>
      <c r="EH16" s="78"/>
      <c r="EI16" s="78"/>
      <c r="EJ16" s="78"/>
      <c r="EK16" s="78"/>
      <c r="EL16" s="78"/>
      <c r="EM16" s="78"/>
      <c r="EN16" s="78"/>
      <c r="EO16" s="78"/>
      <c r="EP16" s="78"/>
      <c r="EQ16" s="78"/>
      <c r="ER16" s="78"/>
      <c r="ES16" s="78"/>
      <c r="ET16" s="78"/>
      <c r="EU16" s="78"/>
      <c r="EV16" s="78"/>
      <c r="EW16" s="78"/>
      <c r="EX16" s="78"/>
      <c r="EY16" s="78"/>
      <c r="EZ16" s="78"/>
      <c r="FA16" s="78"/>
      <c r="FB16" s="78"/>
      <c r="FC16" s="78"/>
      <c r="FD16" s="78"/>
      <c r="FE16" s="78"/>
      <c r="FF16" s="78"/>
      <c r="FG16" s="78"/>
      <c r="FH16" s="78"/>
      <c r="FI16" s="78"/>
      <c r="FJ16" s="78"/>
      <c r="FK16" s="78"/>
      <c r="FL16" s="78"/>
      <c r="FM16" s="78"/>
      <c r="FN16" s="78"/>
      <c r="FO16" s="78"/>
      <c r="FP16" s="78"/>
      <c r="FQ16" s="78"/>
      <c r="FR16" s="78"/>
      <c r="FS16" s="78"/>
      <c r="FT16" s="78"/>
      <c r="FU16" s="78"/>
      <c r="FV16" s="78"/>
      <c r="FW16" s="78"/>
      <c r="FX16" s="78"/>
      <c r="FY16" s="78"/>
      <c r="FZ16" s="78"/>
      <c r="GA16" s="78"/>
      <c r="GB16" s="78"/>
      <c r="GC16" s="78"/>
      <c r="GD16" s="78"/>
      <c r="GE16" s="78"/>
      <c r="GF16" s="78"/>
      <c r="GG16" s="78"/>
      <c r="GH16" s="78"/>
      <c r="GI16" s="78"/>
      <c r="GJ16" s="78"/>
      <c r="GK16" s="78"/>
      <c r="GL16" s="78"/>
      <c r="GM16" s="78"/>
      <c r="GN16" s="78"/>
      <c r="GO16" s="78"/>
      <c r="GP16" s="78"/>
      <c r="GQ16" s="78"/>
      <c r="GR16" s="78"/>
      <c r="GS16" s="78"/>
      <c r="GT16" s="78"/>
      <c r="GU16" s="78"/>
      <c r="GV16" s="78"/>
      <c r="GW16" s="78"/>
      <c r="GX16" s="78"/>
      <c r="GY16" s="78"/>
      <c r="GZ16" s="78"/>
      <c r="HA16" s="78"/>
      <c r="HB16" s="78"/>
      <c r="HC16" s="78"/>
      <c r="HD16" s="78"/>
      <c r="HE16" s="78"/>
      <c r="HF16" s="78"/>
      <c r="HG16" s="78"/>
      <c r="HH16" s="78"/>
      <c r="HI16" s="78"/>
      <c r="HJ16" s="78"/>
      <c r="HK16" s="78"/>
      <c r="HL16" s="78"/>
      <c r="HM16" s="78"/>
      <c r="HN16" s="78"/>
      <c r="HO16" s="78"/>
      <c r="HP16" s="78"/>
      <c r="HQ16" s="78"/>
      <c r="HR16" s="78"/>
      <c r="HS16" s="78"/>
      <c r="HT16" s="78"/>
      <c r="HU16" s="78"/>
      <c r="HV16" s="78"/>
      <c r="HW16" s="78"/>
      <c r="HX16" s="78"/>
      <c r="HY16" s="78"/>
      <c r="HZ16" s="78"/>
      <c r="IA16" s="78"/>
      <c r="IB16" s="78"/>
      <c r="IC16" s="78"/>
      <c r="ID16" s="78"/>
      <c r="IE16" s="78"/>
      <c r="IF16" s="78"/>
      <c r="IG16" s="78"/>
      <c r="IH16" s="78"/>
      <c r="II16" s="78"/>
      <c r="IJ16" s="78"/>
      <c r="IK16" s="78"/>
      <c r="IL16" s="78"/>
      <c r="IM16" s="78"/>
      <c r="IN16" s="78"/>
      <c r="IO16" s="78"/>
      <c r="IP16" s="78"/>
      <c r="IQ16" s="78"/>
      <c r="IR16" s="78"/>
      <c r="IS16" s="78"/>
      <c r="IT16" s="78"/>
      <c r="IU16" s="78"/>
      <c r="IV16" s="78"/>
    </row>
    <row r="17" spans="1:256" s="79" customFormat="1" ht="17" customHeight="1" x14ac:dyDescent="0.15">
      <c r="A17" s="82">
        <v>14</v>
      </c>
      <c r="B17" s="77" t="s">
        <v>412</v>
      </c>
      <c r="C17" s="77" t="s">
        <v>68</v>
      </c>
      <c r="D17" s="63">
        <f t="shared" si="0"/>
        <v>10</v>
      </c>
      <c r="E17" s="70">
        <f>IF(项目总工作量!$B$6="交易类",D17*1.5/22,IF(项目总工作量!$B$6="数据分析类",D17*1.5*0.9/22,IF(项目总工作量!$B$6="流程管理类",D17*1.5*0.8/22,IF(项目总工作量!$B$6="渠道类",FALSE))))</f>
        <v>0.68181818181818177</v>
      </c>
      <c r="F17" s="83">
        <v>1</v>
      </c>
      <c r="G17" s="80"/>
      <c r="H17" s="80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8"/>
      <c r="BZ17" s="78"/>
      <c r="CA17" s="78"/>
      <c r="CB17" s="78"/>
      <c r="CC17" s="78"/>
      <c r="CD17" s="78"/>
      <c r="CE17" s="78"/>
      <c r="CF17" s="78"/>
      <c r="CG17" s="78"/>
      <c r="CH17" s="78"/>
      <c r="CI17" s="78"/>
      <c r="CJ17" s="78"/>
      <c r="CK17" s="78"/>
      <c r="CL17" s="78"/>
      <c r="CM17" s="78"/>
      <c r="CN17" s="78"/>
      <c r="CO17" s="78"/>
      <c r="CP17" s="78"/>
      <c r="CQ17" s="78"/>
      <c r="CR17" s="78"/>
      <c r="CS17" s="78"/>
      <c r="CT17" s="78"/>
      <c r="CU17" s="78"/>
      <c r="CV17" s="78"/>
      <c r="CW17" s="78"/>
      <c r="CX17" s="78"/>
      <c r="CY17" s="78"/>
      <c r="CZ17" s="78"/>
      <c r="DA17" s="78"/>
      <c r="DB17" s="78"/>
      <c r="DC17" s="78"/>
      <c r="DD17" s="78"/>
      <c r="DE17" s="78"/>
      <c r="DF17" s="78"/>
      <c r="DG17" s="78"/>
      <c r="DH17" s="78"/>
      <c r="DI17" s="78"/>
      <c r="DJ17" s="78"/>
      <c r="DK17" s="78"/>
      <c r="DL17" s="78"/>
      <c r="DM17" s="78"/>
      <c r="DN17" s="78"/>
      <c r="DO17" s="78"/>
      <c r="DP17" s="78"/>
      <c r="DQ17" s="78"/>
      <c r="DR17" s="78"/>
      <c r="DS17" s="78"/>
      <c r="DT17" s="78"/>
      <c r="DU17" s="78"/>
      <c r="DV17" s="78"/>
      <c r="DW17" s="78"/>
      <c r="DX17" s="78"/>
      <c r="DY17" s="78"/>
      <c r="DZ17" s="78"/>
      <c r="EA17" s="78"/>
      <c r="EB17" s="78"/>
      <c r="EC17" s="78"/>
      <c r="ED17" s="78"/>
      <c r="EE17" s="78"/>
      <c r="EF17" s="78"/>
      <c r="EG17" s="78"/>
      <c r="EH17" s="78"/>
      <c r="EI17" s="78"/>
      <c r="EJ17" s="78"/>
      <c r="EK17" s="78"/>
      <c r="EL17" s="78"/>
      <c r="EM17" s="78"/>
      <c r="EN17" s="78"/>
      <c r="EO17" s="78"/>
      <c r="EP17" s="78"/>
      <c r="EQ17" s="78"/>
      <c r="ER17" s="78"/>
      <c r="ES17" s="78"/>
      <c r="ET17" s="78"/>
      <c r="EU17" s="78"/>
      <c r="EV17" s="78"/>
      <c r="EW17" s="78"/>
      <c r="EX17" s="78"/>
      <c r="EY17" s="78"/>
      <c r="EZ17" s="78"/>
      <c r="FA17" s="78"/>
      <c r="FB17" s="78"/>
      <c r="FC17" s="78"/>
      <c r="FD17" s="78"/>
      <c r="FE17" s="78"/>
      <c r="FF17" s="78"/>
      <c r="FG17" s="78"/>
      <c r="FH17" s="78"/>
      <c r="FI17" s="78"/>
      <c r="FJ17" s="78"/>
      <c r="FK17" s="78"/>
      <c r="FL17" s="78"/>
      <c r="FM17" s="78"/>
      <c r="FN17" s="78"/>
      <c r="FO17" s="78"/>
      <c r="FP17" s="78"/>
      <c r="FQ17" s="78"/>
      <c r="FR17" s="78"/>
      <c r="FS17" s="78"/>
      <c r="FT17" s="78"/>
      <c r="FU17" s="78"/>
      <c r="FV17" s="78"/>
      <c r="FW17" s="78"/>
      <c r="FX17" s="78"/>
      <c r="FY17" s="78"/>
      <c r="FZ17" s="78"/>
      <c r="GA17" s="78"/>
      <c r="GB17" s="78"/>
      <c r="GC17" s="78"/>
      <c r="GD17" s="78"/>
      <c r="GE17" s="78"/>
      <c r="GF17" s="78"/>
      <c r="GG17" s="78"/>
      <c r="GH17" s="78"/>
      <c r="GI17" s="78"/>
      <c r="GJ17" s="78"/>
      <c r="GK17" s="78"/>
      <c r="GL17" s="78"/>
      <c r="GM17" s="78"/>
      <c r="GN17" s="78"/>
      <c r="GO17" s="78"/>
      <c r="GP17" s="78"/>
      <c r="GQ17" s="78"/>
      <c r="GR17" s="78"/>
      <c r="GS17" s="78"/>
      <c r="GT17" s="78"/>
      <c r="GU17" s="78"/>
      <c r="GV17" s="78"/>
      <c r="GW17" s="78"/>
      <c r="GX17" s="78"/>
      <c r="GY17" s="78"/>
      <c r="GZ17" s="78"/>
      <c r="HA17" s="78"/>
      <c r="HB17" s="78"/>
      <c r="HC17" s="78"/>
      <c r="HD17" s="78"/>
      <c r="HE17" s="78"/>
      <c r="HF17" s="78"/>
      <c r="HG17" s="78"/>
      <c r="HH17" s="78"/>
      <c r="HI17" s="78"/>
      <c r="HJ17" s="78"/>
      <c r="HK17" s="78"/>
      <c r="HL17" s="78"/>
      <c r="HM17" s="78"/>
      <c r="HN17" s="78"/>
      <c r="HO17" s="78"/>
      <c r="HP17" s="78"/>
      <c r="HQ17" s="78"/>
      <c r="HR17" s="78"/>
      <c r="HS17" s="78"/>
      <c r="HT17" s="78"/>
      <c r="HU17" s="78"/>
      <c r="HV17" s="78"/>
      <c r="HW17" s="78"/>
      <c r="HX17" s="78"/>
      <c r="HY17" s="78"/>
      <c r="HZ17" s="78"/>
      <c r="IA17" s="78"/>
      <c r="IB17" s="78"/>
      <c r="IC17" s="78"/>
      <c r="ID17" s="78"/>
      <c r="IE17" s="78"/>
      <c r="IF17" s="78"/>
      <c r="IG17" s="78"/>
      <c r="IH17" s="78"/>
      <c r="II17" s="78"/>
      <c r="IJ17" s="78"/>
      <c r="IK17" s="78"/>
      <c r="IL17" s="78"/>
      <c r="IM17" s="78"/>
      <c r="IN17" s="78"/>
      <c r="IO17" s="78"/>
      <c r="IP17" s="78"/>
      <c r="IQ17" s="78"/>
      <c r="IR17" s="78"/>
      <c r="IS17" s="78"/>
      <c r="IT17" s="78"/>
      <c r="IU17" s="78"/>
      <c r="IV17" s="78"/>
    </row>
    <row r="18" spans="1:256" s="79" customFormat="1" ht="17" customHeight="1" x14ac:dyDescent="0.15">
      <c r="A18" s="82">
        <v>15</v>
      </c>
      <c r="B18" s="77" t="s">
        <v>413</v>
      </c>
      <c r="C18" s="77" t="s">
        <v>68</v>
      </c>
      <c r="D18" s="63">
        <f t="shared" si="0"/>
        <v>10</v>
      </c>
      <c r="E18" s="70">
        <f>IF(项目总工作量!$B$6="交易类",D18*1.5/22,IF(项目总工作量!$B$6="数据分析类",D18*1.5*0.9/22,IF(项目总工作量!$B$6="流程管理类",D18*1.5*0.8/22,IF(项目总工作量!$B$6="渠道类",FALSE))))</f>
        <v>0.68181818181818177</v>
      </c>
      <c r="F18" s="83">
        <v>1</v>
      </c>
      <c r="G18" s="80"/>
      <c r="H18" s="80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8"/>
      <c r="BZ18" s="78"/>
      <c r="CA18" s="78"/>
      <c r="CB18" s="78"/>
      <c r="CC18" s="78"/>
      <c r="CD18" s="78"/>
      <c r="CE18" s="78"/>
      <c r="CF18" s="78"/>
      <c r="CG18" s="78"/>
      <c r="CH18" s="78"/>
      <c r="CI18" s="78"/>
      <c r="CJ18" s="78"/>
      <c r="CK18" s="78"/>
      <c r="CL18" s="78"/>
      <c r="CM18" s="78"/>
      <c r="CN18" s="78"/>
      <c r="CO18" s="78"/>
      <c r="CP18" s="78"/>
      <c r="CQ18" s="78"/>
      <c r="CR18" s="78"/>
      <c r="CS18" s="78"/>
      <c r="CT18" s="78"/>
      <c r="CU18" s="78"/>
      <c r="CV18" s="78"/>
      <c r="CW18" s="78"/>
      <c r="CX18" s="78"/>
      <c r="CY18" s="78"/>
      <c r="CZ18" s="78"/>
      <c r="DA18" s="78"/>
      <c r="DB18" s="78"/>
      <c r="DC18" s="78"/>
      <c r="DD18" s="78"/>
      <c r="DE18" s="78"/>
      <c r="DF18" s="78"/>
      <c r="DG18" s="78"/>
      <c r="DH18" s="78"/>
      <c r="DI18" s="78"/>
      <c r="DJ18" s="78"/>
      <c r="DK18" s="78"/>
      <c r="DL18" s="78"/>
      <c r="DM18" s="78"/>
      <c r="DN18" s="78"/>
      <c r="DO18" s="78"/>
      <c r="DP18" s="78"/>
      <c r="DQ18" s="78"/>
      <c r="DR18" s="78"/>
      <c r="DS18" s="78"/>
      <c r="DT18" s="78"/>
      <c r="DU18" s="78"/>
      <c r="DV18" s="78"/>
      <c r="DW18" s="78"/>
      <c r="DX18" s="78"/>
      <c r="DY18" s="78"/>
      <c r="DZ18" s="78"/>
      <c r="EA18" s="78"/>
      <c r="EB18" s="78"/>
      <c r="EC18" s="78"/>
      <c r="ED18" s="78"/>
      <c r="EE18" s="78"/>
      <c r="EF18" s="78"/>
      <c r="EG18" s="78"/>
      <c r="EH18" s="78"/>
      <c r="EI18" s="78"/>
      <c r="EJ18" s="78"/>
      <c r="EK18" s="78"/>
      <c r="EL18" s="78"/>
      <c r="EM18" s="78"/>
      <c r="EN18" s="78"/>
      <c r="EO18" s="78"/>
      <c r="EP18" s="78"/>
      <c r="EQ18" s="78"/>
      <c r="ER18" s="78"/>
      <c r="ES18" s="78"/>
      <c r="ET18" s="78"/>
      <c r="EU18" s="78"/>
      <c r="EV18" s="78"/>
      <c r="EW18" s="78"/>
      <c r="EX18" s="78"/>
      <c r="EY18" s="78"/>
      <c r="EZ18" s="78"/>
      <c r="FA18" s="78"/>
      <c r="FB18" s="78"/>
      <c r="FC18" s="78"/>
      <c r="FD18" s="78"/>
      <c r="FE18" s="78"/>
      <c r="FF18" s="78"/>
      <c r="FG18" s="78"/>
      <c r="FH18" s="78"/>
      <c r="FI18" s="78"/>
      <c r="FJ18" s="78"/>
      <c r="FK18" s="78"/>
      <c r="FL18" s="78"/>
      <c r="FM18" s="78"/>
      <c r="FN18" s="78"/>
      <c r="FO18" s="78"/>
      <c r="FP18" s="78"/>
      <c r="FQ18" s="78"/>
      <c r="FR18" s="78"/>
      <c r="FS18" s="78"/>
      <c r="FT18" s="78"/>
      <c r="FU18" s="78"/>
      <c r="FV18" s="78"/>
      <c r="FW18" s="78"/>
      <c r="FX18" s="78"/>
      <c r="FY18" s="78"/>
      <c r="FZ18" s="78"/>
      <c r="GA18" s="78"/>
      <c r="GB18" s="78"/>
      <c r="GC18" s="78"/>
      <c r="GD18" s="78"/>
      <c r="GE18" s="78"/>
      <c r="GF18" s="78"/>
      <c r="GG18" s="78"/>
      <c r="GH18" s="78"/>
      <c r="GI18" s="78"/>
      <c r="GJ18" s="78"/>
      <c r="GK18" s="78"/>
      <c r="GL18" s="78"/>
      <c r="GM18" s="78"/>
      <c r="GN18" s="78"/>
      <c r="GO18" s="78"/>
      <c r="GP18" s="78"/>
      <c r="GQ18" s="78"/>
      <c r="GR18" s="78"/>
      <c r="GS18" s="78"/>
      <c r="GT18" s="78"/>
      <c r="GU18" s="78"/>
      <c r="GV18" s="78"/>
      <c r="GW18" s="78"/>
      <c r="GX18" s="78"/>
      <c r="GY18" s="78"/>
      <c r="GZ18" s="78"/>
      <c r="HA18" s="78"/>
      <c r="HB18" s="78"/>
      <c r="HC18" s="78"/>
      <c r="HD18" s="78"/>
      <c r="HE18" s="78"/>
      <c r="HF18" s="78"/>
      <c r="HG18" s="78"/>
      <c r="HH18" s="78"/>
      <c r="HI18" s="78"/>
      <c r="HJ18" s="78"/>
      <c r="HK18" s="78"/>
      <c r="HL18" s="78"/>
      <c r="HM18" s="78"/>
      <c r="HN18" s="78"/>
      <c r="HO18" s="78"/>
      <c r="HP18" s="78"/>
      <c r="HQ18" s="78"/>
      <c r="HR18" s="78"/>
      <c r="HS18" s="78"/>
      <c r="HT18" s="78"/>
      <c r="HU18" s="78"/>
      <c r="HV18" s="78"/>
      <c r="HW18" s="78"/>
      <c r="HX18" s="78"/>
      <c r="HY18" s="78"/>
      <c r="HZ18" s="78"/>
      <c r="IA18" s="78"/>
      <c r="IB18" s="78"/>
      <c r="IC18" s="78"/>
      <c r="ID18" s="78"/>
      <c r="IE18" s="78"/>
      <c r="IF18" s="78"/>
      <c r="IG18" s="78"/>
      <c r="IH18" s="78"/>
      <c r="II18" s="78"/>
      <c r="IJ18" s="78"/>
      <c r="IK18" s="78"/>
      <c r="IL18" s="78"/>
      <c r="IM18" s="78"/>
      <c r="IN18" s="78"/>
      <c r="IO18" s="78"/>
      <c r="IP18" s="78"/>
      <c r="IQ18" s="78"/>
      <c r="IR18" s="78"/>
      <c r="IS18" s="78"/>
      <c r="IT18" s="78"/>
      <c r="IU18" s="78"/>
      <c r="IV18" s="78"/>
    </row>
    <row r="19" spans="1:256" s="79" customFormat="1" ht="17" customHeight="1" x14ac:dyDescent="0.15">
      <c r="A19" s="82">
        <v>16</v>
      </c>
      <c r="B19" s="77" t="s">
        <v>414</v>
      </c>
      <c r="C19" s="77" t="s">
        <v>68</v>
      </c>
      <c r="D19" s="63">
        <f t="shared" si="0"/>
        <v>10</v>
      </c>
      <c r="E19" s="70">
        <f>IF(项目总工作量!$B$6="交易类",D19*1.5/22,IF(项目总工作量!$B$6="数据分析类",D19*1.5*0.9/22,IF(项目总工作量!$B$6="流程管理类",D19*1.5*0.8/22,IF(项目总工作量!$B$6="渠道类",FALSE))))</f>
        <v>0.68181818181818177</v>
      </c>
      <c r="F19" s="83">
        <v>1</v>
      </c>
      <c r="G19" s="80"/>
      <c r="H19" s="80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8"/>
      <c r="BZ19" s="78"/>
      <c r="CA19" s="78"/>
      <c r="CB19" s="78"/>
      <c r="CC19" s="78"/>
      <c r="CD19" s="78"/>
      <c r="CE19" s="78"/>
      <c r="CF19" s="78"/>
      <c r="CG19" s="78"/>
      <c r="CH19" s="78"/>
      <c r="CI19" s="78"/>
      <c r="CJ19" s="78"/>
      <c r="CK19" s="78"/>
      <c r="CL19" s="78"/>
      <c r="CM19" s="78"/>
      <c r="CN19" s="78"/>
      <c r="CO19" s="78"/>
      <c r="CP19" s="78"/>
      <c r="CQ19" s="78"/>
      <c r="CR19" s="78"/>
      <c r="CS19" s="78"/>
      <c r="CT19" s="78"/>
      <c r="CU19" s="78"/>
      <c r="CV19" s="78"/>
      <c r="CW19" s="78"/>
      <c r="CX19" s="78"/>
      <c r="CY19" s="78"/>
      <c r="CZ19" s="78"/>
      <c r="DA19" s="78"/>
      <c r="DB19" s="78"/>
      <c r="DC19" s="78"/>
      <c r="DD19" s="78"/>
      <c r="DE19" s="78"/>
      <c r="DF19" s="78"/>
      <c r="DG19" s="78"/>
      <c r="DH19" s="78"/>
      <c r="DI19" s="78"/>
      <c r="DJ19" s="78"/>
      <c r="DK19" s="78"/>
      <c r="DL19" s="78"/>
      <c r="DM19" s="78"/>
      <c r="DN19" s="78"/>
      <c r="DO19" s="78"/>
      <c r="DP19" s="78"/>
      <c r="DQ19" s="78"/>
      <c r="DR19" s="78"/>
      <c r="DS19" s="78"/>
      <c r="DT19" s="78"/>
      <c r="DU19" s="78"/>
      <c r="DV19" s="78"/>
      <c r="DW19" s="78"/>
      <c r="DX19" s="78"/>
      <c r="DY19" s="78"/>
      <c r="DZ19" s="78"/>
      <c r="EA19" s="78"/>
      <c r="EB19" s="78"/>
      <c r="EC19" s="78"/>
      <c r="ED19" s="78"/>
      <c r="EE19" s="78"/>
      <c r="EF19" s="78"/>
      <c r="EG19" s="78"/>
      <c r="EH19" s="78"/>
      <c r="EI19" s="78"/>
      <c r="EJ19" s="78"/>
      <c r="EK19" s="78"/>
      <c r="EL19" s="78"/>
      <c r="EM19" s="78"/>
      <c r="EN19" s="78"/>
      <c r="EO19" s="78"/>
      <c r="EP19" s="78"/>
      <c r="EQ19" s="78"/>
      <c r="ER19" s="78"/>
      <c r="ES19" s="78"/>
      <c r="ET19" s="78"/>
      <c r="EU19" s="78"/>
      <c r="EV19" s="78"/>
      <c r="EW19" s="78"/>
      <c r="EX19" s="78"/>
      <c r="EY19" s="78"/>
      <c r="EZ19" s="78"/>
      <c r="FA19" s="78"/>
      <c r="FB19" s="78"/>
      <c r="FC19" s="78"/>
      <c r="FD19" s="78"/>
      <c r="FE19" s="78"/>
      <c r="FF19" s="78"/>
      <c r="FG19" s="78"/>
      <c r="FH19" s="78"/>
      <c r="FI19" s="78"/>
      <c r="FJ19" s="78"/>
      <c r="FK19" s="78"/>
      <c r="FL19" s="78"/>
      <c r="FM19" s="78"/>
      <c r="FN19" s="78"/>
      <c r="FO19" s="78"/>
      <c r="FP19" s="78"/>
      <c r="FQ19" s="78"/>
      <c r="FR19" s="78"/>
      <c r="FS19" s="78"/>
      <c r="FT19" s="78"/>
      <c r="FU19" s="78"/>
      <c r="FV19" s="78"/>
      <c r="FW19" s="78"/>
      <c r="FX19" s="78"/>
      <c r="FY19" s="78"/>
      <c r="FZ19" s="78"/>
      <c r="GA19" s="78"/>
      <c r="GB19" s="78"/>
      <c r="GC19" s="78"/>
      <c r="GD19" s="78"/>
      <c r="GE19" s="78"/>
      <c r="GF19" s="78"/>
      <c r="GG19" s="78"/>
      <c r="GH19" s="78"/>
      <c r="GI19" s="78"/>
      <c r="GJ19" s="78"/>
      <c r="GK19" s="78"/>
      <c r="GL19" s="78"/>
      <c r="GM19" s="78"/>
      <c r="GN19" s="78"/>
      <c r="GO19" s="78"/>
      <c r="GP19" s="78"/>
      <c r="GQ19" s="78"/>
      <c r="GR19" s="78"/>
      <c r="GS19" s="78"/>
      <c r="GT19" s="78"/>
      <c r="GU19" s="78"/>
      <c r="GV19" s="78"/>
      <c r="GW19" s="78"/>
      <c r="GX19" s="78"/>
      <c r="GY19" s="78"/>
      <c r="GZ19" s="78"/>
      <c r="HA19" s="78"/>
      <c r="HB19" s="78"/>
      <c r="HC19" s="78"/>
      <c r="HD19" s="78"/>
      <c r="HE19" s="78"/>
      <c r="HF19" s="78"/>
      <c r="HG19" s="78"/>
      <c r="HH19" s="78"/>
      <c r="HI19" s="78"/>
      <c r="HJ19" s="78"/>
      <c r="HK19" s="78"/>
      <c r="HL19" s="78"/>
      <c r="HM19" s="78"/>
      <c r="HN19" s="78"/>
      <c r="HO19" s="78"/>
      <c r="HP19" s="78"/>
      <c r="HQ19" s="78"/>
      <c r="HR19" s="78"/>
      <c r="HS19" s="78"/>
      <c r="HT19" s="78"/>
      <c r="HU19" s="78"/>
      <c r="HV19" s="78"/>
      <c r="HW19" s="78"/>
      <c r="HX19" s="78"/>
      <c r="HY19" s="78"/>
      <c r="HZ19" s="78"/>
      <c r="IA19" s="78"/>
      <c r="IB19" s="78"/>
      <c r="IC19" s="78"/>
      <c r="ID19" s="78"/>
      <c r="IE19" s="78"/>
      <c r="IF19" s="78"/>
      <c r="IG19" s="78"/>
      <c r="IH19" s="78"/>
      <c r="II19" s="78"/>
      <c r="IJ19" s="78"/>
      <c r="IK19" s="78"/>
      <c r="IL19" s="78"/>
      <c r="IM19" s="78"/>
      <c r="IN19" s="78"/>
      <c r="IO19" s="78"/>
      <c r="IP19" s="78"/>
      <c r="IQ19" s="78"/>
      <c r="IR19" s="78"/>
      <c r="IS19" s="78"/>
      <c r="IT19" s="78"/>
      <c r="IU19" s="78"/>
      <c r="IV19" s="78"/>
    </row>
    <row r="20" spans="1:256" s="79" customFormat="1" ht="17" customHeight="1" x14ac:dyDescent="0.15">
      <c r="A20" s="82">
        <v>17</v>
      </c>
      <c r="B20" s="81" t="s">
        <v>415</v>
      </c>
      <c r="C20" s="80" t="s">
        <v>68</v>
      </c>
      <c r="D20" s="63">
        <f t="shared" si="0"/>
        <v>10</v>
      </c>
      <c r="E20" s="70">
        <f>IF(项目总工作量!$B$6="交易类",D20*1.5/22,IF(项目总工作量!$B$6="数据分析类",D20*1.5*0.9/22,IF(项目总工作量!$B$6="流程管理类",D20*1.5*0.8/22,IF(项目总工作量!$B$6="渠道类",FALSE))))</f>
        <v>0.68181818181818177</v>
      </c>
      <c r="F20" s="83">
        <v>1</v>
      </c>
      <c r="G20" s="80"/>
      <c r="H20" s="80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8"/>
      <c r="BZ20" s="78"/>
      <c r="CA20" s="78"/>
      <c r="CB20" s="78"/>
      <c r="CC20" s="78"/>
      <c r="CD20" s="78"/>
      <c r="CE20" s="78"/>
      <c r="CF20" s="78"/>
      <c r="CG20" s="78"/>
      <c r="CH20" s="78"/>
      <c r="CI20" s="78"/>
      <c r="CJ20" s="78"/>
      <c r="CK20" s="78"/>
      <c r="CL20" s="78"/>
      <c r="CM20" s="78"/>
      <c r="CN20" s="78"/>
      <c r="CO20" s="78"/>
      <c r="CP20" s="78"/>
      <c r="CQ20" s="78"/>
      <c r="CR20" s="78"/>
      <c r="CS20" s="78"/>
      <c r="CT20" s="78"/>
      <c r="CU20" s="78"/>
      <c r="CV20" s="78"/>
      <c r="CW20" s="78"/>
      <c r="CX20" s="78"/>
      <c r="CY20" s="78"/>
      <c r="CZ20" s="78"/>
      <c r="DA20" s="78"/>
      <c r="DB20" s="78"/>
      <c r="DC20" s="78"/>
      <c r="DD20" s="78"/>
      <c r="DE20" s="78"/>
      <c r="DF20" s="78"/>
      <c r="DG20" s="78"/>
      <c r="DH20" s="78"/>
      <c r="DI20" s="78"/>
      <c r="DJ20" s="78"/>
      <c r="DK20" s="78"/>
      <c r="DL20" s="78"/>
      <c r="DM20" s="78"/>
      <c r="DN20" s="78"/>
      <c r="DO20" s="78"/>
      <c r="DP20" s="78"/>
      <c r="DQ20" s="78"/>
      <c r="DR20" s="78"/>
      <c r="DS20" s="78"/>
      <c r="DT20" s="78"/>
      <c r="DU20" s="78"/>
      <c r="DV20" s="78"/>
      <c r="DW20" s="78"/>
      <c r="DX20" s="78"/>
      <c r="DY20" s="78"/>
      <c r="DZ20" s="78"/>
      <c r="EA20" s="78"/>
      <c r="EB20" s="78"/>
      <c r="EC20" s="78"/>
      <c r="ED20" s="78"/>
      <c r="EE20" s="78"/>
      <c r="EF20" s="78"/>
      <c r="EG20" s="78"/>
      <c r="EH20" s="78"/>
      <c r="EI20" s="78"/>
      <c r="EJ20" s="78"/>
      <c r="EK20" s="78"/>
      <c r="EL20" s="78"/>
      <c r="EM20" s="78"/>
      <c r="EN20" s="78"/>
      <c r="EO20" s="78"/>
      <c r="EP20" s="78"/>
      <c r="EQ20" s="78"/>
      <c r="ER20" s="78"/>
      <c r="ES20" s="78"/>
      <c r="ET20" s="78"/>
      <c r="EU20" s="78"/>
      <c r="EV20" s="78"/>
      <c r="EW20" s="78"/>
      <c r="EX20" s="78"/>
      <c r="EY20" s="78"/>
      <c r="EZ20" s="78"/>
      <c r="FA20" s="78"/>
      <c r="FB20" s="78"/>
      <c r="FC20" s="78"/>
      <c r="FD20" s="78"/>
      <c r="FE20" s="78"/>
      <c r="FF20" s="78"/>
      <c r="FG20" s="78"/>
      <c r="FH20" s="78"/>
      <c r="FI20" s="78"/>
      <c r="FJ20" s="78"/>
      <c r="FK20" s="78"/>
      <c r="FL20" s="78"/>
      <c r="FM20" s="78"/>
      <c r="FN20" s="78"/>
      <c r="FO20" s="78"/>
      <c r="FP20" s="78"/>
      <c r="FQ20" s="78"/>
      <c r="FR20" s="78"/>
      <c r="FS20" s="78"/>
      <c r="FT20" s="78"/>
      <c r="FU20" s="78"/>
      <c r="FV20" s="78"/>
      <c r="FW20" s="78"/>
      <c r="FX20" s="78"/>
      <c r="FY20" s="78"/>
      <c r="FZ20" s="78"/>
      <c r="GA20" s="78"/>
      <c r="GB20" s="78"/>
      <c r="GC20" s="78"/>
      <c r="GD20" s="78"/>
      <c r="GE20" s="78"/>
      <c r="GF20" s="78"/>
      <c r="GG20" s="78"/>
      <c r="GH20" s="78"/>
      <c r="GI20" s="78"/>
      <c r="GJ20" s="78"/>
      <c r="GK20" s="78"/>
      <c r="GL20" s="78"/>
      <c r="GM20" s="78"/>
      <c r="GN20" s="78"/>
      <c r="GO20" s="78"/>
      <c r="GP20" s="78"/>
      <c r="GQ20" s="78"/>
      <c r="GR20" s="78"/>
      <c r="GS20" s="78"/>
      <c r="GT20" s="78"/>
      <c r="GU20" s="78"/>
      <c r="GV20" s="78"/>
      <c r="GW20" s="78"/>
      <c r="GX20" s="78"/>
      <c r="GY20" s="78"/>
      <c r="GZ20" s="78"/>
      <c r="HA20" s="78"/>
      <c r="HB20" s="78"/>
      <c r="HC20" s="78"/>
      <c r="HD20" s="78"/>
      <c r="HE20" s="78"/>
      <c r="HF20" s="78"/>
      <c r="HG20" s="78"/>
      <c r="HH20" s="78"/>
      <c r="HI20" s="78"/>
      <c r="HJ20" s="78"/>
      <c r="HK20" s="78"/>
      <c r="HL20" s="78"/>
      <c r="HM20" s="78"/>
      <c r="HN20" s="78"/>
      <c r="HO20" s="78"/>
      <c r="HP20" s="78"/>
      <c r="HQ20" s="78"/>
      <c r="HR20" s="78"/>
      <c r="HS20" s="78"/>
      <c r="HT20" s="78"/>
      <c r="HU20" s="78"/>
      <c r="HV20" s="78"/>
      <c r="HW20" s="78"/>
      <c r="HX20" s="78"/>
      <c r="HY20" s="78"/>
      <c r="HZ20" s="78"/>
      <c r="IA20" s="78"/>
      <c r="IB20" s="78"/>
      <c r="IC20" s="78"/>
      <c r="ID20" s="78"/>
      <c r="IE20" s="78"/>
      <c r="IF20" s="78"/>
      <c r="IG20" s="78"/>
      <c r="IH20" s="78"/>
      <c r="II20" s="78"/>
      <c r="IJ20" s="78"/>
      <c r="IK20" s="78"/>
      <c r="IL20" s="78"/>
      <c r="IM20" s="78"/>
      <c r="IN20" s="78"/>
      <c r="IO20" s="78"/>
      <c r="IP20" s="78"/>
      <c r="IQ20" s="78"/>
      <c r="IR20" s="78"/>
      <c r="IS20" s="78"/>
      <c r="IT20" s="78"/>
      <c r="IU20" s="78"/>
      <c r="IV20" s="78"/>
    </row>
    <row r="21" spans="1:256" s="140" customFormat="1" x14ac:dyDescent="0.15">
      <c r="A21" s="82">
        <v>18</v>
      </c>
      <c r="B21" s="171" t="s">
        <v>682</v>
      </c>
      <c r="C21" s="170" t="s">
        <v>683</v>
      </c>
      <c r="D21" s="63">
        <f t="shared" si="0"/>
        <v>10</v>
      </c>
      <c r="E21" s="70">
        <f>IF([2]项目总工作量!$B$6="交易类",D21*1.5/22,IF([2]项目总工作量!$B$6="数据分析类",D21*1.5*0.9/22,IF([2]项目总工作量!$B$6="流程管理类",D21*1.5*0.8/22,IF([2]项目总工作量!$B$6="渠道类",FALSE))))</f>
        <v>0.68181818181818177</v>
      </c>
      <c r="F21" s="83">
        <v>1</v>
      </c>
      <c r="G21" s="170"/>
      <c r="H21" s="150"/>
    </row>
    <row r="22" spans="1:256" s="140" customFormat="1" x14ac:dyDescent="0.15">
      <c r="A22" s="82">
        <v>19</v>
      </c>
      <c r="B22" s="171" t="s">
        <v>684</v>
      </c>
      <c r="C22" s="170" t="s">
        <v>68</v>
      </c>
      <c r="D22" s="63">
        <f t="shared" si="0"/>
        <v>10</v>
      </c>
      <c r="E22" s="70">
        <f>IF([2]项目总工作量!$B$6="交易类",D22*1.5/22,IF([2]项目总工作量!$B$6="数据分析类",D22*1.5*0.9/22,IF([2]项目总工作量!$B$6="流程管理类",D22*1.5*0.8/22,IF([2]项目总工作量!$B$6="渠道类",FALSE))))</f>
        <v>0.68181818181818177</v>
      </c>
      <c r="F22" s="83">
        <v>1</v>
      </c>
      <c r="G22" s="170"/>
      <c r="H22" s="150"/>
    </row>
    <row r="23" spans="1:256" s="140" customFormat="1" x14ac:dyDescent="0.15">
      <c r="A23" s="82">
        <v>20</v>
      </c>
      <c r="B23" s="171" t="s">
        <v>685</v>
      </c>
      <c r="C23" s="170" t="s">
        <v>68</v>
      </c>
      <c r="D23" s="63">
        <f t="shared" si="0"/>
        <v>10</v>
      </c>
      <c r="E23" s="70">
        <f>IF([2]项目总工作量!$B$6="交易类",D23*1.5/22,IF([2]项目总工作量!$B$6="数据分析类",D23*1.5*0.9/22,IF([2]项目总工作量!$B$6="流程管理类",D23*1.5*0.8/22,IF([2]项目总工作量!$B$6="渠道类",FALSE))))</f>
        <v>0.68181818181818177</v>
      </c>
      <c r="F23" s="83">
        <v>1</v>
      </c>
      <c r="G23" s="170"/>
      <c r="H23" s="150"/>
    </row>
    <row r="24" spans="1:256" s="40" customFormat="1" ht="14" x14ac:dyDescent="0.15">
      <c r="A24" s="42"/>
      <c r="B24" s="42"/>
      <c r="C24" s="42"/>
      <c r="D24" s="63">
        <f t="shared" si="0"/>
        <v>0</v>
      </c>
      <c r="E24" s="66">
        <f>IF(项目总工作量!$B$6="交易类",D24*1.5/22,IF(项目总工作量!$B$6="数据分析类",D24*1.5*0.9/22,IF(项目总工作量!$B$6="流程管理类",D24*1.5*0.8/22,IF(项目总工作量!$B$6="渠道类",FALSE))))</f>
        <v>0</v>
      </c>
      <c r="F24" s="38"/>
      <c r="G24" s="42"/>
      <c r="H24" s="61"/>
    </row>
    <row r="25" spans="1:256" s="40" customFormat="1" ht="14" x14ac:dyDescent="0.15">
      <c r="A25" s="42"/>
      <c r="B25" s="42"/>
      <c r="C25" s="42"/>
      <c r="D25" s="63">
        <f t="shared" si="0"/>
        <v>0</v>
      </c>
      <c r="E25" s="66">
        <f>IF(项目总工作量!$B$6="交易类",D25*1.5/22,IF(项目总工作量!$B$6="数据分析类",D25*1.5*0.9/22,IF(项目总工作量!$B$6="流程管理类",D25*1.5*0.8/22,IF(项目总工作量!$B$6="渠道类",FALSE))))</f>
        <v>0</v>
      </c>
      <c r="F25" s="38"/>
      <c r="G25" s="42"/>
      <c r="H25" s="61"/>
    </row>
    <row r="26" spans="1:256" s="40" customFormat="1" ht="14" x14ac:dyDescent="0.15">
      <c r="A26" s="42"/>
      <c r="B26" s="42"/>
      <c r="C26" s="42"/>
      <c r="D26" s="63">
        <f t="shared" si="0"/>
        <v>0</v>
      </c>
      <c r="E26" s="66">
        <f>IF(项目总工作量!$B$6="交易类",D26*1.5/22,IF(项目总工作量!$B$6="数据分析类",D26*1.5*0.9/22,IF(项目总工作量!$B$6="流程管理类",D26*1.5*0.8/22,IF(项目总工作量!$B$6="渠道类",FALSE))))</f>
        <v>0</v>
      </c>
      <c r="F26" s="38"/>
      <c r="G26" s="42"/>
      <c r="H26" s="61"/>
    </row>
    <row r="27" spans="1:256" s="40" customFormat="1" ht="14" x14ac:dyDescent="0.15">
      <c r="A27" s="129" t="s">
        <v>42</v>
      </c>
      <c r="B27" s="130"/>
      <c r="C27" s="130"/>
      <c r="D27" s="59">
        <f>SUM(D4:D26)</f>
        <v>200</v>
      </c>
      <c r="E27" s="36">
        <f>SUM(E4:E26)</f>
        <v>13.636363636363635</v>
      </c>
      <c r="F27" s="36">
        <f>SUM(F4:F26)</f>
        <v>20</v>
      </c>
      <c r="G27" s="39"/>
      <c r="H27" s="39"/>
    </row>
  </sheetData>
  <mergeCells count="2">
    <mergeCell ref="A27:C27"/>
    <mergeCell ref="A1:H1"/>
  </mergeCells>
  <phoneticPr fontId="2" type="noConversion"/>
  <dataValidations count="2">
    <dataValidation type="list" allowBlank="1" showInputMessage="1" showErrorMessage="1" sqref="C4:C26">
      <formula1>"ILF,EIF"</formula1>
    </dataValidation>
    <dataValidation type="list" allowBlank="1" showInputMessage="1" showErrorMessage="1" sqref="G4:G26">
      <formula1>"新增,修改,删除"</formula1>
    </dataValidation>
  </dataValidations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55"/>
  <sheetViews>
    <sheetView workbookViewId="0">
      <selection activeCell="C19" sqref="C19"/>
    </sheetView>
  </sheetViews>
  <sheetFormatPr baseColWidth="10" defaultColWidth="9" defaultRowHeight="14" x14ac:dyDescent="0.15"/>
  <cols>
    <col min="1" max="1" width="7.83203125" style="43" customWidth="1"/>
    <col min="2" max="2" width="16.6640625" style="55" customWidth="1"/>
    <col min="3" max="3" width="19.1640625" style="55" customWidth="1"/>
    <col min="4" max="4" width="19.6640625" style="55" customWidth="1"/>
    <col min="5" max="5" width="21.1640625" style="43" customWidth="1"/>
    <col min="6" max="6" width="20.6640625" style="43" customWidth="1"/>
    <col min="7" max="7" width="13.6640625" style="43" customWidth="1"/>
    <col min="8" max="16384" width="9" style="43"/>
  </cols>
  <sheetData>
    <row r="1" spans="1:9" ht="38.25" customHeight="1" x14ac:dyDescent="0.15">
      <c r="A1" s="137" t="s">
        <v>10</v>
      </c>
      <c r="B1" s="137"/>
      <c r="C1" s="137"/>
      <c r="D1" s="137"/>
      <c r="E1" s="137"/>
      <c r="F1" s="137"/>
      <c r="G1" s="137"/>
    </row>
    <row r="2" spans="1:9" ht="28" x14ac:dyDescent="0.15">
      <c r="A2" s="20" t="s">
        <v>43</v>
      </c>
      <c r="B2" s="20" t="s">
        <v>11</v>
      </c>
      <c r="C2" s="20" t="s">
        <v>25</v>
      </c>
      <c r="D2" s="20" t="s">
        <v>26</v>
      </c>
      <c r="E2" s="20" t="s">
        <v>12</v>
      </c>
      <c r="F2" s="20" t="s">
        <v>13</v>
      </c>
      <c r="G2" s="20" t="s">
        <v>23</v>
      </c>
    </row>
    <row r="3" spans="1:9" ht="70" x14ac:dyDescent="0.15">
      <c r="A3" s="135">
        <v>1</v>
      </c>
      <c r="B3" s="136" t="s">
        <v>419</v>
      </c>
      <c r="C3" s="44" t="s">
        <v>420</v>
      </c>
      <c r="D3" s="44" t="s">
        <v>421</v>
      </c>
      <c r="E3" s="45">
        <v>0.6</v>
      </c>
      <c r="F3" s="45">
        <v>1</v>
      </c>
      <c r="G3" s="46">
        <f>SUM(E3:F3)</f>
        <v>1.6</v>
      </c>
      <c r="H3" s="47"/>
      <c r="I3" s="48"/>
    </row>
    <row r="4" spans="1:9" ht="28" x14ac:dyDescent="0.15">
      <c r="A4" s="135"/>
      <c r="B4" s="136"/>
      <c r="C4" s="44" t="s">
        <v>422</v>
      </c>
      <c r="D4" s="44" t="s">
        <v>423</v>
      </c>
      <c r="E4" s="45">
        <v>3</v>
      </c>
      <c r="F4" s="45"/>
      <c r="G4" s="46">
        <f t="shared" ref="G4:G6" si="0">SUM(E4:F4)</f>
        <v>3</v>
      </c>
      <c r="H4" s="47"/>
    </row>
    <row r="5" spans="1:9" x14ac:dyDescent="0.15">
      <c r="A5" s="135"/>
      <c r="B5" s="136"/>
      <c r="C5" s="44" t="s">
        <v>424</v>
      </c>
      <c r="D5" s="44" t="s">
        <v>425</v>
      </c>
      <c r="E5" s="45">
        <v>2</v>
      </c>
      <c r="F5" s="45"/>
      <c r="G5" s="46">
        <f t="shared" si="0"/>
        <v>2</v>
      </c>
      <c r="H5" s="47"/>
    </row>
    <row r="6" spans="1:9" ht="42" x14ac:dyDescent="0.15">
      <c r="A6" s="135"/>
      <c r="B6" s="136"/>
      <c r="C6" s="44" t="s">
        <v>426</v>
      </c>
      <c r="D6" s="44" t="s">
        <v>427</v>
      </c>
      <c r="E6" s="45">
        <v>1</v>
      </c>
      <c r="F6" s="45"/>
      <c r="G6" s="46">
        <f t="shared" si="0"/>
        <v>1</v>
      </c>
      <c r="H6" s="47"/>
    </row>
    <row r="7" spans="1:9" ht="28" x14ac:dyDescent="0.15">
      <c r="A7" s="96">
        <v>2</v>
      </c>
      <c r="B7" s="84" t="s">
        <v>428</v>
      </c>
      <c r="C7" s="44" t="s">
        <v>428</v>
      </c>
      <c r="D7" s="44" t="s">
        <v>429</v>
      </c>
      <c r="E7" s="45">
        <v>1</v>
      </c>
      <c r="F7" s="45"/>
      <c r="G7" s="46">
        <f>SUM(E7:F7)</f>
        <v>1</v>
      </c>
      <c r="H7" s="47"/>
      <c r="I7" s="48"/>
    </row>
    <row r="8" spans="1:9" x14ac:dyDescent="0.15">
      <c r="A8" s="135">
        <v>2</v>
      </c>
      <c r="B8" s="136" t="s">
        <v>455</v>
      </c>
      <c r="C8" s="44" t="s">
        <v>456</v>
      </c>
      <c r="D8" s="44"/>
      <c r="E8" s="45">
        <v>1</v>
      </c>
      <c r="F8" s="45"/>
      <c r="G8" s="46">
        <f>SUM(E8:F8)</f>
        <v>1</v>
      </c>
      <c r="H8" s="47"/>
      <c r="I8" s="48"/>
    </row>
    <row r="9" spans="1:9" x14ac:dyDescent="0.15">
      <c r="A9" s="135"/>
      <c r="B9" s="136"/>
      <c r="C9" s="44" t="s">
        <v>457</v>
      </c>
      <c r="D9" s="44"/>
      <c r="E9" s="45">
        <v>2</v>
      </c>
      <c r="F9" s="45"/>
      <c r="G9" s="46">
        <f t="shared" ref="G9:G15" si="1">SUM(E9:F9)</f>
        <v>2</v>
      </c>
      <c r="H9" s="47"/>
    </row>
    <row r="10" spans="1:9" x14ac:dyDescent="0.15">
      <c r="A10" s="135"/>
      <c r="B10" s="136"/>
      <c r="C10" s="44" t="s">
        <v>458</v>
      </c>
      <c r="D10" s="44"/>
      <c r="E10" s="45">
        <v>2</v>
      </c>
      <c r="F10" s="45"/>
      <c r="G10" s="46">
        <f t="shared" si="1"/>
        <v>2</v>
      </c>
      <c r="H10" s="47"/>
    </row>
    <row r="11" spans="1:9" x14ac:dyDescent="0.15">
      <c r="A11" s="135"/>
      <c r="B11" s="136"/>
      <c r="C11" s="44" t="s">
        <v>327</v>
      </c>
      <c r="D11" s="44"/>
      <c r="E11" s="45">
        <v>2</v>
      </c>
      <c r="F11" s="45"/>
      <c r="G11" s="46">
        <f t="shared" si="1"/>
        <v>2</v>
      </c>
      <c r="H11" s="47"/>
    </row>
    <row r="12" spans="1:9" x14ac:dyDescent="0.15">
      <c r="A12" s="135"/>
      <c r="B12" s="136"/>
      <c r="C12" s="44" t="s">
        <v>459</v>
      </c>
      <c r="D12" s="44"/>
      <c r="E12" s="45">
        <v>2</v>
      </c>
      <c r="F12" s="49"/>
      <c r="G12" s="46">
        <f t="shared" si="1"/>
        <v>2</v>
      </c>
      <c r="H12" s="50"/>
    </row>
    <row r="13" spans="1:9" ht="14" customHeight="1" x14ac:dyDescent="0.15">
      <c r="A13" s="135"/>
      <c r="B13" s="136"/>
      <c r="C13" s="44" t="s">
        <v>460</v>
      </c>
      <c r="D13" s="44"/>
      <c r="E13" s="45">
        <v>2</v>
      </c>
      <c r="F13" s="49"/>
      <c r="G13" s="46">
        <f t="shared" si="1"/>
        <v>2</v>
      </c>
      <c r="H13" s="50"/>
    </row>
    <row r="14" spans="1:9" ht="14" customHeight="1" x14ac:dyDescent="0.15">
      <c r="A14" s="135"/>
      <c r="B14" s="136"/>
      <c r="C14" s="44" t="s">
        <v>461</v>
      </c>
      <c r="D14" s="44"/>
      <c r="E14" s="45">
        <v>1</v>
      </c>
      <c r="F14" s="49"/>
      <c r="G14" s="46">
        <f t="shared" si="1"/>
        <v>1</v>
      </c>
      <c r="H14" s="50"/>
    </row>
    <row r="15" spans="1:9" ht="14" customHeight="1" x14ac:dyDescent="0.15">
      <c r="A15" s="135"/>
      <c r="B15" s="136"/>
      <c r="C15" s="44" t="s">
        <v>462</v>
      </c>
      <c r="D15" s="44"/>
      <c r="E15" s="45">
        <v>1</v>
      </c>
      <c r="F15" s="49"/>
      <c r="G15" s="46">
        <f t="shared" si="1"/>
        <v>1</v>
      </c>
      <c r="H15" s="50"/>
    </row>
    <row r="16" spans="1:9" ht="28" x14ac:dyDescent="0.15">
      <c r="A16" s="135">
        <v>2</v>
      </c>
      <c r="B16" s="136" t="s">
        <v>463</v>
      </c>
      <c r="C16" s="44" t="s">
        <v>464</v>
      </c>
      <c r="D16" s="44" t="s">
        <v>469</v>
      </c>
      <c r="E16" s="45">
        <v>1</v>
      </c>
      <c r="F16" s="45"/>
      <c r="G16" s="46">
        <f>SUM(E16:F16)</f>
        <v>1</v>
      </c>
      <c r="H16" s="47"/>
      <c r="I16" s="48"/>
    </row>
    <row r="17" spans="1:9" ht="28" x14ac:dyDescent="0.15">
      <c r="A17" s="135"/>
      <c r="B17" s="136"/>
      <c r="C17" s="44" t="s">
        <v>465</v>
      </c>
      <c r="D17" s="44" t="s">
        <v>470</v>
      </c>
      <c r="E17" s="45">
        <v>1</v>
      </c>
      <c r="F17" s="45"/>
      <c r="G17" s="46">
        <f t="shared" ref="G17:G53" si="2">SUM(E17:F17)</f>
        <v>1</v>
      </c>
      <c r="H17" s="47"/>
    </row>
    <row r="18" spans="1:9" ht="28" x14ac:dyDescent="0.15">
      <c r="A18" s="135"/>
      <c r="B18" s="136"/>
      <c r="C18" s="44" t="s">
        <v>466</v>
      </c>
      <c r="D18" s="44" t="s">
        <v>471</v>
      </c>
      <c r="E18" s="45">
        <v>1</v>
      </c>
      <c r="F18" s="45"/>
      <c r="G18" s="46">
        <f t="shared" si="2"/>
        <v>1</v>
      </c>
      <c r="H18" s="47"/>
    </row>
    <row r="19" spans="1:9" x14ac:dyDescent="0.15">
      <c r="A19" s="135"/>
      <c r="B19" s="136"/>
      <c r="C19" s="44" t="s">
        <v>456</v>
      </c>
      <c r="D19" s="44"/>
      <c r="E19" s="45">
        <v>1</v>
      </c>
      <c r="F19" s="49"/>
      <c r="G19" s="46">
        <f t="shared" si="2"/>
        <v>1</v>
      </c>
      <c r="H19" s="50"/>
    </row>
    <row r="20" spans="1:9" ht="14" customHeight="1" x14ac:dyDescent="0.15">
      <c r="A20" s="135"/>
      <c r="B20" s="136"/>
      <c r="C20" s="44" t="s">
        <v>457</v>
      </c>
      <c r="D20" s="44"/>
      <c r="E20" s="45">
        <v>1</v>
      </c>
      <c r="F20" s="49"/>
      <c r="G20" s="46">
        <f t="shared" si="2"/>
        <v>1</v>
      </c>
      <c r="H20" s="50"/>
    </row>
    <row r="21" spans="1:9" ht="14" customHeight="1" x14ac:dyDescent="0.15">
      <c r="A21" s="135"/>
      <c r="B21" s="136"/>
      <c r="C21" s="44" t="s">
        <v>458</v>
      </c>
      <c r="D21" s="44"/>
      <c r="E21" s="45">
        <v>1</v>
      </c>
      <c r="F21" s="49"/>
      <c r="G21" s="46">
        <f t="shared" si="2"/>
        <v>1</v>
      </c>
      <c r="H21" s="50"/>
    </row>
    <row r="22" spans="1:9" ht="14" customHeight="1" x14ac:dyDescent="0.15">
      <c r="A22" s="135"/>
      <c r="B22" s="136"/>
      <c r="C22" s="44" t="s">
        <v>327</v>
      </c>
      <c r="D22" s="44"/>
      <c r="E22" s="45">
        <v>1</v>
      </c>
      <c r="F22" s="49"/>
      <c r="G22" s="46">
        <f t="shared" si="2"/>
        <v>1</v>
      </c>
      <c r="H22" s="50"/>
    </row>
    <row r="23" spans="1:9" ht="14" customHeight="1" x14ac:dyDescent="0.15">
      <c r="A23" s="135"/>
      <c r="B23" s="136"/>
      <c r="C23" s="44" t="s">
        <v>459</v>
      </c>
      <c r="D23" s="44"/>
      <c r="E23" s="45">
        <v>1</v>
      </c>
      <c r="F23" s="49"/>
      <c r="G23" s="46">
        <f t="shared" si="2"/>
        <v>1</v>
      </c>
      <c r="H23" s="50"/>
      <c r="I23" s="51"/>
    </row>
    <row r="24" spans="1:9" ht="14" customHeight="1" x14ac:dyDescent="0.15">
      <c r="A24" s="135"/>
      <c r="B24" s="136"/>
      <c r="C24" s="44" t="s">
        <v>460</v>
      </c>
      <c r="D24" s="44"/>
      <c r="E24" s="45">
        <v>1</v>
      </c>
      <c r="F24" s="49"/>
      <c r="G24" s="46">
        <f t="shared" si="2"/>
        <v>1</v>
      </c>
      <c r="H24" s="50"/>
    </row>
    <row r="25" spans="1:9" ht="14" customHeight="1" x14ac:dyDescent="0.15">
      <c r="A25" s="135"/>
      <c r="B25" s="136"/>
      <c r="C25" s="44" t="s">
        <v>461</v>
      </c>
      <c r="D25" s="44"/>
      <c r="E25" s="45">
        <v>1</v>
      </c>
      <c r="F25" s="49"/>
      <c r="G25" s="46">
        <f t="shared" si="2"/>
        <v>1</v>
      </c>
      <c r="H25" s="50"/>
    </row>
    <row r="26" spans="1:9" ht="14" customHeight="1" x14ac:dyDescent="0.15">
      <c r="A26" s="135"/>
      <c r="B26" s="136"/>
      <c r="C26" s="44" t="s">
        <v>462</v>
      </c>
      <c r="D26" s="44"/>
      <c r="E26" s="45">
        <v>1</v>
      </c>
      <c r="F26" s="49"/>
      <c r="G26" s="46">
        <f t="shared" si="2"/>
        <v>1</v>
      </c>
      <c r="H26" s="50"/>
    </row>
    <row r="27" spans="1:9" ht="30" customHeight="1" x14ac:dyDescent="0.15">
      <c r="A27" s="135"/>
      <c r="B27" s="136"/>
      <c r="C27" s="44" t="s">
        <v>467</v>
      </c>
      <c r="D27" s="44"/>
      <c r="E27" s="45">
        <v>1</v>
      </c>
      <c r="F27" s="49"/>
      <c r="G27" s="46">
        <f t="shared" si="2"/>
        <v>1</v>
      </c>
      <c r="H27" s="50"/>
    </row>
    <row r="28" spans="1:9" x14ac:dyDescent="0.15">
      <c r="A28" s="135"/>
      <c r="B28" s="136" t="s">
        <v>472</v>
      </c>
      <c r="C28" s="44" t="s">
        <v>456</v>
      </c>
      <c r="D28" s="44"/>
      <c r="E28" s="45">
        <v>1</v>
      </c>
      <c r="F28" s="49"/>
      <c r="G28" s="46">
        <f t="shared" si="2"/>
        <v>1</v>
      </c>
      <c r="H28" s="50"/>
    </row>
    <row r="29" spans="1:9" ht="14" customHeight="1" x14ac:dyDescent="0.15">
      <c r="A29" s="135"/>
      <c r="B29" s="136"/>
      <c r="C29" s="44" t="s">
        <v>457</v>
      </c>
      <c r="D29" s="44"/>
      <c r="E29" s="45">
        <v>1</v>
      </c>
      <c r="F29" s="49"/>
      <c r="G29" s="46">
        <f t="shared" si="2"/>
        <v>1</v>
      </c>
      <c r="H29" s="50"/>
    </row>
    <row r="30" spans="1:9" ht="14" customHeight="1" x14ac:dyDescent="0.15">
      <c r="A30" s="135"/>
      <c r="B30" s="136"/>
      <c r="C30" s="44" t="s">
        <v>458</v>
      </c>
      <c r="D30" s="44"/>
      <c r="E30" s="45">
        <v>1</v>
      </c>
      <c r="F30" s="49"/>
      <c r="G30" s="46">
        <f t="shared" si="2"/>
        <v>1</v>
      </c>
      <c r="H30" s="50"/>
    </row>
    <row r="31" spans="1:9" ht="14" customHeight="1" x14ac:dyDescent="0.15">
      <c r="A31" s="135"/>
      <c r="B31" s="136"/>
      <c r="C31" s="44" t="s">
        <v>327</v>
      </c>
      <c r="D31" s="44"/>
      <c r="E31" s="45">
        <v>1</v>
      </c>
      <c r="F31" s="49"/>
      <c r="G31" s="46">
        <f t="shared" si="2"/>
        <v>1</v>
      </c>
      <c r="H31" s="50"/>
    </row>
    <row r="32" spans="1:9" ht="14" customHeight="1" x14ac:dyDescent="0.15">
      <c r="A32" s="135"/>
      <c r="B32" s="136"/>
      <c r="C32" s="44" t="s">
        <v>459</v>
      </c>
      <c r="D32" s="44"/>
      <c r="E32" s="45">
        <v>1</v>
      </c>
      <c r="F32" s="49"/>
      <c r="G32" s="46">
        <f t="shared" si="2"/>
        <v>1</v>
      </c>
      <c r="H32" s="50"/>
      <c r="I32" s="51"/>
    </row>
    <row r="33" spans="1:9" ht="14" customHeight="1" x14ac:dyDescent="0.15">
      <c r="A33" s="135"/>
      <c r="B33" s="136"/>
      <c r="C33" s="44" t="s">
        <v>460</v>
      </c>
      <c r="D33" s="44"/>
      <c r="E33" s="45">
        <v>1</v>
      </c>
      <c r="F33" s="49"/>
      <c r="G33" s="46">
        <f t="shared" si="2"/>
        <v>1</v>
      </c>
      <c r="H33" s="50"/>
    </row>
    <row r="34" spans="1:9" ht="14" customHeight="1" x14ac:dyDescent="0.15">
      <c r="A34" s="135"/>
      <c r="B34" s="136"/>
      <c r="C34" s="44" t="s">
        <v>461</v>
      </c>
      <c r="D34" s="44"/>
      <c r="E34" s="45">
        <v>1</v>
      </c>
      <c r="F34" s="49"/>
      <c r="G34" s="46">
        <f t="shared" si="2"/>
        <v>1</v>
      </c>
      <c r="H34" s="50"/>
    </row>
    <row r="35" spans="1:9" ht="14" customHeight="1" x14ac:dyDescent="0.15">
      <c r="A35" s="135"/>
      <c r="B35" s="136"/>
      <c r="C35" s="44" t="s">
        <v>462</v>
      </c>
      <c r="D35" s="44"/>
      <c r="E35" s="45">
        <v>1</v>
      </c>
      <c r="F35" s="49"/>
      <c r="G35" s="46">
        <f t="shared" si="2"/>
        <v>1</v>
      </c>
      <c r="H35" s="50"/>
    </row>
    <row r="36" spans="1:9" ht="14" customHeight="1" x14ac:dyDescent="0.15">
      <c r="A36" s="135"/>
      <c r="B36" s="136"/>
      <c r="C36" s="44" t="s">
        <v>430</v>
      </c>
      <c r="D36" s="44"/>
      <c r="E36" s="45">
        <v>1</v>
      </c>
      <c r="F36" s="49"/>
      <c r="G36" s="46">
        <f t="shared" si="2"/>
        <v>1</v>
      </c>
      <c r="H36" s="50"/>
    </row>
    <row r="37" spans="1:9" ht="14" customHeight="1" x14ac:dyDescent="0.15">
      <c r="A37" s="135"/>
      <c r="B37" s="136"/>
      <c r="C37" s="44" t="s">
        <v>431</v>
      </c>
      <c r="D37" s="44"/>
      <c r="E37" s="45">
        <v>1</v>
      </c>
      <c r="F37" s="49"/>
      <c r="G37" s="46">
        <f t="shared" si="2"/>
        <v>1</v>
      </c>
      <c r="H37" s="50"/>
    </row>
    <row r="38" spans="1:9" ht="14" customHeight="1" x14ac:dyDescent="0.15">
      <c r="A38" s="135"/>
      <c r="B38" s="136"/>
      <c r="C38" s="44" t="s">
        <v>432</v>
      </c>
      <c r="D38" s="44"/>
      <c r="E38" s="45">
        <v>1</v>
      </c>
      <c r="F38" s="49"/>
      <c r="G38" s="46">
        <f t="shared" si="2"/>
        <v>1</v>
      </c>
      <c r="H38" s="50"/>
    </row>
    <row r="39" spans="1:9" ht="14" customHeight="1" x14ac:dyDescent="0.15">
      <c r="A39" s="135"/>
      <c r="B39" s="136"/>
      <c r="C39" s="44" t="s">
        <v>433</v>
      </c>
      <c r="D39" s="44"/>
      <c r="E39" s="45">
        <v>1</v>
      </c>
      <c r="F39" s="49"/>
      <c r="G39" s="46">
        <f t="shared" si="2"/>
        <v>1</v>
      </c>
      <c r="H39" s="50"/>
      <c r="I39" s="51"/>
    </row>
    <row r="40" spans="1:9" ht="14" customHeight="1" x14ac:dyDescent="0.15">
      <c r="A40" s="135"/>
      <c r="B40" s="136"/>
      <c r="C40" s="44" t="s">
        <v>434</v>
      </c>
      <c r="D40" s="44"/>
      <c r="E40" s="45">
        <v>1</v>
      </c>
      <c r="F40" s="49"/>
      <c r="G40" s="46">
        <f t="shared" si="2"/>
        <v>1</v>
      </c>
      <c r="H40" s="50"/>
    </row>
    <row r="41" spans="1:9" ht="14" customHeight="1" x14ac:dyDescent="0.15">
      <c r="A41" s="135"/>
      <c r="B41" s="136"/>
      <c r="C41" s="44" t="s">
        <v>435</v>
      </c>
      <c r="D41" s="44"/>
      <c r="E41" s="45">
        <v>1</v>
      </c>
      <c r="F41" s="49"/>
      <c r="G41" s="46">
        <f t="shared" si="2"/>
        <v>1</v>
      </c>
      <c r="H41" s="50"/>
    </row>
    <row r="42" spans="1:9" ht="14" customHeight="1" x14ac:dyDescent="0.15">
      <c r="A42" s="135"/>
      <c r="B42" s="136"/>
      <c r="C42" s="44" t="s">
        <v>468</v>
      </c>
      <c r="D42" s="44"/>
      <c r="E42" s="45">
        <v>2</v>
      </c>
      <c r="F42" s="49"/>
      <c r="G42" s="46">
        <f t="shared" si="2"/>
        <v>2</v>
      </c>
      <c r="H42" s="50"/>
    </row>
    <row r="43" spans="1:9" ht="14" customHeight="1" x14ac:dyDescent="0.15">
      <c r="A43" s="135"/>
      <c r="B43" s="136"/>
      <c r="C43" s="44" t="s">
        <v>436</v>
      </c>
      <c r="D43" s="44"/>
      <c r="E43" s="45">
        <v>1</v>
      </c>
      <c r="F43" s="49"/>
      <c r="G43" s="46">
        <f t="shared" si="2"/>
        <v>1</v>
      </c>
      <c r="H43" s="50"/>
    </row>
    <row r="44" spans="1:9" ht="14" customHeight="1" x14ac:dyDescent="0.15">
      <c r="A44" s="135"/>
      <c r="B44" s="136"/>
      <c r="C44" s="44" t="s">
        <v>437</v>
      </c>
      <c r="D44" s="44"/>
      <c r="E44" s="45">
        <v>1</v>
      </c>
      <c r="F44" s="49"/>
      <c r="G44" s="46">
        <f t="shared" si="2"/>
        <v>1</v>
      </c>
      <c r="H44" s="50"/>
    </row>
    <row r="45" spans="1:9" ht="14" customHeight="1" x14ac:dyDescent="0.15">
      <c r="A45" s="135"/>
      <c r="B45" s="136"/>
      <c r="C45" s="44" t="s">
        <v>438</v>
      </c>
      <c r="D45" s="44"/>
      <c r="E45" s="45">
        <v>2</v>
      </c>
      <c r="F45" s="49"/>
      <c r="G45" s="46">
        <f t="shared" si="2"/>
        <v>2</v>
      </c>
      <c r="H45" s="50"/>
      <c r="I45" s="51"/>
    </row>
    <row r="46" spans="1:9" ht="14" customHeight="1" x14ac:dyDescent="0.15">
      <c r="A46" s="135"/>
      <c r="B46" s="136"/>
      <c r="C46" s="44" t="s">
        <v>439</v>
      </c>
      <c r="D46" s="44"/>
      <c r="E46" s="45">
        <v>1</v>
      </c>
      <c r="F46" s="49"/>
      <c r="G46" s="46">
        <f t="shared" si="2"/>
        <v>1</v>
      </c>
      <c r="H46" s="50"/>
    </row>
    <row r="47" spans="1:9" ht="14" customHeight="1" x14ac:dyDescent="0.15">
      <c r="A47" s="135"/>
      <c r="B47" s="136"/>
      <c r="C47" s="44" t="s">
        <v>440</v>
      </c>
      <c r="D47" s="44"/>
      <c r="E47" s="45">
        <v>1</v>
      </c>
      <c r="F47" s="49"/>
      <c r="G47" s="46">
        <f t="shared" si="2"/>
        <v>1</v>
      </c>
      <c r="H47" s="50"/>
    </row>
    <row r="48" spans="1:9" ht="30" customHeight="1" x14ac:dyDescent="0.15">
      <c r="A48" s="135"/>
      <c r="B48" s="136"/>
      <c r="C48" s="44" t="s">
        <v>441</v>
      </c>
      <c r="D48" s="44" t="s">
        <v>442</v>
      </c>
      <c r="E48" s="45">
        <v>1</v>
      </c>
      <c r="F48" s="49"/>
      <c r="G48" s="46">
        <f t="shared" si="2"/>
        <v>1</v>
      </c>
      <c r="H48" s="50"/>
    </row>
    <row r="49" spans="1:10" ht="28" x14ac:dyDescent="0.15">
      <c r="A49" s="135">
        <v>3</v>
      </c>
      <c r="B49" s="136" t="s">
        <v>443</v>
      </c>
      <c r="C49" s="44" t="s">
        <v>444</v>
      </c>
      <c r="D49" s="44" t="s">
        <v>445</v>
      </c>
      <c r="E49" s="45">
        <v>3</v>
      </c>
      <c r="F49" s="49"/>
      <c r="G49" s="46">
        <f t="shared" si="2"/>
        <v>3</v>
      </c>
      <c r="H49" s="50"/>
    </row>
    <row r="50" spans="1:10" ht="28" x14ac:dyDescent="0.15">
      <c r="A50" s="135"/>
      <c r="B50" s="136"/>
      <c r="C50" s="44" t="s">
        <v>446</v>
      </c>
      <c r="D50" s="44" t="s">
        <v>447</v>
      </c>
      <c r="E50" s="45">
        <v>2</v>
      </c>
      <c r="F50" s="49"/>
      <c r="G50" s="46">
        <f t="shared" si="2"/>
        <v>2</v>
      </c>
      <c r="H50" s="50"/>
    </row>
    <row r="51" spans="1:10" ht="28" x14ac:dyDescent="0.15">
      <c r="A51" s="135">
        <v>4</v>
      </c>
      <c r="B51" s="136" t="s">
        <v>448</v>
      </c>
      <c r="C51" s="44" t="s">
        <v>449</v>
      </c>
      <c r="D51" s="88" t="s">
        <v>450</v>
      </c>
      <c r="E51" s="52">
        <v>4</v>
      </c>
      <c r="F51" s="52"/>
      <c r="G51" s="46">
        <f t="shared" si="2"/>
        <v>4</v>
      </c>
      <c r="H51" s="50"/>
      <c r="I51" s="47"/>
      <c r="J51" s="51"/>
    </row>
    <row r="52" spans="1:10" x14ac:dyDescent="0.15">
      <c r="A52" s="135"/>
      <c r="B52" s="136"/>
      <c r="C52" s="44" t="s">
        <v>451</v>
      </c>
      <c r="D52" s="88" t="s">
        <v>452</v>
      </c>
      <c r="E52" s="52">
        <v>2</v>
      </c>
      <c r="F52" s="52"/>
      <c r="G52" s="46">
        <f t="shared" si="2"/>
        <v>2</v>
      </c>
      <c r="H52" s="50"/>
      <c r="I52" s="51"/>
    </row>
    <row r="53" spans="1:10" ht="28" x14ac:dyDescent="0.15">
      <c r="A53" s="135"/>
      <c r="B53" s="136"/>
      <c r="C53" s="44" t="s">
        <v>453</v>
      </c>
      <c r="D53" s="44" t="s">
        <v>454</v>
      </c>
      <c r="E53" s="45">
        <v>3</v>
      </c>
      <c r="F53" s="49"/>
      <c r="G53" s="46">
        <f t="shared" si="2"/>
        <v>3</v>
      </c>
      <c r="H53" s="50"/>
      <c r="I53" s="51"/>
    </row>
    <row r="54" spans="1:10" ht="14.25" customHeight="1" x14ac:dyDescent="0.15">
      <c r="A54" s="132" t="s">
        <v>14</v>
      </c>
      <c r="B54" s="133"/>
      <c r="C54" s="133"/>
      <c r="D54" s="134"/>
      <c r="E54" s="53">
        <f>SUM(E3:E53)</f>
        <v>69.599999999999994</v>
      </c>
      <c r="F54" s="53">
        <f>SUM(F3:F53)</f>
        <v>1</v>
      </c>
      <c r="G54" s="54">
        <f>SUM(E54:F54)</f>
        <v>70.599999999999994</v>
      </c>
      <c r="H54" s="50"/>
    </row>
    <row r="55" spans="1:10" x14ac:dyDescent="0.15">
      <c r="H55" s="56"/>
    </row>
  </sheetData>
  <mergeCells count="14">
    <mergeCell ref="A1:G1"/>
    <mergeCell ref="A54:D54"/>
    <mergeCell ref="A3:A6"/>
    <mergeCell ref="B3:B6"/>
    <mergeCell ref="A8:A15"/>
    <mergeCell ref="B8:B15"/>
    <mergeCell ref="A16:A27"/>
    <mergeCell ref="B16:B27"/>
    <mergeCell ref="A28:A48"/>
    <mergeCell ref="B28:B48"/>
    <mergeCell ref="A49:A50"/>
    <mergeCell ref="B49:B50"/>
    <mergeCell ref="A51:A53"/>
    <mergeCell ref="B51:B5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项目总工作量</vt:lpstr>
      <vt:lpstr>事务功能</vt:lpstr>
      <vt:lpstr>数据功能</vt:lpstr>
      <vt:lpstr>非功能点估算表</vt:lpstr>
    </vt:vector>
  </TitlesOfParts>
  <Company>suiji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Microsoft Office 用户</cp:lastModifiedBy>
  <dcterms:created xsi:type="dcterms:W3CDTF">2008-05-29T08:25:26Z</dcterms:created>
  <dcterms:modified xsi:type="dcterms:W3CDTF">2018-05-18T10:31:23Z</dcterms:modified>
</cp:coreProperties>
</file>
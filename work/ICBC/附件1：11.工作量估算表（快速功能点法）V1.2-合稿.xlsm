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ext/Desktop/建行大学项目/20180518 慕书&amp;小木详细报价/"/>
    </mc:Choice>
  </mc:AlternateContent>
  <bookViews>
    <workbookView xWindow="3100" yWindow="460" windowWidth="28380" windowHeight="19400" tabRatio="449" activeTab="1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externalReferences>
    <externalReference r:id="rId5"/>
    <externalReference r:id="rId6"/>
    <externalReference r:id="rId7"/>
  </externalReferences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9" i="6" l="1"/>
  <c r="E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H4" i="4"/>
  <c r="I4" i="4"/>
  <c r="H5" i="4"/>
  <c r="I5" i="4"/>
  <c r="H6" i="4"/>
  <c r="I6" i="4"/>
  <c r="H7" i="4"/>
  <c r="I7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H289" i="4"/>
  <c r="I289" i="4"/>
  <c r="H290" i="4"/>
  <c r="I290" i="4"/>
  <c r="H291" i="4"/>
  <c r="I291" i="4"/>
  <c r="H292" i="4"/>
  <c r="I292" i="4"/>
  <c r="H293" i="4"/>
  <c r="I293" i="4"/>
  <c r="H294" i="4"/>
  <c r="I294" i="4"/>
  <c r="H295" i="4"/>
  <c r="I295" i="4"/>
  <c r="H296" i="4"/>
  <c r="I296" i="4"/>
  <c r="H297" i="4"/>
  <c r="I297" i="4"/>
  <c r="H298" i="4"/>
  <c r="I298" i="4"/>
  <c r="H299" i="4"/>
  <c r="I299" i="4"/>
  <c r="H300" i="4"/>
  <c r="I300" i="4"/>
  <c r="H301" i="4"/>
  <c r="I301" i="4"/>
  <c r="H302" i="4"/>
  <c r="I302" i="4"/>
  <c r="H303" i="4"/>
  <c r="I303" i="4"/>
  <c r="H304" i="4"/>
  <c r="I304" i="4"/>
  <c r="H305" i="4"/>
  <c r="I305" i="4"/>
  <c r="H306" i="4"/>
  <c r="I306" i="4"/>
  <c r="H307" i="4"/>
  <c r="I307" i="4"/>
  <c r="H308" i="4"/>
  <c r="I308" i="4"/>
  <c r="H309" i="4"/>
  <c r="I309" i="4"/>
  <c r="H310" i="4"/>
  <c r="I310" i="4"/>
  <c r="H311" i="4"/>
  <c r="I311" i="4"/>
  <c r="H312" i="4"/>
  <c r="I312" i="4"/>
  <c r="H313" i="4"/>
  <c r="I313" i="4"/>
  <c r="H314" i="4"/>
  <c r="I314" i="4"/>
  <c r="H315" i="4"/>
  <c r="I315" i="4"/>
  <c r="H316" i="4"/>
  <c r="I316" i="4"/>
  <c r="H317" i="4"/>
  <c r="I317" i="4"/>
  <c r="H318" i="4"/>
  <c r="I318" i="4"/>
  <c r="H319" i="4"/>
  <c r="I319" i="4"/>
  <c r="H320" i="4"/>
  <c r="I320" i="4"/>
  <c r="H321" i="4"/>
  <c r="I321" i="4"/>
  <c r="H322" i="4"/>
  <c r="I322" i="4"/>
  <c r="H323" i="4"/>
  <c r="I323" i="4"/>
  <c r="H324" i="4"/>
  <c r="I324" i="4"/>
  <c r="H325" i="4"/>
  <c r="I325" i="4"/>
  <c r="H326" i="4"/>
  <c r="I326" i="4"/>
  <c r="H327" i="4"/>
  <c r="I327" i="4"/>
  <c r="H328" i="4"/>
  <c r="I328" i="4"/>
  <c r="H329" i="4"/>
  <c r="I329" i="4"/>
  <c r="H330" i="4"/>
  <c r="I330" i="4"/>
  <c r="H331" i="4"/>
  <c r="I331" i="4"/>
  <c r="H332" i="4"/>
  <c r="I332" i="4"/>
  <c r="H333" i="4"/>
  <c r="I333" i="4"/>
  <c r="H334" i="4"/>
  <c r="I334" i="4"/>
  <c r="H335" i="4"/>
  <c r="I335" i="4"/>
  <c r="H336" i="4"/>
  <c r="I336" i="4"/>
  <c r="H337" i="4"/>
  <c r="I337" i="4"/>
  <c r="H338" i="4"/>
  <c r="I338" i="4"/>
  <c r="H339" i="4"/>
  <c r="I339" i="4"/>
  <c r="H340" i="4"/>
  <c r="I340" i="4"/>
  <c r="H341" i="4"/>
  <c r="I341" i="4"/>
  <c r="H342" i="4"/>
  <c r="I342" i="4"/>
  <c r="H343" i="4"/>
  <c r="I343" i="4"/>
  <c r="H344" i="4"/>
  <c r="I344" i="4"/>
  <c r="H345" i="4"/>
  <c r="I345" i="4"/>
  <c r="H346" i="4"/>
  <c r="I346" i="4"/>
  <c r="H347" i="4"/>
  <c r="I347" i="4"/>
  <c r="H348" i="4"/>
  <c r="I348" i="4"/>
  <c r="H349" i="4"/>
  <c r="I349" i="4"/>
  <c r="H350" i="4"/>
  <c r="I350" i="4"/>
  <c r="H351" i="4"/>
  <c r="I351" i="4"/>
  <c r="H352" i="4"/>
  <c r="I352" i="4"/>
  <c r="H353" i="4"/>
  <c r="I353" i="4"/>
  <c r="H354" i="4"/>
  <c r="I354" i="4"/>
  <c r="H355" i="4"/>
  <c r="I355" i="4"/>
  <c r="H356" i="4"/>
  <c r="I356" i="4"/>
  <c r="H357" i="4"/>
  <c r="I357" i="4"/>
  <c r="H358" i="4"/>
  <c r="I358" i="4"/>
  <c r="H359" i="4"/>
  <c r="I359" i="4"/>
  <c r="H360" i="4"/>
  <c r="I360" i="4"/>
  <c r="H361" i="4"/>
  <c r="I361" i="4"/>
  <c r="H362" i="4"/>
  <c r="I362" i="4"/>
  <c r="H363" i="4"/>
  <c r="I363" i="4"/>
  <c r="H364" i="4"/>
  <c r="I364" i="4"/>
  <c r="H365" i="4"/>
  <c r="I365" i="4"/>
  <c r="H366" i="4"/>
  <c r="I366" i="4"/>
  <c r="H367" i="4"/>
  <c r="I367" i="4"/>
  <c r="H368" i="4"/>
  <c r="I368" i="4"/>
  <c r="H369" i="4"/>
  <c r="I369" i="4"/>
  <c r="H370" i="4"/>
  <c r="I370" i="4"/>
  <c r="H371" i="4"/>
  <c r="I371" i="4"/>
  <c r="H372" i="4"/>
  <c r="I372" i="4"/>
  <c r="H373" i="4"/>
  <c r="I373" i="4"/>
  <c r="H374" i="4"/>
  <c r="I374" i="4"/>
  <c r="H375" i="4"/>
  <c r="I375" i="4"/>
  <c r="H376" i="4"/>
  <c r="I376" i="4"/>
  <c r="H377" i="4"/>
  <c r="I377" i="4"/>
  <c r="H378" i="4"/>
  <c r="I378" i="4"/>
  <c r="H379" i="4"/>
  <c r="I379" i="4"/>
  <c r="H380" i="4"/>
  <c r="I380" i="4"/>
  <c r="H381" i="4"/>
  <c r="I381" i="4"/>
  <c r="H382" i="4"/>
  <c r="I382" i="4"/>
  <c r="H383" i="4"/>
  <c r="I383" i="4"/>
  <c r="H384" i="4"/>
  <c r="I384" i="4"/>
  <c r="H385" i="4"/>
  <c r="I385" i="4"/>
  <c r="H386" i="4"/>
  <c r="I386" i="4"/>
  <c r="H387" i="4"/>
  <c r="I387" i="4"/>
  <c r="I388" i="4"/>
  <c r="H388" i="4"/>
  <c r="E388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I15" i="7"/>
  <c r="D22" i="2"/>
  <c r="E22" i="2"/>
  <c r="D23" i="2"/>
  <c r="E23" i="2"/>
  <c r="D24" i="2"/>
  <c r="E24" i="2"/>
  <c r="D25" i="2"/>
  <c r="E25" i="2"/>
  <c r="F25" i="2"/>
  <c r="J13" i="7"/>
  <c r="G13" i="7"/>
  <c r="K13" i="7"/>
  <c r="E15" i="7"/>
  <c r="C15" i="7"/>
  <c r="D15" i="7"/>
  <c r="F15" i="7"/>
  <c r="H15" i="7"/>
  <c r="B15" i="7"/>
  <c r="J14" i="7"/>
  <c r="J15" i="7"/>
  <c r="G29" i="6"/>
  <c r="G14" i="7"/>
  <c r="K14" i="7"/>
  <c r="H16" i="7"/>
  <c r="B7" i="7"/>
  <c r="G15" i="7"/>
  <c r="B16" i="7"/>
  <c r="K15" i="7"/>
</calcChain>
</file>

<file path=xl/sharedStrings.xml><?xml version="1.0" encoding="utf-8"?>
<sst xmlns="http://schemas.openxmlformats.org/spreadsheetml/2006/main" count="1338" uniqueCount="544">
  <si>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</si>
  <si>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</si>
  <si>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</si>
  <si>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</si>
  <si>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</si>
  <si>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</si>
  <si>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</si>
  <si>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</si>
  <si>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</si>
  <si>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</si>
  <si>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</si>
  <si>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</si>
  <si>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</si>
  <si>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</si>
  <si>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</si>
  <si>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</si>
  <si>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</si>
  <si>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</si>
  <si>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</si>
  <si>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</si>
  <si>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</si>
  <si>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</si>
  <si>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</si>
  <si>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</si>
  <si>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</si>
  <si>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</si>
  <si>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</si>
  <si>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</si>
  <si>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</si>
  <si>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</si>
  <si>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</si>
  <si>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</si>
  <si>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</si>
  <si>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</si>
  <si>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</si>
  <si>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</si>
  <si>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</si>
  <si>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</si>
  <si>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</si>
  <si>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</si>
  <si>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</si>
  <si>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</si>
  <si>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</si>
  <si>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</si>
  <si>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</si>
  <si>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</si>
  <si>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</si>
  <si>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</si>
  <si>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</si>
  <si>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</si>
  <si>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</si>
  <si>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</si>
  <si>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</si>
  <si>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</si>
  <si>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</si>
  <si>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</si>
  <si>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</si>
  <si>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</si>
  <si>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</si>
  <si>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</si>
  <si>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</si>
  <si>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</si>
  <si>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</si>
  <si>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</si>
  <si>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</si>
  <si>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</si>
  <si>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</si>
  <si>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</si>
  <si>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</si>
  <si>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EQ</t>
  </si>
  <si>
    <t>文档格式转换</t>
    <phoneticPr fontId="2" type="noConversion"/>
  </si>
  <si>
    <t>pdf格式转换</t>
    <phoneticPr fontId="2" type="noConversion"/>
  </si>
  <si>
    <t>word格式转换</t>
    <phoneticPr fontId="2" type="noConversion"/>
  </si>
  <si>
    <t>课程内容转换</t>
    <phoneticPr fontId="2" type="noConversion"/>
  </si>
  <si>
    <t>文档预处理</t>
    <phoneticPr fontId="2" type="noConversion"/>
  </si>
  <si>
    <t>网页内容转换</t>
    <phoneticPr fontId="2" type="noConversion"/>
  </si>
  <si>
    <t>其他内容转换</t>
    <phoneticPr fontId="2" type="noConversion"/>
  </si>
  <si>
    <t>讨论区内容转换</t>
    <phoneticPr fontId="2" type="noConversion"/>
  </si>
  <si>
    <t>文档内容审核</t>
    <phoneticPr fontId="2" type="noConversion"/>
  </si>
  <si>
    <t>文档内容校正</t>
    <phoneticPr fontId="2" type="noConversion"/>
  </si>
  <si>
    <t>字幕文件转换</t>
    <phoneticPr fontId="2" type="noConversion"/>
  </si>
  <si>
    <t>转化成纯文本</t>
    <phoneticPr fontId="2" type="noConversion"/>
  </si>
  <si>
    <t>文档分析</t>
    <phoneticPr fontId="2" type="noConversion"/>
  </si>
  <si>
    <t>文档内容清洗</t>
    <phoneticPr fontId="2" type="noConversion"/>
  </si>
  <si>
    <t>文档内容标记</t>
    <phoneticPr fontId="2" type="noConversion"/>
  </si>
  <si>
    <t>关键词标记</t>
    <phoneticPr fontId="2" type="noConversion"/>
  </si>
  <si>
    <t>自动生成摘要</t>
    <phoneticPr fontId="2" type="noConversion"/>
  </si>
  <si>
    <t>手工校正</t>
    <phoneticPr fontId="2" type="noConversion"/>
  </si>
  <si>
    <t>人工审核</t>
    <phoneticPr fontId="2" type="noConversion"/>
  </si>
  <si>
    <t>敏感词检测接入</t>
    <phoneticPr fontId="2" type="noConversion"/>
  </si>
  <si>
    <t>中英文分词</t>
    <phoneticPr fontId="2" type="noConversion"/>
  </si>
  <si>
    <t>关键词提取</t>
    <phoneticPr fontId="2" type="noConversion"/>
  </si>
  <si>
    <t>关键词词典准备</t>
    <phoneticPr fontId="2" type="noConversion"/>
  </si>
  <si>
    <t>分词黑白名单设置</t>
    <phoneticPr fontId="2" type="noConversion"/>
  </si>
  <si>
    <t>IDF词频统计</t>
    <phoneticPr fontId="2" type="noConversion"/>
  </si>
  <si>
    <t>Cluster聚类分析</t>
    <phoneticPr fontId="2" type="noConversion"/>
  </si>
  <si>
    <t>Classification分类统计</t>
    <phoneticPr fontId="2" type="noConversion"/>
  </si>
  <si>
    <t>TF词频统计</t>
    <phoneticPr fontId="2" type="noConversion"/>
  </si>
  <si>
    <t>文档预分类</t>
    <phoneticPr fontId="2" type="noConversion"/>
  </si>
  <si>
    <t>文档自动分类</t>
    <phoneticPr fontId="2" type="noConversion"/>
  </si>
  <si>
    <t>文档特征提取</t>
    <phoneticPr fontId="2" type="noConversion"/>
  </si>
  <si>
    <t>文档KNN分析</t>
    <phoneticPr fontId="2" type="noConversion"/>
  </si>
  <si>
    <t>文档相似度计算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</si>
  <si>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</si>
  <si>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</si>
  <si>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文档分类数据回测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</si>
  <si>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</si>
  <si>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</si>
  <si>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</si>
  <si>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知识点人工设定</t>
    <phoneticPr fontId="2" type="noConversion"/>
  </si>
  <si>
    <t>知识点相关性计算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</si>
  <si>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</si>
  <si>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</si>
  <si>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文本分割</t>
    <phoneticPr fontId="2" type="noConversion"/>
  </si>
  <si>
    <t>文档单词规范化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</si>
  <si>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</si>
  <si>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</si>
  <si>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</si>
  <si>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</si>
  <si>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</si>
  <si>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</si>
  <si>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建立LSI模型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</si>
  <si>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</si>
  <si>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</si>
  <si>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</si>
  <si>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</si>
  <si>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文档处理模块自动化设计</t>
    <phoneticPr fontId="2" type="noConversion"/>
  </si>
  <si>
    <t>文档处理模块批处理设计与实现</t>
    <phoneticPr fontId="2" type="noConversion"/>
  </si>
  <si>
    <t>文档处理模块外部接口提供</t>
    <phoneticPr fontId="2" type="noConversion"/>
  </si>
  <si>
    <t>文档处理模块的登录系统</t>
    <phoneticPr fontId="2" type="noConversion"/>
  </si>
  <si>
    <t>文档处理模块的权限系统</t>
    <phoneticPr fontId="2" type="noConversion"/>
  </si>
  <si>
    <t>检索服务</t>
    <rPh sb="0" eb="1">
      <t>jm'so'fu'wu</t>
    </rPh>
    <phoneticPr fontId="2" type="noConversion"/>
  </si>
  <si>
    <t>web端语音输入</t>
    <rPh sb="3" eb="4">
      <t>dr</t>
    </rPh>
    <rPh sb="4" eb="5">
      <t>yu'yb</t>
    </rPh>
    <rPh sb="6" eb="7">
      <t>uu'ru</t>
    </rPh>
    <phoneticPr fontId="2" type="noConversion"/>
  </si>
  <si>
    <t>pad端语音输入</t>
    <rPh sb="3" eb="4">
      <t>dr</t>
    </rPh>
    <rPh sb="4" eb="5">
      <t>yu'yb'uu'ru</t>
    </rPh>
    <phoneticPr fontId="2" type="noConversion"/>
  </si>
  <si>
    <t>手机端语音输入</t>
    <rPh sb="0" eb="1">
      <t>uz'ji'dr</t>
    </rPh>
    <rPh sb="3" eb="4">
      <t>yu'yb'uu'ru</t>
    </rPh>
    <phoneticPr fontId="2" type="noConversion"/>
  </si>
  <si>
    <t>删除语音输入</t>
    <rPh sb="0" eb="1">
      <t>uj'iu</t>
    </rPh>
    <rPh sb="2" eb="3">
      <t>yu'yb'uu'ru</t>
    </rPh>
    <phoneticPr fontId="2" type="noConversion"/>
  </si>
  <si>
    <t>放弃本次录音</t>
    <rPh sb="0" eb="1">
      <t>fh'qi</t>
    </rPh>
    <rPh sb="2" eb="3">
      <t>bf'ci'lu'yb</t>
    </rPh>
    <phoneticPr fontId="2" type="noConversion"/>
  </si>
  <si>
    <t>提交语音输入</t>
    <rPh sb="0" eb="1">
      <t>ti'j</t>
    </rPh>
    <rPh sb="2" eb="3">
      <t>yu'y</t>
    </rPh>
    <rPh sb="4" eb="5">
      <t>uu'ru</t>
    </rPh>
    <phoneticPr fontId="2" type="noConversion"/>
  </si>
  <si>
    <t>付费提问</t>
    <rPh sb="0" eb="1">
      <t>fu'fw</t>
    </rPh>
    <rPh sb="2" eb="3">
      <t>ti'wf</t>
    </rPh>
    <phoneticPr fontId="2" type="noConversion"/>
  </si>
  <si>
    <t>付费收听</t>
    <rPh sb="0" eb="1">
      <t>fu'fw</t>
    </rPh>
    <rPh sb="2" eb="3">
      <t>uz'tk</t>
    </rPh>
    <phoneticPr fontId="2" type="noConversion"/>
  </si>
  <si>
    <t>下载语音到本地</t>
    <rPh sb="0" eb="1">
      <t>xx'zd</t>
    </rPh>
    <rPh sb="2" eb="3">
      <t>yu'y</t>
    </rPh>
    <rPh sb="4" eb="5">
      <t>dc</t>
    </rPh>
    <rPh sb="5" eb="6">
      <t>bf'di</t>
    </rPh>
    <phoneticPr fontId="2" type="noConversion"/>
  </si>
  <si>
    <t>已购买的答案重复收听</t>
    <rPh sb="0" eb="1">
      <t>yi'gz'md</t>
    </rPh>
    <rPh sb="3" eb="4">
      <t>de</t>
    </rPh>
    <rPh sb="4" eb="5">
      <t>da'an</t>
    </rPh>
    <rPh sb="6" eb="7">
      <t>is'fu'uz'tk</t>
    </rPh>
    <phoneticPr fontId="2" type="noConversion"/>
  </si>
  <si>
    <t>语音回答问题</t>
    <rPh sb="0" eb="1">
      <t>yu'yb</t>
    </rPh>
    <rPh sb="2" eb="3">
      <t>hv'da</t>
    </rPh>
    <rPh sb="4" eb="5">
      <t>wf'ti</t>
    </rPh>
    <phoneticPr fontId="2" type="noConversion"/>
  </si>
  <si>
    <t>语音答案点赞</t>
    <rPh sb="2" eb="3">
      <t>da'an</t>
    </rPh>
    <rPh sb="4" eb="5">
      <t>dm'zj</t>
    </rPh>
    <phoneticPr fontId="2" type="noConversion"/>
  </si>
  <si>
    <t>语音答案举报</t>
    <rPh sb="0" eb="1">
      <t>yu'y</t>
    </rPh>
    <rPh sb="2" eb="3">
      <t>da'an</t>
    </rPh>
    <rPh sb="4" eb="5">
      <t>ju'bc</t>
    </rPh>
    <phoneticPr fontId="2" type="noConversion"/>
  </si>
  <si>
    <t>语音转文字</t>
    <rPh sb="0" eb="1">
      <t>yu'y</t>
    </rPh>
    <rPh sb="2" eb="3">
      <t>vr'wf'zi</t>
    </rPh>
    <phoneticPr fontId="2" type="noConversion"/>
  </si>
  <si>
    <t>语音答案显示开发</t>
    <rPh sb="0" eb="1">
      <t>yu'yb</t>
    </rPh>
    <rPh sb="2" eb="3">
      <t>da'an</t>
    </rPh>
    <rPh sb="4" eb="5">
      <t>xm'ui</t>
    </rPh>
    <rPh sb="6" eb="7">
      <t>kd'fa</t>
    </rPh>
    <phoneticPr fontId="2" type="noConversion"/>
  </si>
  <si>
    <t>语音答案存储开发</t>
    <rPh sb="0" eb="1">
      <t>yu'yb'da'an</t>
    </rPh>
    <rPh sb="4" eb="5">
      <t>cy'iu</t>
    </rPh>
    <rPh sb="6" eb="7">
      <t>kd'fa</t>
    </rPh>
    <phoneticPr fontId="2" type="noConversion"/>
  </si>
  <si>
    <t>语音答案缓存开发</t>
    <rPh sb="0" eb="1">
      <t>yu'yb'dc'an</t>
    </rPh>
    <rPh sb="2" eb="3">
      <t>da'an</t>
    </rPh>
    <rPh sb="4" eb="5">
      <t>hr'cy</t>
    </rPh>
    <rPh sb="6" eb="7">
      <t>kd'fa</t>
    </rPh>
    <phoneticPr fontId="2" type="noConversion"/>
  </si>
  <si>
    <t>语音答案传输开发</t>
    <rPh sb="0" eb="1">
      <t>yu'yb'da'an</t>
    </rPh>
    <rPh sb="4" eb="5">
      <t>ir'uu</t>
    </rPh>
    <rPh sb="6" eb="7">
      <t>kd'fa</t>
    </rPh>
    <phoneticPr fontId="2" type="noConversion"/>
  </si>
  <si>
    <t>文本提问</t>
    <rPh sb="0" eb="1">
      <t>wf'bf</t>
    </rPh>
    <phoneticPr fontId="2" type="noConversion"/>
  </si>
  <si>
    <t>文本答案点赞</t>
    <rPh sb="0" eb="1">
      <t>wf'bf</t>
    </rPh>
    <rPh sb="2" eb="3">
      <t>da'an</t>
    </rPh>
    <rPh sb="4" eb="5">
      <t>dm'zj</t>
    </rPh>
    <phoneticPr fontId="2" type="noConversion"/>
  </si>
  <si>
    <t>文本答案举报</t>
    <rPh sb="0" eb="1">
      <t>wf'bf</t>
    </rPh>
    <rPh sb="2" eb="3">
      <t>da'an</t>
    </rPh>
    <rPh sb="4" eb="5">
      <t>ju'bc</t>
    </rPh>
    <phoneticPr fontId="2" type="noConversion"/>
  </si>
  <si>
    <t>文本答案缓存开发</t>
    <rPh sb="0" eb="1">
      <t>wf'bf</t>
    </rPh>
    <rPh sb="2" eb="3">
      <t>da'an</t>
    </rPh>
    <rPh sb="4" eb="5">
      <t>hr'cy</t>
    </rPh>
    <rPh sb="6" eb="7">
      <t>kd'fa</t>
    </rPh>
    <phoneticPr fontId="2" type="noConversion"/>
  </si>
  <si>
    <t>文本答案存储开发</t>
    <rPh sb="0" eb="1">
      <t>wf'bf'da'an</t>
    </rPh>
    <rPh sb="4" eb="5">
      <t>cy'iu</t>
    </rPh>
    <rPh sb="6" eb="7">
      <t>kd'fa</t>
    </rPh>
    <phoneticPr fontId="2" type="noConversion"/>
  </si>
  <si>
    <t>文本答案显示开发</t>
    <rPh sb="0" eb="1">
      <t>wf'bf'da'an</t>
    </rPh>
    <rPh sb="4" eb="5">
      <t>xm'ui</t>
    </rPh>
    <rPh sb="6" eb="7">
      <t>kd'fa</t>
    </rPh>
    <phoneticPr fontId="2" type="noConversion"/>
  </si>
  <si>
    <t>图片答案</t>
    <rPh sb="0" eb="1">
      <t>tu'pm'da'an</t>
    </rPh>
    <phoneticPr fontId="2" type="noConversion"/>
  </si>
  <si>
    <t>视频答案</t>
    <rPh sb="0" eb="1">
      <t>ui'pb'da'an</t>
    </rPh>
    <phoneticPr fontId="2" type="noConversion"/>
  </si>
  <si>
    <t>超链接答案</t>
    <rPh sb="0" eb="1">
      <t>ic'lm'jp</t>
    </rPh>
    <rPh sb="3" eb="4">
      <t>da'an</t>
    </rPh>
    <phoneticPr fontId="2" type="noConversion"/>
  </si>
  <si>
    <t>表情答案</t>
    <rPh sb="0" eb="1">
      <t>bn'q</t>
    </rPh>
    <rPh sb="2" eb="3">
      <t>da'an</t>
    </rPh>
    <phoneticPr fontId="2" type="noConversion"/>
  </si>
  <si>
    <t>动图答案</t>
    <rPh sb="0" eb="1">
      <t>ds'tu</t>
    </rPh>
    <rPh sb="2" eb="3">
      <t>da'an</t>
    </rPh>
    <phoneticPr fontId="2" type="noConversion"/>
  </si>
  <si>
    <t>文本输入提示</t>
    <rPh sb="0" eb="1">
      <t>wf'bf</t>
    </rPh>
    <rPh sb="2" eb="3">
      <t>uu'ru'ti'ui</t>
    </rPh>
    <phoneticPr fontId="2" type="noConversion"/>
  </si>
  <si>
    <t>候选答案推荐</t>
    <rPh sb="0" eb="1">
      <t>hz'xr'da'an</t>
    </rPh>
    <rPh sb="4" eb="5">
      <t>tv'jm</t>
    </rPh>
    <phoneticPr fontId="2" type="noConversion"/>
  </si>
  <si>
    <t>相近知识点推荐</t>
    <rPh sb="0" eb="1">
      <t>xl'jb'vi'ui'dm</t>
    </rPh>
    <rPh sb="5" eb="6">
      <t>tv'jm</t>
    </rPh>
    <phoneticPr fontId="2" type="noConversion"/>
  </si>
  <si>
    <t>语音数据观察</t>
    <rPh sb="0" eb="1">
      <t>yu'yb'uu'ju'gr'ia</t>
    </rPh>
    <phoneticPr fontId="2" type="noConversion"/>
  </si>
  <si>
    <t>语音增强</t>
    <rPh sb="0" eb="1">
      <t>yu'yb'zg'ql</t>
    </rPh>
    <phoneticPr fontId="2" type="noConversion"/>
  </si>
  <si>
    <t>语音去燥</t>
    <rPh sb="0" eb="1">
      <t>yu'yb'vi'll</t>
    </rPh>
    <rPh sb="2" eb="3">
      <t>qu'zc</t>
    </rPh>
    <phoneticPr fontId="2" type="noConversion"/>
  </si>
  <si>
    <t>语音压缩处理</t>
    <rPh sb="0" eb="1">
      <t>yu'yb'ya'so</t>
    </rPh>
    <rPh sb="4" eb="5">
      <t>iu'li</t>
    </rPh>
    <phoneticPr fontId="2" type="noConversion"/>
  </si>
  <si>
    <t>语音分帧处理</t>
    <rPh sb="0" eb="1">
      <t>yu'yb'ff'vf</t>
    </rPh>
    <rPh sb="4" eb="5">
      <t>iu'li</t>
    </rPh>
    <phoneticPr fontId="2" type="noConversion"/>
  </si>
  <si>
    <t>语音特征提取</t>
    <rPh sb="0" eb="1">
      <t>yu'yb'te'vg'ti'qu</t>
    </rPh>
    <phoneticPr fontId="2" type="noConversion"/>
  </si>
  <si>
    <t>声学模型训练</t>
    <rPh sb="0" eb="1">
      <t>ug'xt'mo'x</t>
    </rPh>
    <rPh sb="4" eb="5">
      <t>xy'lm</t>
    </rPh>
    <phoneticPr fontId="2" type="noConversion"/>
  </si>
  <si>
    <t>声学模型检验</t>
    <rPh sb="0" eb="1">
      <t>ug'xt'mo'xk</t>
    </rPh>
    <rPh sb="4" eb="5">
      <t>jm'yj</t>
    </rPh>
    <phoneticPr fontId="2" type="noConversion"/>
  </si>
  <si>
    <t>声学模型调优</t>
    <rPh sb="0" eb="1">
      <t>ug'xt'mo'xk</t>
    </rPh>
    <rPh sb="4" eb="5">
      <t>tn'yz</t>
    </rPh>
    <phoneticPr fontId="2" type="noConversion"/>
  </si>
  <si>
    <t>语音匹配</t>
    <rPh sb="0" eb="1">
      <t>yu'yb'pi'pw</t>
    </rPh>
    <phoneticPr fontId="2" type="noConversion"/>
  </si>
  <si>
    <t>语言模型训练</t>
    <rPh sb="0" eb="1">
      <t>yu'yj'mo'xk</t>
    </rPh>
    <rPh sb="4" eb="5">
      <t>xy'lm</t>
    </rPh>
    <phoneticPr fontId="2" type="noConversion"/>
  </si>
  <si>
    <t>语音模型检验</t>
    <rPh sb="0" eb="1">
      <t>yu'yb'mo'xk'ce'ui</t>
    </rPh>
    <rPh sb="2" eb="3">
      <t>mo'xk</t>
    </rPh>
    <rPh sb="4" eb="5">
      <t>jm'yj</t>
    </rPh>
    <phoneticPr fontId="2" type="noConversion"/>
  </si>
  <si>
    <t>语音模型调优</t>
    <rPh sb="0" eb="1">
      <t>yu'y</t>
    </rPh>
    <rPh sb="2" eb="3">
      <t>mo'xk</t>
    </rPh>
    <rPh sb="4" eb="5">
      <t>tn'yz</t>
    </rPh>
    <phoneticPr fontId="2" type="noConversion"/>
  </si>
  <si>
    <t>文本观察</t>
    <rPh sb="0" eb="1">
      <t>wf'b</t>
    </rPh>
    <rPh sb="2" eb="3">
      <t>gr'ia</t>
    </rPh>
    <phoneticPr fontId="2" type="noConversion"/>
  </si>
  <si>
    <t>表情过滤</t>
    <rPh sb="0" eb="1">
      <t>bn'qk</t>
    </rPh>
    <rPh sb="2" eb="3">
      <t>go'l</t>
    </rPh>
    <phoneticPr fontId="2" type="noConversion"/>
  </si>
  <si>
    <t>中文异常符号过滤</t>
    <rPh sb="0" eb="1">
      <t>vs'wf</t>
    </rPh>
    <rPh sb="2" eb="3">
      <t>yi'i</t>
    </rPh>
    <rPh sb="6" eb="7">
      <t>go'lv</t>
    </rPh>
    <phoneticPr fontId="2" type="noConversion"/>
  </si>
  <si>
    <t>中文编码处理</t>
    <rPh sb="0" eb="1">
      <t>vs'wf</t>
    </rPh>
    <phoneticPr fontId="2" type="noConversion"/>
  </si>
  <si>
    <t>中文分词模型训练</t>
    <rPh sb="0" eb="1">
      <t>vs'wf</t>
    </rPh>
    <rPh sb="6" eb="7">
      <t>xy'lm</t>
    </rPh>
    <phoneticPr fontId="2" type="noConversion"/>
  </si>
  <si>
    <t>中文分词模型检验</t>
    <rPh sb="0" eb="1">
      <t>vs'wf</t>
    </rPh>
    <rPh sb="2" eb="3">
      <t>ff'ci</t>
    </rPh>
    <rPh sb="4" eb="5">
      <t>mo'xk</t>
    </rPh>
    <rPh sb="6" eb="7">
      <t>jm'yj</t>
    </rPh>
    <phoneticPr fontId="2" type="noConversion"/>
  </si>
  <si>
    <t>中文分词模型调优</t>
    <rPh sb="0" eb="1">
      <t>vs'wf</t>
    </rPh>
    <rPh sb="2" eb="3">
      <t>ff'ci</t>
    </rPh>
    <rPh sb="4" eb="5">
      <t>mo'xk</t>
    </rPh>
    <rPh sb="6" eb="7">
      <t>tn'y</t>
    </rPh>
    <phoneticPr fontId="2" type="noConversion"/>
  </si>
  <si>
    <t>中文停用词处理</t>
    <rPh sb="0" eb="1">
      <t>vs'wf</t>
    </rPh>
    <rPh sb="2" eb="3">
      <t>tk'ys'ci</t>
    </rPh>
    <rPh sb="5" eb="6">
      <t>iu'li</t>
    </rPh>
    <phoneticPr fontId="2" type="noConversion"/>
  </si>
  <si>
    <t>英文异常符号过滤</t>
    <rPh sb="0" eb="1">
      <t>yk'wf</t>
    </rPh>
    <rPh sb="2" eb="3">
      <t>yi'i</t>
    </rPh>
    <rPh sb="6" eb="7">
      <t>go'lv</t>
    </rPh>
    <phoneticPr fontId="2" type="noConversion"/>
  </si>
  <si>
    <t>英文编码处理</t>
    <rPh sb="0" eb="1">
      <t>yk'wf</t>
    </rPh>
    <phoneticPr fontId="2" type="noConversion"/>
  </si>
  <si>
    <t>英文分词模型训练</t>
    <rPh sb="0" eb="1">
      <t>yk'wf</t>
    </rPh>
    <rPh sb="6" eb="7">
      <t>xy'lm</t>
    </rPh>
    <phoneticPr fontId="2" type="noConversion"/>
  </si>
  <si>
    <t>英文分词模型检验</t>
    <rPh sb="0" eb="1">
      <t>yk'wf</t>
    </rPh>
    <rPh sb="2" eb="3">
      <t>ff'ci</t>
    </rPh>
    <rPh sb="4" eb="5">
      <t>mo'xk</t>
    </rPh>
    <rPh sb="6" eb="7">
      <t>jm'yj</t>
    </rPh>
    <phoneticPr fontId="2" type="noConversion"/>
  </si>
  <si>
    <t>英文分词模型调优</t>
    <rPh sb="0" eb="1">
      <t>yk'wf</t>
    </rPh>
    <rPh sb="2" eb="3">
      <t>ff'ci</t>
    </rPh>
    <rPh sb="4" eb="5">
      <t>mo'xk</t>
    </rPh>
    <rPh sb="6" eb="7">
      <t>tn'y</t>
    </rPh>
    <phoneticPr fontId="2" type="noConversion"/>
  </si>
  <si>
    <t>英文停用词处理</t>
    <rPh sb="0" eb="1">
      <t>yk'wf</t>
    </rPh>
    <rPh sb="2" eb="3">
      <t>tk'ys'ci</t>
    </rPh>
    <rPh sb="5" eb="6">
      <t>iu'li</t>
    </rPh>
    <phoneticPr fontId="2" type="noConversion"/>
  </si>
  <si>
    <t>特征选择处理</t>
    <rPh sb="0" eb="1">
      <t>te'vg</t>
    </rPh>
    <rPh sb="2" eb="3">
      <t>xr'ze'iu'li</t>
    </rPh>
    <phoneticPr fontId="2" type="noConversion"/>
  </si>
  <si>
    <t>降维处理</t>
    <rPh sb="0" eb="1">
      <t>jl'ww'iu'li</t>
    </rPh>
    <phoneticPr fontId="2" type="noConversion"/>
  </si>
  <si>
    <t>数据切片</t>
    <rPh sb="0" eb="1">
      <t>uu'ju'qp'pm</t>
    </rPh>
    <phoneticPr fontId="2" type="noConversion"/>
  </si>
  <si>
    <t>分词切片</t>
    <phoneticPr fontId="2" type="noConversion"/>
  </si>
  <si>
    <t>词性标注</t>
    <rPh sb="0" eb="1">
      <t>ci'xk'bn'vu</t>
    </rPh>
    <phoneticPr fontId="2" type="noConversion"/>
  </si>
  <si>
    <t>从属关系语法</t>
    <rPh sb="0" eb="1">
      <t>cs'uu'gr'xi</t>
    </rPh>
    <rPh sb="4" eb="5">
      <t>yu'fa</t>
    </rPh>
    <phoneticPr fontId="2" type="noConversion"/>
  </si>
  <si>
    <t>短语检测</t>
    <rPh sb="0" eb="1">
      <t>dr'yu'jm'ce</t>
    </rPh>
    <phoneticPr fontId="2" type="noConversion"/>
  </si>
  <si>
    <t>主题建模</t>
    <rPh sb="0" eb="1">
      <t>vu'ti'jm'mo</t>
    </rPh>
    <phoneticPr fontId="2" type="noConversion"/>
  </si>
  <si>
    <t>TF–IDF</t>
    <phoneticPr fontId="2" type="noConversion"/>
  </si>
  <si>
    <t>频率特征</t>
    <rPh sb="0" eb="1">
      <t>pb'lv'te'vg</t>
    </rPh>
    <phoneticPr fontId="2" type="noConversion"/>
  </si>
  <si>
    <t>密度特征</t>
    <rPh sb="0" eb="1">
      <t>mi'du</t>
    </rPh>
    <rPh sb="2" eb="3">
      <t>te'vg</t>
    </rPh>
    <phoneticPr fontId="2" type="noConversion"/>
  </si>
  <si>
    <t>可读性特征</t>
    <rPh sb="0" eb="1">
      <t>ke'du'xk'te'vg</t>
    </rPh>
    <phoneticPr fontId="2" type="noConversion"/>
  </si>
  <si>
    <t>单词嵌入</t>
  </si>
  <si>
    <t>文本分类</t>
  </si>
  <si>
    <t>编辑距离</t>
    <rPh sb="0" eb="1">
      <t>bm'ji'ju'li</t>
    </rPh>
    <phoneticPr fontId="2" type="noConversion"/>
  </si>
  <si>
    <t>柔性字符串匹配</t>
  </si>
  <si>
    <t>词形还原</t>
  </si>
  <si>
    <t>词干提取</t>
  </si>
  <si>
    <t>音频提取</t>
    <phoneticPr fontId="2" type="noConversion"/>
  </si>
  <si>
    <t>慕书数据预处理</t>
    <phoneticPr fontId="2" type="noConversion"/>
  </si>
  <si>
    <t>语音转文字</t>
    <phoneticPr fontId="2" type="noConversion"/>
  </si>
  <si>
    <t>语音识别*</t>
    <phoneticPr fontId="2" type="noConversion"/>
  </si>
  <si>
    <t>音频时间戳标注</t>
    <phoneticPr fontId="2" type="noConversion"/>
  </si>
  <si>
    <t>字幕校验平台</t>
    <phoneticPr fontId="2" type="noConversion"/>
  </si>
  <si>
    <t>从视频库中下载对应的视频</t>
  </si>
  <si>
    <t>视频转码提取音频</t>
  </si>
  <si>
    <t>调用语音识别库识别语音转文字</t>
  </si>
  <si>
    <t>字幕校验后台接口开发</t>
  </si>
  <si>
    <t>字幕校验前端工具开发</t>
  </si>
  <si>
    <t>字幕数据库安装</t>
  </si>
  <si>
    <t>字幕校验系统的表结构设计</t>
  </si>
  <si>
    <t>手工的对准字幕和音频的时间戳</t>
  </si>
  <si>
    <t>慕书截图处理</t>
    <phoneticPr fontId="2" type="noConversion"/>
  </si>
  <si>
    <t>视频关键帧提取</t>
  </si>
  <si>
    <t>图像库环境编译安装</t>
  </si>
  <si>
    <t>数据库安装</t>
  </si>
  <si>
    <t>数据库视频表结构设计</t>
  </si>
  <si>
    <t>数据库视频下载调度系统表结构设计</t>
  </si>
  <si>
    <t>数据库图像帧处理调度系统的表结构设计</t>
  </si>
  <si>
    <t>课程结构接口格式制定</t>
  </si>
  <si>
    <t>课程结构下载单元</t>
  </si>
  <si>
    <t>视频URL下载的生产者进程</t>
  </si>
  <si>
    <t>视频URL下载的消费者进程队列</t>
  </si>
  <si>
    <t>视频下载调度系统开发</t>
  </si>
  <si>
    <t>视频增量断点下载模块</t>
  </si>
  <si>
    <t>视频的保存及删除功能模块(控制磁盘空间)</t>
  </si>
  <si>
    <t>下载异常视频的统计重下载模块</t>
  </si>
  <si>
    <t>视频桢流提取</t>
  </si>
  <si>
    <t>视频帧的帧率计算</t>
  </si>
  <si>
    <t>视频关键帧的位置获取</t>
  </si>
  <si>
    <t>视频帧队列存储</t>
  </si>
  <si>
    <t>视频帧多进程消费者处理队列</t>
  </si>
  <si>
    <t>图片帧的灰度化</t>
  </si>
  <si>
    <t>图片帧的对比度增强</t>
  </si>
  <si>
    <t>图片帧尺寸标准化</t>
  </si>
  <si>
    <t>图片帧低通滤波器过滤</t>
  </si>
  <si>
    <t>加载人脸识别训练模型</t>
  </si>
  <si>
    <t>对图片帧进行人脸识别</t>
  </si>
  <si>
    <t>可视化系统</t>
  </si>
  <si>
    <t>人脸判定逻辑模块</t>
  </si>
  <si>
    <t>计算人脸对关键帧的权重影响系数</t>
  </si>
  <si>
    <t>获取人眼坐标</t>
  </si>
  <si>
    <t>定义椭圆参数方程</t>
  </si>
  <si>
    <t>随机初始化椭圆方程参数</t>
  </si>
  <si>
    <t>基于最小二乘的损失函数计算</t>
  </si>
  <si>
    <t>基于损失函数做SGD最优化计算求解参数</t>
  </si>
  <si>
    <t>重新随机初始化椭圆参数</t>
  </si>
  <si>
    <t>求解相对最优的椭圆参数</t>
  </si>
  <si>
    <t>基于椭圆方程计算眼睛面积</t>
  </si>
  <si>
    <t>基于椭圆方程计算眼睛中轴夹角评估姿态</t>
  </si>
  <si>
    <t>基于站姿评估计算对关键帧的权重影响系数</t>
  </si>
  <si>
    <t>基于眼睛面积计算对关键帧的权重影响系数</t>
  </si>
  <si>
    <t>综合计算关键帧的加权系数</t>
  </si>
  <si>
    <t>求最优关键帧对应的视频流位置</t>
  </si>
  <si>
    <t>通过流位置获取原视频帧</t>
  </si>
  <si>
    <t>生成缩略图</t>
  </si>
  <si>
    <t>慕书可视化</t>
    <phoneticPr fontId="2" type="noConversion"/>
  </si>
  <si>
    <t>慕书服务</t>
    <phoneticPr fontId="2" type="noConversion"/>
  </si>
  <si>
    <t>接口监测模块</t>
  </si>
  <si>
    <t>稳定性保障模块</t>
  </si>
  <si>
    <t>并发度保障模块</t>
  </si>
  <si>
    <t>安全性检查模块</t>
  </si>
  <si>
    <t>输出校验模块</t>
  </si>
  <si>
    <t>输入校验模块</t>
  </si>
  <si>
    <t>用户权限模块</t>
  </si>
  <si>
    <t>接口框架选型</t>
  </si>
  <si>
    <t>接口规范定义</t>
  </si>
  <si>
    <t>慕书API</t>
    <phoneticPr fontId="2" type="noConversion"/>
  </si>
  <si>
    <t>生成文章存储</t>
  </si>
  <si>
    <t>文本内容集成关键帧截图</t>
  </si>
  <si>
    <t>关键帧截图模型训练</t>
  </si>
  <si>
    <t>关键帧截图模型建立</t>
  </si>
  <si>
    <t>关键段落提取</t>
  </si>
  <si>
    <t>关键段落定义</t>
  </si>
  <si>
    <t>关键词获取</t>
  </si>
  <si>
    <t>语句标点获取</t>
  </si>
  <si>
    <t>分段内容获取</t>
  </si>
  <si>
    <t>慕书集成</t>
    <phoneticPr fontId="2" type="noConversion"/>
  </si>
  <si>
    <t>慕书应用</t>
    <phoneticPr fontId="2" type="noConversion"/>
  </si>
  <si>
    <t>文本内容自动分段生成</t>
  </si>
  <si>
    <t>智能分段模型训练</t>
  </si>
  <si>
    <t>智能分段模型建立</t>
  </si>
  <si>
    <t>文本分段定义</t>
  </si>
  <si>
    <t>文本语句自动标点生成</t>
  </si>
  <si>
    <t>语句标点模型训练</t>
  </si>
  <si>
    <t>语句标点模型建立</t>
  </si>
  <si>
    <t>语句标点符定义</t>
  </si>
  <si>
    <t>语料库提取</t>
  </si>
  <si>
    <t>语料库填充</t>
  </si>
  <si>
    <t>语料库建立</t>
  </si>
  <si>
    <t>语音库提取</t>
  </si>
  <si>
    <t>语音库填充</t>
  </si>
  <si>
    <t>语音库建立</t>
  </si>
  <si>
    <t>知识库提取</t>
  </si>
  <si>
    <t>知识库填充</t>
  </si>
  <si>
    <t>知识库建立</t>
  </si>
  <si>
    <t>词库提取</t>
  </si>
  <si>
    <t>词库填充</t>
  </si>
  <si>
    <t>词库建立</t>
    <phoneticPr fontId="2" type="noConversion"/>
  </si>
  <si>
    <t>文本内容、语速、音调、教师、课程关联模型训练</t>
  </si>
  <si>
    <t>文本内容、语速、音调、教师、课程关联模型建立</t>
  </si>
  <si>
    <t>文本内容、语速、音调、教师关联模型训练</t>
  </si>
  <si>
    <t>文本内容、语速、音调、教师关联模型建立</t>
  </si>
  <si>
    <t>文本内容、语速、音调、课程关联模型训练</t>
  </si>
  <si>
    <t>文本内容、语速、音调、课程关联模型建立</t>
  </si>
  <si>
    <t>文本内容、课程、教师关联模型训练</t>
  </si>
  <si>
    <t>文本内容、课程、教师关联模型建立</t>
  </si>
  <si>
    <t>文本内容、语速、音调关联模型训练</t>
  </si>
  <si>
    <t>文本内容、语速、音调关联模型建立</t>
  </si>
  <si>
    <t>教师与课程关系模型训练</t>
  </si>
  <si>
    <t>教师与课程关系模型建立</t>
  </si>
  <si>
    <t>音调与课程关系模型训练</t>
  </si>
  <si>
    <t>音调与课程关系模型建立</t>
  </si>
  <si>
    <t>音调与教师关系模型训练</t>
  </si>
  <si>
    <t>音调与教师关系模型建立</t>
  </si>
  <si>
    <t>语速与课程关系模型训练</t>
  </si>
  <si>
    <t>语速与课程关系模型建立</t>
  </si>
  <si>
    <t>语速与教师关系模型训练</t>
  </si>
  <si>
    <t>语速与教师关系模型建立</t>
  </si>
  <si>
    <t>语速与音调关系模型训练</t>
  </si>
  <si>
    <t>语速与音调关系模型建立</t>
  </si>
  <si>
    <t>文本内容与课程关系模型训练</t>
  </si>
  <si>
    <t>文本内容与课程关系模型建立</t>
  </si>
  <si>
    <t>文本内容与教师关系模型训练</t>
  </si>
  <si>
    <t>文本内容与教师关系模型建立</t>
  </si>
  <si>
    <t>文本内容与音调关系模型训练</t>
  </si>
  <si>
    <t>文本内容与音调关系模型建立</t>
  </si>
  <si>
    <t>文本内容与语速关系模型训练</t>
  </si>
  <si>
    <t>文本内容与语速关系模型建立</t>
  </si>
  <si>
    <t>课程个性化语义提取</t>
  </si>
  <si>
    <t>课程常用语提取</t>
  </si>
  <si>
    <t>字幕文本内容关联课程</t>
  </si>
  <si>
    <t>教师个性化语义提取</t>
  </si>
  <si>
    <t>教师常用语提取</t>
  </si>
  <si>
    <t>字幕文本内容关联教师</t>
  </si>
  <si>
    <t>课程音调个性化分析</t>
  </si>
  <si>
    <t>音调关联课程</t>
  </si>
  <si>
    <t>课程语音间隔特征分析</t>
  </si>
  <si>
    <t>语音间隔关联课程</t>
  </si>
  <si>
    <t>教师音调个性化分析</t>
  </si>
  <si>
    <t>音调关联教师</t>
  </si>
  <si>
    <t>教师语音习惯性停顿识别</t>
  </si>
  <si>
    <t>语音间隔关联教师</t>
    <phoneticPr fontId="2" type="noConversion"/>
  </si>
  <si>
    <t>教师关联课程</t>
  </si>
  <si>
    <t>教师特征模型训练</t>
  </si>
  <si>
    <t>教师特征模型建立</t>
  </si>
  <si>
    <t>教师分类模型训练</t>
  </si>
  <si>
    <t>教师分类模型建立</t>
  </si>
  <si>
    <t>教师属性采集</t>
    <phoneticPr fontId="2" type="noConversion"/>
  </si>
  <si>
    <t>课程特征模型训练</t>
  </si>
  <si>
    <t>课程特征模型建立</t>
  </si>
  <si>
    <t>课程关联知识点</t>
  </si>
  <si>
    <t>知识点获取</t>
  </si>
  <si>
    <t>课程分类训练</t>
  </si>
  <si>
    <t>课程分类模型建立</t>
  </si>
  <si>
    <t>课程属性采集</t>
  </si>
  <si>
    <t>字幕文本内容关联音调</t>
  </si>
  <si>
    <t>字幕文本内容关联语速</t>
  </si>
  <si>
    <t>文本常用语识别</t>
  </si>
  <si>
    <t>常用语归集</t>
  </si>
  <si>
    <t>文本内容统计化处理</t>
  </si>
  <si>
    <t>文本规则化语义解析</t>
  </si>
  <si>
    <t>文本关键词提取</t>
  </si>
  <si>
    <t>建立关键词算法提取规则</t>
  </si>
  <si>
    <t>文本内容分词</t>
  </si>
  <si>
    <t>文本语言识别</t>
  </si>
  <si>
    <t>文本与时间戳关联</t>
  </si>
  <si>
    <t>字幕时间戳识别</t>
  </si>
  <si>
    <t>字幕文本识别</t>
  </si>
  <si>
    <t>字幕非法性标准校验</t>
  </si>
  <si>
    <t>字幕清洗</t>
  </si>
  <si>
    <t>字幕提取</t>
  </si>
  <si>
    <t>字幕标准定义</t>
  </si>
  <si>
    <t>语速与音调特征关联</t>
    <phoneticPr fontId="2" type="noConversion"/>
  </si>
  <si>
    <t>音调特征模型训练</t>
  </si>
  <si>
    <t>音调特征模型建立</t>
  </si>
  <si>
    <t>音频音调识别</t>
  </si>
  <si>
    <t>音频音调提取</t>
    <phoneticPr fontId="2" type="noConversion"/>
  </si>
  <si>
    <t>语速计算</t>
  </si>
  <si>
    <t>语音间隔关联语音时长</t>
  </si>
  <si>
    <t>语音间隔分类</t>
  </si>
  <si>
    <t>语音间隔提取</t>
  </si>
  <si>
    <t>非法语音片段校验</t>
  </si>
  <si>
    <t>语音时长分类</t>
  </si>
  <si>
    <t>语音时长提取</t>
  </si>
  <si>
    <t>文本内容生成</t>
    <phoneticPr fontId="2" type="noConversion"/>
  </si>
  <si>
    <t>慕书内容处理</t>
    <phoneticPr fontId="2" type="noConversion"/>
  </si>
  <si>
    <t>知识图谱</t>
  </si>
  <si>
    <t>数据抓取</t>
  </si>
  <si>
    <t>网络爬虫</t>
  </si>
  <si>
    <t>网页内容抽取</t>
  </si>
  <si>
    <t>不同数据源融合</t>
  </si>
  <si>
    <t>Wikidata 数据获取</t>
  </si>
  <si>
    <t>Wikidata 数据及关系获取</t>
  </si>
  <si>
    <t>Wikidata  数据及关系整理</t>
  </si>
  <si>
    <t>Wikidata 和现有数据融合</t>
  </si>
  <si>
    <t xml:space="preserve"> 常规数据爬取</t>
  </si>
  <si>
    <t>ajax数据提取</t>
  </si>
  <si>
    <t>模拟登陆功能</t>
  </si>
  <si>
    <t>IP池功能</t>
  </si>
  <si>
    <t>反扒规则</t>
  </si>
  <si>
    <t>模拟浏览器功能</t>
  </si>
  <si>
    <t>数据定期爬取规则</t>
  </si>
  <si>
    <t>页面爬取规则</t>
  </si>
  <si>
    <t>知识图谱构建</t>
  </si>
  <si>
    <t>知识点详情功能UI设计</t>
  </si>
  <si>
    <t>知识点详情功能前端开发</t>
  </si>
  <si>
    <t>知识点详情功能后端开发</t>
  </si>
  <si>
    <t>知识点关系网络UI设计</t>
  </si>
  <si>
    <t>知识点关系网络前端开发</t>
  </si>
  <si>
    <t>知识点关系网络后端开发</t>
  </si>
  <si>
    <t>知识点与知识点关系接口</t>
  </si>
  <si>
    <t>知识点外部数据获取接口(百度百科)</t>
  </si>
  <si>
    <t>知识点外部数据获取功能(百度百科)</t>
  </si>
  <si>
    <t>知识点关系调整接口</t>
  </si>
  <si>
    <t>知识点删除UI设计</t>
  </si>
  <si>
    <t>知识点删除前端开发</t>
  </si>
  <si>
    <t>知识点删除后端开发</t>
  </si>
  <si>
    <t>知识点创建UI设计</t>
  </si>
  <si>
    <t>知识点创建前端开发</t>
  </si>
  <si>
    <t>知识点创建后端开发</t>
  </si>
  <si>
    <t>知识点编辑UI设计</t>
  </si>
  <si>
    <t>知识点编辑前端开发</t>
  </si>
  <si>
    <t>知识点编辑后端开发</t>
  </si>
  <si>
    <t>知识点黑名单创建UI设计</t>
  </si>
  <si>
    <t>知识点黑名单创建前端开发</t>
  </si>
  <si>
    <t>知识点黑名单创建后端开发</t>
  </si>
  <si>
    <t>知识点黑名单删除UI设计</t>
  </si>
  <si>
    <t>知识点黑名单删除前端开发</t>
  </si>
  <si>
    <t>知识点黑名单删除后端开发</t>
  </si>
  <si>
    <t>知识点创建规则功能</t>
  </si>
  <si>
    <t>知识点关系创建规则功能</t>
  </si>
  <si>
    <t>知识点关系调整规则功能</t>
  </si>
  <si>
    <t>知识点横向关系接口</t>
  </si>
  <si>
    <t>知识点纵向关系接口</t>
  </si>
  <si>
    <t>知识点检索功能UI设计</t>
  </si>
  <si>
    <t>知识点检索功能前端开发</t>
  </si>
  <si>
    <t>知识点检索功能后端</t>
  </si>
  <si>
    <t>知识点推荐接口</t>
  </si>
  <si>
    <t>知识点统计接口</t>
  </si>
  <si>
    <t>知识点统计UI设计</t>
  </si>
  <si>
    <t>知识点统计前端开发</t>
  </si>
  <si>
    <t>知识点统计后端开发</t>
  </si>
  <si>
    <t>知识点推理接口</t>
  </si>
  <si>
    <t>知识点反馈接口</t>
  </si>
  <si>
    <t>知识点反馈UI设计</t>
  </si>
  <si>
    <t>知识点反馈前端开发</t>
  </si>
  <si>
    <t>知识点反馈后端开发</t>
  </si>
  <si>
    <t>知识点质量评估</t>
  </si>
  <si>
    <t>知识点排序功能</t>
  </si>
  <si>
    <t>知识点数据层融合功能</t>
  </si>
  <si>
    <t>知识点模式层的融合功能</t>
  </si>
  <si>
    <t>知识图谱可视化</t>
  </si>
  <si>
    <t>可视化地图的路径数据采集</t>
  </si>
  <si>
    <t>转换成SVG</t>
  </si>
  <si>
    <t>逻辑编写</t>
  </si>
  <si>
    <t>UI界面设计</t>
  </si>
  <si>
    <t>UE交互设计</t>
  </si>
  <si>
    <t>响应式布局</t>
  </si>
  <si>
    <t>人机交互-放大缩小</t>
  </si>
  <si>
    <t>人机交互-过滤查询</t>
  </si>
  <si>
    <t>知识中心性分析</t>
  </si>
  <si>
    <t>关键词共现分析</t>
  </si>
  <si>
    <t>图谱链接学习资源跳转</t>
  </si>
  <si>
    <t>外部数据语料库</t>
  </si>
  <si>
    <t>文档语料库</t>
  </si>
  <si>
    <t>文档知识点</t>
  </si>
  <si>
    <t>分类标注语料库</t>
  </si>
  <si>
    <t>知识图谱库</t>
  </si>
  <si>
    <t>视频库</t>
  </si>
  <si>
    <t>音频库</t>
  </si>
  <si>
    <t>图片库</t>
  </si>
  <si>
    <t>慕书结果信息表</t>
  </si>
  <si>
    <t>知识点详情数据库设计</t>
  </si>
  <si>
    <t>知识点关系数据库设计</t>
  </si>
  <si>
    <t>知识点外部数据数据库设计</t>
  </si>
  <si>
    <t>知识点数据库设计</t>
  </si>
  <si>
    <t>知识点黑名单数据库设计</t>
  </si>
  <si>
    <t>知识点层级数据库设计</t>
  </si>
  <si>
    <t>知识点统计数据结构设计</t>
  </si>
  <si>
    <t>知识点反馈数据结构设计</t>
  </si>
  <si>
    <t>知识点质量数据库设计</t>
  </si>
  <si>
    <t>搜索意图分析</t>
    <phoneticPr fontId="2" type="noConversion"/>
  </si>
  <si>
    <t>Query预处理</t>
    <phoneticPr fontId="2" type="noConversion"/>
  </si>
  <si>
    <t>文件检索系统</t>
    <rPh sb="0" eb="1">
      <t>wen'jian</t>
    </rPh>
    <rPh sb="2" eb="3">
      <t>jm'so'fu'wu</t>
    </rPh>
    <rPh sb="4" eb="5">
      <t>xi'tong</t>
    </rPh>
    <phoneticPr fontId="2" type="noConversion"/>
  </si>
  <si>
    <t>关联推荐</t>
    <rPh sb="0" eb="1">
      <t>guan'lian'tui'jian</t>
    </rPh>
    <phoneticPr fontId="2" type="noConversion"/>
  </si>
  <si>
    <t>语义分析</t>
    <rPh sb="0" eb="1">
      <t>yu'yi'fen'xi</t>
    </rPh>
    <phoneticPr fontId="2" type="noConversion"/>
  </si>
  <si>
    <t>基建资源规划</t>
    <rPh sb="0" eb="1">
      <t>ji'jian</t>
    </rPh>
    <rPh sb="2" eb="3">
      <t>zi'yuan</t>
    </rPh>
    <rPh sb="4" eb="5">
      <t>gui'hua</t>
    </rPh>
    <phoneticPr fontId="2" type="noConversion"/>
  </si>
  <si>
    <t>需求确认</t>
    <rPh sb="0" eb="1">
      <t>xu'qiu</t>
    </rPh>
    <rPh sb="2" eb="3">
      <t>que'ren</t>
    </rPh>
    <phoneticPr fontId="2" type="noConversion"/>
  </si>
  <si>
    <t>收集功能需求,业务量级,增长预期等业务规划;集合研发技术包线,确认技术上层起点.并确定资源集和中间件服务集</t>
    <rPh sb="0" eb="1">
      <t>shou'ji</t>
    </rPh>
    <rPh sb="2" eb="3">
      <t>gong'neng</t>
    </rPh>
    <rPh sb="4" eb="5">
      <t>xu'qiu</t>
    </rPh>
    <rPh sb="7" eb="8">
      <t>ye'wu</t>
    </rPh>
    <rPh sb="9" eb="10">
      <t>liang'ji</t>
    </rPh>
    <rPh sb="12" eb="13">
      <t>zeng'zhang</t>
    </rPh>
    <rPh sb="14" eb="15">
      <t>yu'qi</t>
    </rPh>
    <rPh sb="16" eb="17">
      <t>deng</t>
    </rPh>
    <rPh sb="17" eb="18">
      <t>ye'wu</t>
    </rPh>
    <rPh sb="19" eb="20">
      <t>gui'hua</t>
    </rPh>
    <rPh sb="22" eb="23">
      <t>ji'he</t>
    </rPh>
    <rPh sb="24" eb="25">
      <t>yan'fa</t>
    </rPh>
    <rPh sb="26" eb="27">
      <t>ji'shu</t>
    </rPh>
    <rPh sb="28" eb="29">
      <t>bao'xian</t>
    </rPh>
    <rPh sb="29" eb="30">
      <t>xian</t>
    </rPh>
    <rPh sb="31" eb="32">
      <t>que'ren</t>
    </rPh>
    <rPh sb="33" eb="34">
      <t>ji'shu</t>
    </rPh>
    <rPh sb="35" eb="36">
      <t>shang'ceng</t>
    </rPh>
    <rPh sb="37" eb="38">
      <t>qi'dian</t>
    </rPh>
    <rPh sb="40" eb="41">
      <t>bing</t>
    </rPh>
    <rPh sb="41" eb="42">
      <t>que'ding</t>
    </rPh>
    <rPh sb="43" eb="44">
      <t>zi'yuan'ji'he</t>
    </rPh>
    <rPh sb="46" eb="47">
      <t>he</t>
    </rPh>
    <rPh sb="47" eb="48">
      <t>zhong'jian'jian</t>
    </rPh>
    <rPh sb="50" eb="51">
      <t>fu'wu</t>
    </rPh>
    <rPh sb="52" eb="53">
      <t>ji'he</t>
    </rPh>
    <phoneticPr fontId="2" type="noConversion"/>
  </si>
  <si>
    <t>中间件选型</t>
    <rPh sb="0" eb="1">
      <t>zhong'jian'jian</t>
    </rPh>
    <rPh sb="3" eb="4">
      <t>xuan'xing</t>
    </rPh>
    <phoneticPr fontId="2" type="noConversion"/>
  </si>
  <si>
    <t>测试并挑选适用的中间件以及版本</t>
    <rPh sb="0" eb="1">
      <t>ce'shi</t>
    </rPh>
    <rPh sb="2" eb="3">
      <t>bing</t>
    </rPh>
    <rPh sb="3" eb="4">
      <t>tiao'xuan</t>
    </rPh>
    <rPh sb="5" eb="6">
      <t>shi'yong</t>
    </rPh>
    <rPh sb="7" eb="8">
      <t>de</t>
    </rPh>
    <rPh sb="8" eb="9">
      <t>zhong'jian'jian</t>
    </rPh>
    <rPh sb="11" eb="12">
      <t>yi'ji</t>
    </rPh>
    <rPh sb="13" eb="14">
      <t>ban'ben</t>
    </rPh>
    <phoneticPr fontId="2" type="noConversion"/>
  </si>
  <si>
    <t>基建服务商选型</t>
    <rPh sb="0" eb="1">
      <t>ji'jian</t>
    </rPh>
    <rPh sb="2" eb="3">
      <t>fu'w</t>
    </rPh>
    <rPh sb="4" eb="5">
      <t>shang</t>
    </rPh>
    <rPh sb="5" eb="6">
      <t>xuan'xing</t>
    </rPh>
    <phoneticPr fontId="2" type="noConversion"/>
  </si>
  <si>
    <t>测试并挑选基建服务商</t>
    <rPh sb="0" eb="1">
      <t>ce'shi</t>
    </rPh>
    <rPh sb="2" eb="3">
      <t>bing</t>
    </rPh>
    <rPh sb="3" eb="4">
      <t>tiao'xuan</t>
    </rPh>
    <rPh sb="5" eb="6">
      <t>ji'jian</t>
    </rPh>
    <rPh sb="7" eb="8">
      <t>fu'wu'shang</t>
    </rPh>
    <phoneticPr fontId="2" type="noConversion"/>
  </si>
  <si>
    <t>预算确认</t>
    <rPh sb="0" eb="1">
      <t>yu'suan</t>
    </rPh>
    <rPh sb="2" eb="3">
      <t>que'ren</t>
    </rPh>
    <phoneticPr fontId="2" type="noConversion"/>
  </si>
  <si>
    <t>依据中间件集和资源集,结合测试结果和业务预期,规划预算并完成论证</t>
    <rPh sb="0" eb="1">
      <t>yi'ju</t>
    </rPh>
    <rPh sb="2" eb="3">
      <t>zhong'jian'jian</t>
    </rPh>
    <rPh sb="5" eb="6">
      <t>ji'he</t>
    </rPh>
    <rPh sb="6" eb="7">
      <t>he</t>
    </rPh>
    <rPh sb="7" eb="8">
      <t>zi'yuan</t>
    </rPh>
    <rPh sb="9" eb="10">
      <t>ji'he</t>
    </rPh>
    <rPh sb="11" eb="12">
      <t>jie'he</t>
    </rPh>
    <rPh sb="13" eb="14">
      <t>ce'shi</t>
    </rPh>
    <rPh sb="15" eb="16">
      <t>jie'guo</t>
    </rPh>
    <rPh sb="17" eb="18">
      <t>he</t>
    </rPh>
    <rPh sb="18" eb="19">
      <t>ye'wu</t>
    </rPh>
    <rPh sb="20" eb="21">
      <t>yu'qi</t>
    </rPh>
    <rPh sb="23" eb="24">
      <t>gui'hua</t>
    </rPh>
    <rPh sb="25" eb="26">
      <t>yu'suan</t>
    </rPh>
    <rPh sb="27" eb="28">
      <t>bing</t>
    </rPh>
    <rPh sb="28" eb="29">
      <t>wan'cheng</t>
    </rPh>
    <rPh sb="30" eb="31">
      <t>lun'zheng</t>
    </rPh>
    <phoneticPr fontId="2" type="noConversion"/>
  </si>
  <si>
    <t>环境部署</t>
    <rPh sb="0" eb="1">
      <t>huan'jing</t>
    </rPh>
    <rPh sb="2" eb="3">
      <t>bu'shu</t>
    </rPh>
    <phoneticPr fontId="2" type="noConversion"/>
  </si>
  <si>
    <t>部署方案论证</t>
    <rPh sb="0" eb="1">
      <t>bu'shu</t>
    </rPh>
    <rPh sb="2" eb="3">
      <t>fang'an</t>
    </rPh>
    <rPh sb="4" eb="5">
      <t>lun'zheng</t>
    </rPh>
    <phoneticPr fontId="2" type="noConversion"/>
  </si>
  <si>
    <t>论证开发,生产等环境部署方案</t>
    <rPh sb="0" eb="1">
      <t>lun'zheng</t>
    </rPh>
    <rPh sb="2" eb="3">
      <t>kai'fa</t>
    </rPh>
    <rPh sb="5" eb="6">
      <t>sheng'c</t>
    </rPh>
    <rPh sb="7" eb="8">
      <t>deng</t>
    </rPh>
    <rPh sb="8" eb="9">
      <t>huan'jing</t>
    </rPh>
    <rPh sb="10" eb="11">
      <t>bu'shu</t>
    </rPh>
    <rPh sb="12" eb="13">
      <t>fang'an</t>
    </rPh>
    <phoneticPr fontId="2" type="noConversion"/>
  </si>
  <si>
    <t>环境镜像制作</t>
    <rPh sb="0" eb="1">
      <t>huan'jing</t>
    </rPh>
    <rPh sb="2" eb="3">
      <t>jing'xiang</t>
    </rPh>
    <rPh sb="4" eb="5">
      <t>zhi'zuo</t>
    </rPh>
    <phoneticPr fontId="2" type="noConversion"/>
  </si>
  <si>
    <t>依据论证方案构建环境标准镜像</t>
    <rPh sb="0" eb="1">
      <t>yi'ju</t>
    </rPh>
    <rPh sb="2" eb="3">
      <t>lun'zheng</t>
    </rPh>
    <rPh sb="4" eb="5">
      <t>fang'an</t>
    </rPh>
    <rPh sb="6" eb="7">
      <t>gou'jian</t>
    </rPh>
    <rPh sb="8" eb="9">
      <t>huan'jing</t>
    </rPh>
    <rPh sb="10" eb="11">
      <t>biao'zhun</t>
    </rPh>
    <rPh sb="12" eb="13">
      <t>jing'xiang</t>
    </rPh>
    <phoneticPr fontId="2" type="noConversion"/>
  </si>
  <si>
    <t>开发环境</t>
    <rPh sb="0" eb="1">
      <t>kai'fa</t>
    </rPh>
    <rPh sb="2" eb="3">
      <t>huan'jing</t>
    </rPh>
    <phoneticPr fontId="2" type="noConversion"/>
  </si>
  <si>
    <t>依据论证方案部署开发环境</t>
    <rPh sb="0" eb="1">
      <t>yi'ju</t>
    </rPh>
    <rPh sb="2" eb="3">
      <t>lun'zheng</t>
    </rPh>
    <rPh sb="4" eb="5">
      <t>fang'an</t>
    </rPh>
    <rPh sb="6" eb="7">
      <t>bu'shu</t>
    </rPh>
    <rPh sb="8" eb="9">
      <t>kai'fa</t>
    </rPh>
    <rPh sb="10" eb="11">
      <t>huan'jing</t>
    </rPh>
    <phoneticPr fontId="2" type="noConversion"/>
  </si>
  <si>
    <t>预发环境</t>
    <rPh sb="0" eb="1">
      <t>yu'fa</t>
    </rPh>
    <rPh sb="2" eb="3">
      <t>huan'jing</t>
    </rPh>
    <phoneticPr fontId="2" type="noConversion"/>
  </si>
  <si>
    <t>依据论证方案部署预发环境</t>
    <rPh sb="0" eb="1">
      <t>yi'ju</t>
    </rPh>
    <rPh sb="2" eb="3">
      <t>lun'zheng</t>
    </rPh>
    <rPh sb="4" eb="5">
      <t>fang'an</t>
    </rPh>
    <rPh sb="6" eb="7">
      <t>bu'shu</t>
    </rPh>
    <rPh sb="8" eb="9">
      <t>yu'fa</t>
    </rPh>
    <rPh sb="10" eb="11">
      <t>huan'jing</t>
    </rPh>
    <phoneticPr fontId="2" type="noConversion"/>
  </si>
  <si>
    <t>生产环境</t>
    <rPh sb="0" eb="1">
      <t>sheng'c</t>
    </rPh>
    <rPh sb="2" eb="3">
      <t>huan'jing</t>
    </rPh>
    <phoneticPr fontId="2" type="noConversion"/>
  </si>
  <si>
    <t>依据论证方案部署生产环境</t>
    <rPh sb="0" eb="1">
      <t>yi'ju</t>
    </rPh>
    <rPh sb="2" eb="3">
      <t>lun'zheng</t>
    </rPh>
    <rPh sb="4" eb="5">
      <t>fang'an</t>
    </rPh>
    <rPh sb="6" eb="7">
      <t>bu'shu</t>
    </rPh>
    <rPh sb="8" eb="9">
      <t>sheng'c</t>
    </rPh>
    <rPh sb="10" eb="11">
      <t>huan'jing</t>
    </rPh>
    <phoneticPr fontId="2" type="noConversion"/>
  </si>
  <si>
    <t>CMDB资源管理系统</t>
    <rPh sb="4" eb="5">
      <t>zi'yuan</t>
    </rPh>
    <rPh sb="6" eb="7">
      <t>guan'li</t>
    </rPh>
    <rPh sb="8" eb="9">
      <t>xi'tong</t>
    </rPh>
    <phoneticPr fontId="2" type="noConversion"/>
  </si>
  <si>
    <t>配置管理系统部署</t>
    <rPh sb="0" eb="1">
      <t>pei'zhi</t>
    </rPh>
    <rPh sb="2" eb="3">
      <t>guan'li</t>
    </rPh>
    <rPh sb="4" eb="5">
      <t>xi'tong</t>
    </rPh>
    <rPh sb="6" eb="7">
      <t>bu'shu</t>
    </rPh>
    <phoneticPr fontId="2" type="noConversion"/>
  </si>
  <si>
    <t>运维管理系统</t>
    <rPh sb="0" eb="1">
      <t>yun'wei</t>
    </rPh>
    <rPh sb="2" eb="3">
      <t>guan'li</t>
    </rPh>
    <rPh sb="4" eb="5">
      <t>xi'tong</t>
    </rPh>
    <phoneticPr fontId="2" type="noConversion"/>
  </si>
  <si>
    <t>监控系统</t>
    <rPh sb="0" eb="1">
      <t>jian'kong</t>
    </rPh>
    <rPh sb="2" eb="3">
      <t>xi'tong</t>
    </rPh>
    <phoneticPr fontId="2" type="noConversion"/>
  </si>
  <si>
    <t>审计系统</t>
    <rPh sb="0" eb="1">
      <t>shen'ji</t>
    </rPh>
    <rPh sb="2" eb="3">
      <t>xi'tong</t>
    </rPh>
    <phoneticPr fontId="2" type="noConversion"/>
  </si>
  <si>
    <t>访问行为控制系统</t>
    <rPh sb="0" eb="1">
      <t>fang'wen</t>
    </rPh>
    <rPh sb="2" eb="3">
      <t>xing'wei</t>
    </rPh>
    <rPh sb="4" eb="5">
      <t>kong'zhi</t>
    </rPh>
    <rPh sb="6" eb="7">
      <t>xi'tong</t>
    </rPh>
    <phoneticPr fontId="2" type="noConversion"/>
  </si>
  <si>
    <t>堡垒主机系统</t>
    <rPh sb="0" eb="1">
      <t>bao'lei</t>
    </rPh>
    <rPh sb="2" eb="3">
      <t>zhu'ji</t>
    </rPh>
    <rPh sb="4" eb="5">
      <t>xi'tong</t>
    </rPh>
    <phoneticPr fontId="2" type="noConversion"/>
  </si>
  <si>
    <t>环境加固</t>
    <rPh sb="0" eb="1">
      <t>huan'jing</t>
    </rPh>
    <rPh sb="2" eb="3">
      <t>jia'gu</t>
    </rPh>
    <phoneticPr fontId="2" type="noConversion"/>
  </si>
  <si>
    <t>生产环持久境稳定性压测</t>
    <rPh sb="0" eb="1">
      <t>sheng'c</t>
    </rPh>
    <rPh sb="2" eb="3">
      <t>huan'jing</t>
    </rPh>
    <rPh sb="3" eb="4">
      <t>chi'jiu</t>
    </rPh>
    <rPh sb="6" eb="7">
      <t>wen'ding'xing</t>
    </rPh>
    <rPh sb="9" eb="10">
      <t>ya'ce</t>
    </rPh>
    <phoneticPr fontId="2" type="noConversion"/>
  </si>
  <si>
    <t>灾备系统部署</t>
    <rPh sb="0" eb="1">
      <t>zai'bei</t>
    </rPh>
    <rPh sb="2" eb="3">
      <t>xi'tong</t>
    </rPh>
    <rPh sb="4" eb="5">
      <t>bu'shu</t>
    </rPh>
    <phoneticPr fontId="2" type="noConversion"/>
  </si>
  <si>
    <t>网络流量分析系统</t>
    <rPh sb="0" eb="1">
      <t>wang'luo</t>
    </rPh>
    <rPh sb="2" eb="3">
      <t>liu'liang</t>
    </rPh>
    <rPh sb="4" eb="5">
      <t>fen'xi</t>
    </rPh>
    <rPh sb="6" eb="7">
      <t>xi'tong</t>
    </rPh>
    <phoneticPr fontId="2" type="noConversion"/>
  </si>
  <si>
    <t>网络访问策略管理系统</t>
    <rPh sb="0" eb="1">
      <t>wang'luo</t>
    </rPh>
    <rPh sb="2" eb="3">
      <t>fang'wen</t>
    </rPh>
    <rPh sb="4" eb="5">
      <t>ce'lue</t>
    </rPh>
    <rPh sb="6" eb="7">
      <t>guan'li</t>
    </rPh>
    <rPh sb="8" eb="9">
      <t>xi'tong</t>
    </rPh>
    <phoneticPr fontId="2" type="noConversion"/>
  </si>
  <si>
    <t>全链路联调</t>
    <rPh sb="0" eb="1">
      <t>quan</t>
    </rPh>
    <rPh sb="1" eb="2">
      <t>lian'lu</t>
    </rPh>
    <rPh sb="3" eb="4">
      <t>lian'tiao</t>
    </rPh>
    <phoneticPr fontId="2" type="noConversion"/>
  </si>
  <si>
    <t>联调研发到运营,技术到维护的全业务覆盖.</t>
    <rPh sb="0" eb="1">
      <t>lian'tiao</t>
    </rPh>
    <rPh sb="2" eb="3">
      <t>yan'fa</t>
    </rPh>
    <rPh sb="4" eb="5">
      <t>dao</t>
    </rPh>
    <rPh sb="5" eb="6">
      <t>yun'ying</t>
    </rPh>
    <rPh sb="8" eb="9">
      <t>ji'shu</t>
    </rPh>
    <rPh sb="10" eb="11">
      <t>dao</t>
    </rPh>
    <rPh sb="11" eb="12">
      <t>wei'hu</t>
    </rPh>
    <rPh sb="13" eb="14">
      <t>de</t>
    </rPh>
    <rPh sb="14" eb="15">
      <t>quan'ye'wu</t>
    </rPh>
    <rPh sb="17" eb="18">
      <t>fu'gai</t>
    </rPh>
    <phoneticPr fontId="2" type="noConversion"/>
  </si>
  <si>
    <t>文档整理</t>
    <rPh sb="0" eb="1">
      <t>wen'dang</t>
    </rPh>
    <rPh sb="2" eb="3">
      <t>zheng'li</t>
    </rPh>
    <phoneticPr fontId="2" type="noConversion"/>
  </si>
  <si>
    <t>部署文档</t>
    <rPh sb="0" eb="1">
      <t>bu'shu</t>
    </rPh>
    <rPh sb="2" eb="3">
      <t>wen'dang</t>
    </rPh>
    <phoneticPr fontId="2" type="noConversion"/>
  </si>
  <si>
    <t>编写各个功能模块的部署文档</t>
    <rPh sb="0" eb="1">
      <t>bian'xie</t>
    </rPh>
    <rPh sb="2" eb="3">
      <t>ge'ge</t>
    </rPh>
    <rPh sb="4" eb="5">
      <t>gong'neng</t>
    </rPh>
    <rPh sb="6" eb="7">
      <t>mo'kuai</t>
    </rPh>
    <rPh sb="8" eb="9">
      <t>de</t>
    </rPh>
    <rPh sb="9" eb="10">
      <t>bu'shu</t>
    </rPh>
    <rPh sb="11" eb="12">
      <t>wen'dang</t>
    </rPh>
    <phoneticPr fontId="2" type="noConversion"/>
  </si>
  <si>
    <t>运维文档</t>
    <rPh sb="0" eb="1">
      <t>yun'wei</t>
    </rPh>
    <rPh sb="2" eb="3">
      <t>wen'dang</t>
    </rPh>
    <phoneticPr fontId="2" type="noConversion"/>
  </si>
  <si>
    <t>编写各个功能模块的运维文档</t>
    <rPh sb="0" eb="1">
      <t>bian'xie</t>
    </rPh>
    <rPh sb="2" eb="3">
      <t>ge'ge</t>
    </rPh>
    <rPh sb="4" eb="5">
      <t>gong'negn</t>
    </rPh>
    <rPh sb="6" eb="7">
      <t>mo'kuai</t>
    </rPh>
    <rPh sb="8" eb="9">
      <t>de</t>
    </rPh>
    <rPh sb="9" eb="10">
      <t>yun'wei</t>
    </rPh>
    <rPh sb="11" eb="12">
      <t>wen'dang</t>
    </rPh>
    <phoneticPr fontId="2" type="noConversion"/>
  </si>
  <si>
    <t>日常维护</t>
    <rPh sb="0" eb="1">
      <t>ri'chang</t>
    </rPh>
    <rPh sb="2" eb="3">
      <t>wei'hu</t>
    </rPh>
    <phoneticPr fontId="2" type="noConversion"/>
  </si>
  <si>
    <t>环境维护</t>
    <rPh sb="0" eb="1">
      <t>huan'jing</t>
    </rPh>
    <rPh sb="2" eb="3">
      <t>wei'hu</t>
    </rPh>
    <phoneticPr fontId="2" type="noConversion"/>
  </si>
  <si>
    <t>维护系统,定期升级中间件等服务.</t>
    <rPh sb="0" eb="1">
      <t>wei'hu</t>
    </rPh>
    <rPh sb="2" eb="3">
      <t>xi'tong</t>
    </rPh>
    <rPh sb="5" eb="6">
      <t>ding'qi</t>
    </rPh>
    <rPh sb="7" eb="8">
      <t>sheng'ji</t>
    </rPh>
    <rPh sb="9" eb="10">
      <t>zhong'jian'jian</t>
    </rPh>
    <rPh sb="12" eb="13">
      <t>deng</t>
    </rPh>
    <rPh sb="13" eb="14">
      <t>fu'wu'q</t>
    </rPh>
    <phoneticPr fontId="2" type="noConversion"/>
  </si>
  <si>
    <t>文档维护</t>
    <rPh sb="0" eb="1">
      <t>wen'dang</t>
    </rPh>
    <rPh sb="2" eb="3">
      <t>wei'hu</t>
    </rPh>
    <phoneticPr fontId="2" type="noConversion"/>
  </si>
  <si>
    <t>更新迭代部署和运维文档</t>
    <rPh sb="0" eb="1">
      <t>geng'xin</t>
    </rPh>
    <rPh sb="2" eb="3">
      <t>die'dai</t>
    </rPh>
    <rPh sb="4" eb="5">
      <t>bu'shu</t>
    </rPh>
    <rPh sb="6" eb="7">
      <t>he</t>
    </rPh>
    <rPh sb="7" eb="8">
      <t>yun'wei</t>
    </rPh>
    <rPh sb="9" eb="10">
      <t>wen'dang</t>
    </rPh>
    <phoneticPr fontId="2" type="noConversion"/>
  </si>
  <si>
    <t>系统优化</t>
    <rPh sb="0" eb="1">
      <t>xi'tong</t>
    </rPh>
    <rPh sb="2" eb="3">
      <t>you'hua</t>
    </rPh>
    <phoneticPr fontId="2" type="noConversion"/>
  </si>
  <si>
    <t>定期依据业务情况调整和优化架构,系统等</t>
    <rPh sb="0" eb="1">
      <t>ding'qi</t>
    </rPh>
    <rPh sb="2" eb="3">
      <t>yi'ju</t>
    </rPh>
    <rPh sb="4" eb="5">
      <t>ye'wu</t>
    </rPh>
    <rPh sb="6" eb="7">
      <t>qing'k</t>
    </rPh>
    <rPh sb="8" eb="9">
      <t>tiao'zheng</t>
    </rPh>
    <rPh sb="10" eb="11">
      <t>he</t>
    </rPh>
    <rPh sb="11" eb="12">
      <t>you'hua</t>
    </rPh>
    <rPh sb="13" eb="14">
      <t>jia'gou</t>
    </rPh>
    <rPh sb="16" eb="17">
      <t>xi'tong</t>
    </rPh>
    <rPh sb="18" eb="19">
      <t>deng</t>
    </rPh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</si>
</sst>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 * #,##0_ ;_ * \-#,##0_ ;_ * &quot;-&quot;_ ;_ @_ "/>
    <numFmt numFmtId="177" formatCode="_ * #,##0.00_ ;_ * \-#,##0.00_ ;_ * &quot;-&quot;??_ ;_ @_ "/>
    <numFmt numFmtId="178" formatCode="_ * #,##0_ ;_ * \-#,##0_ ;_ * &quot;-&quot;??_ ;_ @_ "/>
    <numFmt numFmtId="179" formatCode="0_ "/>
    <numFmt numFmtId="180" formatCode="0.00_ "/>
    <numFmt numFmtId="181" formatCode="0.00_);[Red]\(0.00\)"/>
    <numFmt numFmtId="182" formatCode="0_);[Red]\(0\)"/>
    <numFmt numFmtId="183" formatCode="0.00&quot; &quot;"/>
    <numFmt numFmtId="184" formatCode="0.00&quot; &quot;;\(0.00\)"/>
  </numFmts>
  <fonts count="24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DengXian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DengXian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DengXian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sz val="10"/>
      <color theme="1"/>
      <name val="Helvetica Neue"/>
    </font>
    <font>
      <i/>
      <sz val="10"/>
      <color theme="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auto="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0" borderId="0"/>
    <xf numFmtId="177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9" fontId="6" fillId="0" borderId="1" xfId="1" applyNumberFormat="1" applyFont="1" applyFill="1" applyBorder="1" applyAlignment="1">
      <alignment vertical="center" wrapText="1"/>
    </xf>
    <xf numFmtId="176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176" fontId="6" fillId="2" borderId="1" xfId="1" applyNumberFormat="1" applyFont="1" applyFill="1" applyBorder="1" applyAlignment="1">
      <alignment horizontal="right" vertical="center" wrapText="1"/>
    </xf>
    <xf numFmtId="176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4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80" fontId="10" fillId="4" borderId="1" xfId="0" applyNumberFormat="1" applyFont="1" applyFill="1" applyBorder="1" applyAlignment="1">
      <alignment horizontal="left" vertical="center" wrapText="1"/>
    </xf>
    <xf numFmtId="180" fontId="13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80" fontId="0" fillId="0" borderId="0" xfId="0" applyNumberFormat="1" applyAlignment="1">
      <alignment horizontal="left" vertical="center"/>
    </xf>
    <xf numFmtId="181" fontId="10" fillId="4" borderId="1" xfId="0" applyNumberFormat="1" applyFont="1" applyFill="1" applyBorder="1" applyAlignment="1">
      <alignment horizontal="left" vertical="center" wrapText="1"/>
    </xf>
    <xf numFmtId="181" fontId="13" fillId="3" borderId="5" xfId="0" applyNumberFormat="1" applyFont="1" applyFill="1" applyBorder="1" applyAlignment="1">
      <alignment horizontal="left" vertical="top" wrapText="1"/>
    </xf>
    <xf numFmtId="180" fontId="13" fillId="3" borderId="7" xfId="0" applyNumberFormat="1" applyFont="1" applyFill="1" applyBorder="1" applyAlignment="1">
      <alignment horizontal="left" vertical="top" wrapText="1"/>
    </xf>
    <xf numFmtId="180" fontId="15" fillId="2" borderId="1" xfId="0" applyNumberFormat="1" applyFont="1" applyFill="1" applyBorder="1" applyAlignment="1">
      <alignment horizontal="left" vertical="center"/>
    </xf>
    <xf numFmtId="180" fontId="15" fillId="0" borderId="0" xfId="0" applyNumberFormat="1" applyFont="1" applyAlignment="1">
      <alignment horizontal="left" vertical="center"/>
    </xf>
    <xf numFmtId="180" fontId="15" fillId="0" borderId="1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5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/>
    <xf numFmtId="0" fontId="15" fillId="0" borderId="1" xfId="0" applyFont="1" applyFill="1" applyBorder="1" applyAlignment="1">
      <alignment horizontal="left" vertical="center" wrapText="1"/>
    </xf>
    <xf numFmtId="178" fontId="15" fillId="0" borderId="1" xfId="2" applyNumberFormat="1" applyFont="1" applyFill="1" applyBorder="1" applyAlignment="1">
      <alignment horizontal="left" vertical="center"/>
    </xf>
    <xf numFmtId="178" fontId="15" fillId="2" borderId="1" xfId="0" applyNumberFormat="1" applyFont="1" applyFill="1" applyBorder="1" applyAlignment="1">
      <alignment horizontal="left" vertical="center"/>
    </xf>
    <xf numFmtId="178" fontId="16" fillId="0" borderId="0" xfId="0" applyNumberFormat="1" applyFont="1" applyAlignment="1"/>
    <xf numFmtId="0" fontId="16" fillId="0" borderId="0" xfId="0" applyFont="1" applyAlignment="1"/>
    <xf numFmtId="178" fontId="17" fillId="0" borderId="1" xfId="2" applyNumberFormat="1" applyFont="1" applyFill="1" applyBorder="1" applyAlignment="1">
      <alignment horizontal="left" vertical="center"/>
    </xf>
    <xf numFmtId="178" fontId="18" fillId="0" borderId="0" xfId="0" applyNumberFormat="1" applyFont="1" applyAlignment="1"/>
    <xf numFmtId="178" fontId="15" fillId="0" borderId="0" xfId="0" applyNumberFormat="1" applyFont="1" applyAlignment="1"/>
    <xf numFmtId="0" fontId="19" fillId="0" borderId="1" xfId="0" applyFont="1" applyFill="1" applyBorder="1" applyAlignment="1">
      <alignment horizontal="left" vertical="center" wrapText="1"/>
    </xf>
    <xf numFmtId="178" fontId="19" fillId="0" borderId="1" xfId="2" applyNumberFormat="1" applyFont="1" applyFill="1" applyBorder="1" applyAlignment="1">
      <alignment horizontal="left" vertical="center"/>
    </xf>
    <xf numFmtId="178" fontId="19" fillId="2" borderId="1" xfId="2" applyNumberFormat="1" applyFont="1" applyFill="1" applyBorder="1" applyAlignment="1">
      <alignment horizontal="left" vertical="center"/>
    </xf>
    <xf numFmtId="178" fontId="19" fillId="2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/>
    <xf numFmtId="0" fontId="15" fillId="2" borderId="1" xfId="0" applyFont="1" applyFill="1" applyBorder="1" applyAlignment="1">
      <alignment vertical="center"/>
    </xf>
    <xf numFmtId="182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2" fontId="15" fillId="2" borderId="1" xfId="0" applyNumberFormat="1" applyFont="1" applyFill="1" applyBorder="1" applyAlignment="1">
      <alignment horizontal="left" vertical="center"/>
    </xf>
    <xf numFmtId="182" fontId="0" fillId="0" borderId="0" xfId="0" applyNumberFormat="1" applyAlignment="1" applyProtection="1">
      <alignment horizontal="left" vertical="center"/>
      <protection hidden="1"/>
    </xf>
    <xf numFmtId="0" fontId="15" fillId="0" borderId="1" xfId="0" applyFont="1" applyBorder="1" applyAlignment="1">
      <alignment horizontal="left" vertical="center"/>
    </xf>
    <xf numFmtId="182" fontId="12" fillId="3" borderId="7" xfId="0" applyNumberFormat="1" applyFont="1" applyFill="1" applyBorder="1" applyAlignment="1" applyProtection="1">
      <alignment horizontal="left" vertical="top" wrapText="1"/>
      <protection hidden="1"/>
    </xf>
    <xf numFmtId="182" fontId="15" fillId="2" borderId="7" xfId="0" applyNumberFormat="1" applyFont="1" applyFill="1" applyBorder="1" applyAlignment="1" applyProtection="1">
      <alignment horizontal="left" vertical="center"/>
      <protection hidden="1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80" fontId="15" fillId="2" borderId="7" xfId="0" applyNumberFormat="1" applyFont="1" applyFill="1" applyBorder="1" applyAlignment="1">
      <alignment horizontal="left" vertical="center"/>
    </xf>
    <xf numFmtId="182" fontId="12" fillId="3" borderId="6" xfId="0" applyNumberFormat="1" applyFont="1" applyFill="1" applyBorder="1" applyAlignment="1" applyProtection="1">
      <alignment horizontal="left" vertical="top" wrapText="1"/>
      <protection hidden="1"/>
    </xf>
    <xf numFmtId="181" fontId="15" fillId="0" borderId="0" xfId="0" applyNumberFormat="1" applyFont="1" applyAlignment="1">
      <alignment horizontal="left" vertical="center"/>
    </xf>
    <xf numFmtId="176" fontId="7" fillId="2" borderId="1" xfId="0" applyNumberFormat="1" applyFont="1" applyFill="1" applyBorder="1" applyAlignment="1"/>
    <xf numFmtId="180" fontId="15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0" fillId="0" borderId="0" xfId="0" applyFont="1">
      <alignment vertical="center"/>
    </xf>
    <xf numFmtId="0" fontId="20" fillId="0" borderId="0" xfId="0" applyFont="1" applyAlignment="1"/>
    <xf numFmtId="180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49" fontId="0" fillId="5" borderId="9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5" borderId="9" xfId="0" applyFont="1" applyFill="1" applyBorder="1" applyAlignment="1">
      <alignment vertical="center"/>
    </xf>
    <xf numFmtId="49" fontId="0" fillId="5" borderId="10" xfId="0" applyNumberFormat="1" applyFont="1" applyFill="1" applyBorder="1" applyAlignment="1">
      <alignment vertical="center"/>
    </xf>
    <xf numFmtId="0" fontId="0" fillId="5" borderId="9" xfId="0" applyNumberFormat="1" applyFont="1" applyFill="1" applyBorder="1" applyAlignment="1">
      <alignment vertical="center"/>
    </xf>
    <xf numFmtId="183" fontId="0" fillId="5" borderId="9" xfId="0" applyNumberFormat="1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180" fontId="19" fillId="2" borderId="1" xfId="0" applyNumberFormat="1" applyFont="1" applyFill="1" applyBorder="1" applyAlignment="1">
      <alignment horizontal="left" vertical="center"/>
    </xf>
    <xf numFmtId="181" fontId="19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hidden="1"/>
    </xf>
    <xf numFmtId="0" fontId="19" fillId="2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21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81" fontId="23" fillId="0" borderId="1" xfId="0" applyNumberFormat="1" applyFont="1" applyFill="1" applyBorder="1" applyAlignment="1">
      <alignment horizontal="left" vertical="center"/>
    </xf>
    <xf numFmtId="0" fontId="23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center" vertical="center" wrapText="1"/>
    </xf>
    <xf numFmtId="0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 wrapText="1"/>
    </xf>
    <xf numFmtId="49" fontId="21" fillId="0" borderId="1" xfId="0" applyNumberFormat="1" applyFont="1" applyFill="1" applyBorder="1" applyAlignment="1">
      <alignment horizontal="left" vertical="center" wrapText="1"/>
    </xf>
    <xf numFmtId="184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2" borderId="1" xfId="0" applyNumberFormat="1" applyFont="1" applyFill="1" applyBorder="1" applyAlignment="1">
      <alignment vertical="center"/>
    </xf>
    <xf numFmtId="0" fontId="21" fillId="0" borderId="1" xfId="0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 wrapText="1"/>
    </xf>
    <xf numFmtId="0" fontId="21" fillId="0" borderId="1" xfId="0" applyFont="1" applyFill="1" applyBorder="1" applyAlignment="1">
      <alignment horizontal="left" vertical="center" wrapText="1"/>
    </xf>
    <xf numFmtId="49" fontId="22" fillId="0" borderId="1" xfId="0" applyNumberFormat="1" applyFont="1" applyFill="1" applyBorder="1" applyAlignment="1">
      <alignment vertical="center" readingOrder="1"/>
    </xf>
    <xf numFmtId="49" fontId="19" fillId="0" borderId="1" xfId="0" applyNumberFormat="1" applyFont="1" applyFill="1" applyBorder="1" applyAlignment="1">
      <alignment horizontal="left" vertical="center" wrapText="1"/>
    </xf>
    <xf numFmtId="49" fontId="21" fillId="0" borderId="1" xfId="0" applyNumberFormat="1" applyFont="1" applyFill="1" applyBorder="1" applyAlignment="1">
      <alignment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</cellXfs>
  <cellStyles count="5">
    <cellStyle name="??" xfId="1"/>
    <cellStyle name="Comma 2" xfId="4"/>
    <cellStyle name="Normal 2" xfId="3"/>
    <cellStyle name="常规" xfId="0" builtinId="0"/>
    <cellStyle name="千位分隔" xfId="2" builtinId="3"/>
  </cellStyles>
  <dxfs count="5"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&#24352;&#24742;%2011.&#24037;&#20316;&#37327;&#20272;&#31639;&#34920;&#65288;&#24555;&#36895;&#21151;&#33021;&#28857;&#27861;&#65289;V1.0-&#27169;&#2649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&#30693;&#35782;&#22270;&#3588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1"/>
  <sheetViews>
    <sheetView topLeftCell="A7" workbookViewId="0">
      <selection activeCell="G30" sqref="G30"/>
    </sheetView>
  </sheetViews>
  <sheetFormatPr baseColWidth="10" defaultColWidth="9" defaultRowHeight="14" x14ac:dyDescent="0.15"/>
  <cols>
    <col min="1" max="1" width="14.6640625" style="3" customWidth="1"/>
    <col min="2" max="2" width="9.6640625" style="3" customWidth="1"/>
    <col min="3" max="3" width="13.6640625" style="3" customWidth="1"/>
    <col min="4" max="4" width="9.6640625" style="3" customWidth="1"/>
    <col min="5" max="5" width="11.5" style="3" customWidth="1"/>
    <col min="6" max="6" width="10.6640625" style="3" customWidth="1"/>
    <col min="7" max="7" width="8.6640625" style="3" customWidth="1"/>
    <col min="8" max="8" width="9.6640625" style="3" customWidth="1"/>
    <col min="9" max="9" width="10.33203125" style="3" customWidth="1"/>
    <col min="10" max="10" width="9.6640625" style="3" customWidth="1"/>
    <col min="11" max="11" width="7.83203125" style="3" customWidth="1"/>
    <col min="12" max="16384" width="9" style="3"/>
  </cols>
  <sheetData>
    <row r="1" spans="1:11" x14ac:dyDescent="0.15">
      <c r="A1" s="72"/>
    </row>
    <row r="2" spans="1:11" s="1" customFormat="1" ht="19.5" customHeight="1" x14ac:dyDescent="0.15">
      <c r="A2" s="90" t="s">
        <v>36</v>
      </c>
      <c r="B2" s="91"/>
      <c r="C2" s="91"/>
    </row>
    <row r="3" spans="1:11" s="13" customFormat="1" ht="24" customHeight="1" x14ac:dyDescent="0.15">
      <c r="A3" s="92" t="s">
        <v>33</v>
      </c>
      <c r="B3" s="92"/>
      <c r="C3" s="92"/>
    </row>
    <row r="4" spans="1:11" s="13" customFormat="1" ht="18" customHeight="1" x14ac:dyDescent="0.15">
      <c r="A4" s="19" t="s">
        <v>31</v>
      </c>
      <c r="B4" s="88"/>
      <c r="C4" s="88"/>
    </row>
    <row r="5" spans="1:11" s="13" customFormat="1" ht="18" customHeight="1" x14ac:dyDescent="0.15">
      <c r="A5" s="19" t="s">
        <v>32</v>
      </c>
      <c r="B5" s="93"/>
      <c r="C5" s="93"/>
    </row>
    <row r="6" spans="1:11" s="13" customFormat="1" ht="15.75" customHeight="1" x14ac:dyDescent="0.15">
      <c r="A6" s="19" t="s">
        <v>30</v>
      </c>
      <c r="B6" s="87" t="s">
        <v>62</v>
      </c>
      <c r="C6" s="88"/>
    </row>
    <row r="7" spans="1:11" s="13" customFormat="1" ht="15.75" customHeight="1" x14ac:dyDescent="0.15">
      <c r="A7" s="19" t="s">
        <v>40</v>
      </c>
      <c r="B7" s="89">
        <f>事务功能!H388+数据功能!D25</f>
        <v>1769</v>
      </c>
      <c r="C7" s="89"/>
    </row>
    <row r="8" spans="1:11" s="1" customFormat="1" ht="15" x14ac:dyDescent="0.15">
      <c r="A8" s="10"/>
      <c r="B8" s="11"/>
      <c r="C8" s="11"/>
      <c r="D8" s="11"/>
      <c r="E8" s="11"/>
    </row>
    <row r="10" spans="1:11" ht="18.75" customHeight="1" x14ac:dyDescent="0.15">
      <c r="A10" s="94" t="s">
        <v>39</v>
      </c>
      <c r="B10" s="96" t="s">
        <v>15</v>
      </c>
      <c r="C10" s="97"/>
      <c r="D10" s="97"/>
      <c r="E10" s="97"/>
      <c r="F10" s="97"/>
      <c r="G10" s="98"/>
      <c r="H10" s="96" t="s">
        <v>16</v>
      </c>
      <c r="I10" s="97"/>
      <c r="J10" s="98"/>
      <c r="K10" s="94" t="s">
        <v>24</v>
      </c>
    </row>
    <row r="11" spans="1:11" x14ac:dyDescent="0.15">
      <c r="A11" s="94"/>
      <c r="B11" s="95" t="s">
        <v>21</v>
      </c>
      <c r="C11" s="95"/>
      <c r="D11" s="95" t="s">
        <v>22</v>
      </c>
      <c r="E11" s="95"/>
      <c r="F11" s="95"/>
      <c r="G11" s="99" t="s">
        <v>35</v>
      </c>
      <c r="H11" s="95" t="s">
        <v>17</v>
      </c>
      <c r="I11" s="95" t="s">
        <v>18</v>
      </c>
      <c r="J11" s="101" t="s">
        <v>35</v>
      </c>
      <c r="K11" s="94"/>
    </row>
    <row r="12" spans="1:11" x14ac:dyDescent="0.15">
      <c r="A12" s="94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00"/>
      <c r="H12" s="95"/>
      <c r="I12" s="95"/>
      <c r="J12" s="102"/>
      <c r="K12" s="94"/>
    </row>
    <row r="13" spans="1:11" ht="15" customHeight="1" x14ac:dyDescent="0.15">
      <c r="A13" s="12" t="s">
        <v>37</v>
      </c>
      <c r="B13" s="6"/>
      <c r="C13" s="6"/>
      <c r="D13" s="6"/>
      <c r="E13" s="6"/>
      <c r="F13" s="6"/>
      <c r="G13" s="17">
        <f>事务功能!D388+数据功能!E25</f>
        <v>120.61363636363556</v>
      </c>
      <c r="H13" s="6"/>
      <c r="I13" s="6"/>
      <c r="J13" s="7">
        <f>ROUND(事务功能!E388+数据功能!F25,0)</f>
        <v>28</v>
      </c>
      <c r="K13" s="7">
        <f>ROUND(G13+J13,0)</f>
        <v>149</v>
      </c>
    </row>
    <row r="14" spans="1:11" ht="16.5" customHeight="1" x14ac:dyDescent="0.15">
      <c r="A14" s="12" t="s">
        <v>38</v>
      </c>
      <c r="B14" s="5"/>
      <c r="C14" s="5"/>
      <c r="D14" s="5"/>
      <c r="E14" s="5"/>
      <c r="F14" s="5"/>
      <c r="G14" s="17">
        <f>非功能点估算表!G29</f>
        <v>43.6</v>
      </c>
      <c r="H14" s="5"/>
      <c r="I14" s="5"/>
      <c r="J14" s="7">
        <f>ROUND(非功能点估算表!F29,0)</f>
        <v>1</v>
      </c>
      <c r="K14" s="7">
        <f>ROUND(G14+J14,0)</f>
        <v>45</v>
      </c>
    </row>
    <row r="15" spans="1:11" ht="15" customHeight="1" x14ac:dyDescent="0.15">
      <c r="A15" s="70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>
        <f>SUM(G13:G14)</f>
        <v>164.21363636363557</v>
      </c>
      <c r="H15" s="7">
        <f t="shared" si="0"/>
        <v>0</v>
      </c>
      <c r="I15" s="7">
        <f>SUM(I13:I14)</f>
        <v>0</v>
      </c>
      <c r="J15" s="7">
        <f>SUM(J13:J14)</f>
        <v>29</v>
      </c>
      <c r="K15" s="7">
        <f>K13+K14</f>
        <v>194</v>
      </c>
    </row>
    <row r="16" spans="1:11" ht="18.75" customHeight="1" x14ac:dyDescent="0.15">
      <c r="B16" s="85" t="str">
        <f>IF(ROUND(G15,0)=ROUND(B15+C15+D15+E15+F15,0),"平衡","分配不平衡，请重新分配")</f>
        <v>分配不平衡，请重新分配</v>
      </c>
      <c r="C16" s="85"/>
      <c r="D16" s="85"/>
      <c r="E16" s="85"/>
      <c r="F16" s="85"/>
      <c r="G16" s="85"/>
      <c r="H16" s="86" t="str">
        <f>IF(ROUND(J15,0)=ROUND(H15+I15,0),"平衡","分配不平衡，请重新分配")</f>
        <v>分配不平衡，请重新分配</v>
      </c>
      <c r="I16" s="86"/>
      <c r="J16" s="86"/>
      <c r="K16" s="86"/>
    </row>
    <row r="17" spans="1:1" ht="15.75" customHeight="1" x14ac:dyDescent="0.15">
      <c r="A17" s="8"/>
    </row>
    <row r="18" spans="1:1" ht="15.75" customHeight="1" x14ac:dyDescent="0.15">
      <c r="A18" s="8"/>
    </row>
    <row r="19" spans="1:1" ht="15.75" customHeight="1" x14ac:dyDescent="0.15">
      <c r="A19" s="8" t="s">
        <v>58</v>
      </c>
    </row>
    <row r="20" spans="1:1" s="74" customFormat="1" ht="16" x14ac:dyDescent="0.2">
      <c r="A20" s="73" t="s">
        <v>59</v>
      </c>
    </row>
    <row r="21" spans="1:1" s="74" customFormat="1" ht="16" x14ac:dyDescent="0.2">
      <c r="A21" s="73" t="s">
        <v>60</v>
      </c>
    </row>
  </sheetData>
  <protectedRanges>
    <protectedRange sqref="B8:E8 B4:C7" name="区域1_1"/>
  </protectedRanges>
  <mergeCells count="18">
    <mergeCell ref="H10:J10"/>
    <mergeCell ref="J11:J12"/>
    <mergeCell ref="B16:G16"/>
    <mergeCell ref="H16:K16"/>
    <mergeCell ref="B6:C6"/>
    <mergeCell ref="B7:C7"/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</mergeCells>
  <phoneticPr fontId="2" type="noConversion"/>
  <conditionalFormatting sqref="B16">
    <cfRule type="cellIs" dxfId="4" priority="3" operator="equal">
      <formula>"分配不平衡，请重新分配"</formula>
    </cfRule>
    <cfRule type="cellIs" dxfId="3" priority="4" operator="equal">
      <formula>"平衡"</formula>
    </cfRule>
  </conditionalFormatting>
  <conditionalFormatting sqref="H16:K16">
    <cfRule type="cellIs" dxfId="2" priority="1" operator="equal">
      <formula>"分配不平衡，请重新分配"</formula>
    </cfRule>
    <cfRule type="cellIs" dxfId="1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V388"/>
  <sheetViews>
    <sheetView tabSelected="1" zoomScale="120" zoomScaleNormal="120" zoomScalePageLayoutView="120" workbookViewId="0">
      <pane ySplit="3" topLeftCell="A369" activePane="bottomLeft" state="frozen"/>
      <selection pane="bottomLeft" activeCell="F395" sqref="F395"/>
    </sheetView>
  </sheetViews>
  <sheetFormatPr baseColWidth="10" defaultColWidth="8.83203125" defaultRowHeight="15" x14ac:dyDescent="0.15"/>
  <cols>
    <col min="1" max="1" width="6.83203125" customWidth="1"/>
    <col min="2" max="2" width="16.33203125" customWidth="1"/>
    <col min="3" max="3" width="18.1640625" style="30" customWidth="1"/>
    <col min="4" max="4" width="13.83203125" style="32" customWidth="1"/>
    <col min="5" max="5" width="13.5" style="69" customWidth="1"/>
    <col min="6" max="6" width="26.5" bestFit="1" customWidth="1"/>
    <col min="7" max="7" width="14.1640625" style="16" customWidth="1"/>
    <col min="8" max="10" width="20.33203125" style="16" customWidth="1"/>
    <col min="11" max="11" width="9.6640625" customWidth="1"/>
    <col min="13" max="13" width="8.6640625" customWidth="1"/>
  </cols>
  <sheetData>
    <row r="1" spans="1:10" ht="31.5" customHeight="1" x14ac:dyDescent="0.15">
      <c r="A1" s="105" t="s">
        <v>7</v>
      </c>
      <c r="B1" s="106"/>
      <c r="C1" s="106"/>
      <c r="D1" s="106"/>
      <c r="E1" s="106"/>
      <c r="F1" s="106"/>
      <c r="G1" s="106"/>
      <c r="H1" s="106"/>
      <c r="I1" s="106"/>
      <c r="J1" s="107"/>
    </row>
    <row r="2" spans="1:10" s="2" customFormat="1" ht="24.75" customHeight="1" x14ac:dyDescent="0.15">
      <c r="A2" s="14" t="s">
        <v>27</v>
      </c>
      <c r="B2" s="14" t="s">
        <v>9</v>
      </c>
      <c r="C2" s="14" t="s">
        <v>8</v>
      </c>
      <c r="D2" s="26" t="s">
        <v>12</v>
      </c>
      <c r="E2" s="33" t="s">
        <v>13</v>
      </c>
      <c r="F2" s="14" t="s">
        <v>3</v>
      </c>
      <c r="G2" s="15" t="s">
        <v>4</v>
      </c>
      <c r="H2" s="25" t="s">
        <v>50</v>
      </c>
      <c r="I2" s="26" t="s">
        <v>51</v>
      </c>
      <c r="J2" s="15" t="s">
        <v>28</v>
      </c>
    </row>
    <row r="3" spans="1:10" s="66" customFormat="1" ht="104.25" customHeight="1" x14ac:dyDescent="0.15">
      <c r="A3" s="65"/>
      <c r="B3" s="21" t="s">
        <v>64</v>
      </c>
      <c r="C3" s="21" t="s">
        <v>56</v>
      </c>
      <c r="D3" s="27" t="s">
        <v>53</v>
      </c>
      <c r="E3" s="34" t="s">
        <v>45</v>
      </c>
      <c r="F3" s="21" t="s">
        <v>61</v>
      </c>
      <c r="G3" s="22" t="s">
        <v>49</v>
      </c>
      <c r="H3" s="63" t="s">
        <v>54</v>
      </c>
      <c r="I3" s="68" t="s">
        <v>52</v>
      </c>
      <c r="J3" s="22" t="s">
        <v>46</v>
      </c>
    </row>
    <row r="4" spans="1:10" s="119" customFormat="1" ht="14" x14ac:dyDescent="0.15">
      <c r="A4" s="120">
        <v>1</v>
      </c>
      <c r="B4" s="127" t="s">
        <v>495</v>
      </c>
      <c r="C4" s="121" t="s">
        <v>131</v>
      </c>
      <c r="D4" s="114">
        <f t="shared" ref="D4:D48" si="0">I4</f>
        <v>0.34090909090909088</v>
      </c>
      <c r="E4" s="115"/>
      <c r="F4" s="116" t="s">
        <v>132</v>
      </c>
      <c r="G4" s="117" t="s">
        <v>67</v>
      </c>
      <c r="H4" s="118">
        <f t="shared" ref="H4:H35" si="1">IF(G4="EI",4,IF(G4="EO",5,IF(G4="EQ",4,0)))</f>
        <v>5</v>
      </c>
      <c r="I4" s="117">
        <f>IF([1]项目总工作量!B$6="交易类",H4*1.5/22,IF([1]项目总工作量!B$6="数据分析类",H4*1.5*0.9/22,IF([1]项目总工作量!B$6="流程管理类",H4*1.5*0.8/22,IF([1]项目总工作量!B$6="渠道类",H4*1.5*0.7/22,FALSE))))</f>
        <v>0.34090909090909088</v>
      </c>
      <c r="J4" s="117" t="s">
        <v>44</v>
      </c>
    </row>
    <row r="5" spans="1:10" s="119" customFormat="1" ht="14" x14ac:dyDescent="0.15">
      <c r="A5" s="120"/>
      <c r="B5" s="127"/>
      <c r="C5" s="121"/>
      <c r="D5" s="114">
        <f t="shared" si="0"/>
        <v>0.34090909090909088</v>
      </c>
      <c r="E5" s="115"/>
      <c r="F5" s="116" t="s">
        <v>133</v>
      </c>
      <c r="G5" s="117" t="s">
        <v>67</v>
      </c>
      <c r="H5" s="118">
        <f t="shared" si="1"/>
        <v>5</v>
      </c>
      <c r="I5" s="117">
        <f>IF([1]项目总工作量!B$6="交易类",H5*1.5/22,IF([1]项目总工作量!B$6="数据分析类",H5*1.5*0.9/22,IF([1]项目总工作量!B$6="流程管理类",H5*1.5*0.8/22,IF([1]项目总工作量!B$6="渠道类",H5*1.5*0.7/22,FALSE))))</f>
        <v>0.34090909090909088</v>
      </c>
      <c r="J5" s="117" t="s">
        <v>44</v>
      </c>
    </row>
    <row r="6" spans="1:10" s="119" customFormat="1" ht="14" x14ac:dyDescent="0.15">
      <c r="A6" s="120"/>
      <c r="B6" s="127"/>
      <c r="C6" s="121"/>
      <c r="D6" s="114">
        <f t="shared" si="0"/>
        <v>0.34090909090909088</v>
      </c>
      <c r="E6" s="115"/>
      <c r="F6" s="116" t="s">
        <v>134</v>
      </c>
      <c r="G6" s="117" t="s">
        <v>67</v>
      </c>
      <c r="H6" s="118">
        <f t="shared" si="1"/>
        <v>5</v>
      </c>
      <c r="I6" s="117">
        <f>IF([1]项目总工作量!B$6="交易类",H6*1.5/22,IF([1]项目总工作量!B$6="数据分析类",H6*1.5*0.9/22,IF([1]项目总工作量!B$6="流程管理类",H6*1.5*0.8/22,IF([1]项目总工作量!B$6="渠道类",H6*1.5*0.7/22,FALSE))))</f>
        <v>0.34090909090909088</v>
      </c>
      <c r="J6" s="117" t="s">
        <v>44</v>
      </c>
    </row>
    <row r="7" spans="1:10" s="119" customFormat="1" ht="14" x14ac:dyDescent="0.15">
      <c r="A7" s="120"/>
      <c r="B7" s="127"/>
      <c r="C7" s="121"/>
      <c r="D7" s="114">
        <f t="shared" si="0"/>
        <v>0.34090909090909088</v>
      </c>
      <c r="E7" s="115"/>
      <c r="F7" s="116" t="s">
        <v>135</v>
      </c>
      <c r="G7" s="117" t="s">
        <v>67</v>
      </c>
      <c r="H7" s="118">
        <f t="shared" si="1"/>
        <v>5</v>
      </c>
      <c r="I7" s="117">
        <f>IF([1]项目总工作量!B$6="交易类",H7*1.5/22,IF([1]项目总工作量!B$6="数据分析类",H7*1.5*0.9/22,IF([1]项目总工作量!B$6="流程管理类",H7*1.5*0.8/22,IF([1]项目总工作量!B$6="渠道类",H7*1.5*0.7/22,FALSE))))</f>
        <v>0.34090909090909088</v>
      </c>
      <c r="J7" s="117" t="s">
        <v>44</v>
      </c>
    </row>
    <row r="8" spans="1:10" s="119" customFormat="1" ht="14" x14ac:dyDescent="0.15">
      <c r="A8" s="120"/>
      <c r="B8" s="127"/>
      <c r="C8" s="121"/>
      <c r="D8" s="114">
        <f t="shared" si="0"/>
        <v>0.34090909090909088</v>
      </c>
      <c r="E8" s="115"/>
      <c r="F8" s="116" t="s">
        <v>136</v>
      </c>
      <c r="G8" s="117" t="s">
        <v>67</v>
      </c>
      <c r="H8" s="118">
        <f t="shared" si="1"/>
        <v>5</v>
      </c>
      <c r="I8" s="117">
        <f>IF([1]项目总工作量!B$6="交易类",H8*1.5/22,IF([1]项目总工作量!B$6="数据分析类",H8*1.5*0.9/22,IF([1]项目总工作量!B$6="流程管理类",H8*1.5*0.8/22,IF([1]项目总工作量!B$6="渠道类",H8*1.5*0.7/22,FALSE))))</f>
        <v>0.34090909090909088</v>
      </c>
      <c r="J8" s="117" t="s">
        <v>44</v>
      </c>
    </row>
    <row r="9" spans="1:10" s="119" customFormat="1" ht="14" x14ac:dyDescent="0.15">
      <c r="A9" s="120"/>
      <c r="B9" s="127"/>
      <c r="C9" s="121"/>
      <c r="D9" s="114">
        <f t="shared" si="0"/>
        <v>0.34090909090909088</v>
      </c>
      <c r="E9" s="115"/>
      <c r="F9" s="116" t="s">
        <v>137</v>
      </c>
      <c r="G9" s="117" t="s">
        <v>67</v>
      </c>
      <c r="H9" s="118">
        <f t="shared" si="1"/>
        <v>5</v>
      </c>
      <c r="I9" s="117">
        <f>IF([1]项目总工作量!B$6="交易类",H9*1.5/22,IF([1]项目总工作量!B$6="数据分析类",H9*1.5*0.9/22,IF([1]项目总工作量!B$6="流程管理类",H9*1.5*0.8/22,IF([1]项目总工作量!B$6="渠道类",H9*1.5*0.7/22,FALSE))))</f>
        <v>0.34090909090909088</v>
      </c>
      <c r="J9" s="117" t="s">
        <v>44</v>
      </c>
    </row>
    <row r="10" spans="1:10" s="119" customFormat="1" ht="14" x14ac:dyDescent="0.15">
      <c r="A10" s="120"/>
      <c r="B10" s="127"/>
      <c r="C10" s="121"/>
      <c r="D10" s="114">
        <f t="shared" si="0"/>
        <v>0.34090909090909088</v>
      </c>
      <c r="E10" s="115"/>
      <c r="F10" s="116" t="s">
        <v>138</v>
      </c>
      <c r="G10" s="117" t="s">
        <v>67</v>
      </c>
      <c r="H10" s="118">
        <f t="shared" si="1"/>
        <v>5</v>
      </c>
      <c r="I10" s="117">
        <f>IF([1]项目总工作量!B$6="交易类",H10*1.5/22,IF([1]项目总工作量!B$6="数据分析类",H10*1.5*0.9/22,IF([1]项目总工作量!B$6="流程管理类",H10*1.5*0.8/22,IF([1]项目总工作量!B$6="渠道类",H10*1.5*0.7/22,FALSE))))</f>
        <v>0.34090909090909088</v>
      </c>
      <c r="J10" s="117" t="s">
        <v>44</v>
      </c>
    </row>
    <row r="11" spans="1:10" s="119" customFormat="1" ht="14" x14ac:dyDescent="0.15">
      <c r="A11" s="120"/>
      <c r="B11" s="127"/>
      <c r="C11" s="121"/>
      <c r="D11" s="114">
        <f t="shared" si="0"/>
        <v>0.34090909090909088</v>
      </c>
      <c r="E11" s="115"/>
      <c r="F11" s="116" t="s">
        <v>139</v>
      </c>
      <c r="G11" s="117" t="s">
        <v>67</v>
      </c>
      <c r="H11" s="118">
        <f t="shared" si="1"/>
        <v>5</v>
      </c>
      <c r="I11" s="117">
        <f>IF([1]项目总工作量!B$6="交易类",H11*1.5/22,IF([1]项目总工作量!B$6="数据分析类",H11*1.5*0.9/22,IF([1]项目总工作量!B$6="流程管理类",H11*1.5*0.8/22,IF([1]项目总工作量!B$6="渠道类",H11*1.5*0.7/22,FALSE))))</f>
        <v>0.34090909090909088</v>
      </c>
      <c r="J11" s="117" t="s">
        <v>44</v>
      </c>
    </row>
    <row r="12" spans="1:10" s="119" customFormat="1" ht="14" x14ac:dyDescent="0.15">
      <c r="A12" s="120"/>
      <c r="B12" s="127"/>
      <c r="C12" s="121"/>
      <c r="D12" s="114">
        <f t="shared" si="0"/>
        <v>0.34090909090909088</v>
      </c>
      <c r="E12" s="115"/>
      <c r="F12" s="116" t="s">
        <v>140</v>
      </c>
      <c r="G12" s="117" t="s">
        <v>67</v>
      </c>
      <c r="H12" s="118">
        <f t="shared" si="1"/>
        <v>5</v>
      </c>
      <c r="I12" s="117">
        <f>IF([1]项目总工作量!B$6="交易类",H12*1.5/22,IF([1]项目总工作量!B$6="数据分析类",H12*1.5*0.9/22,IF([1]项目总工作量!B$6="流程管理类",H12*1.5*0.8/22,IF([1]项目总工作量!B$6="渠道类",H12*1.5*0.7/22,FALSE))))</f>
        <v>0.34090909090909088</v>
      </c>
      <c r="J12" s="117" t="s">
        <v>44</v>
      </c>
    </row>
    <row r="13" spans="1:10" s="119" customFormat="1" ht="14" x14ac:dyDescent="0.15">
      <c r="A13" s="120"/>
      <c r="B13" s="127"/>
      <c r="C13" s="121"/>
      <c r="D13" s="114">
        <f t="shared" si="0"/>
        <v>0.34090909090909088</v>
      </c>
      <c r="E13" s="115"/>
      <c r="F13" s="116" t="s">
        <v>141</v>
      </c>
      <c r="G13" s="117" t="s">
        <v>67</v>
      </c>
      <c r="H13" s="118">
        <f t="shared" si="1"/>
        <v>5</v>
      </c>
      <c r="I13" s="117">
        <f>IF([1]项目总工作量!B$6="交易类",H13*1.5/22,IF([1]项目总工作量!B$6="数据分析类",H13*1.5*0.9/22,IF([1]项目总工作量!B$6="流程管理类",H13*1.5*0.8/22,IF([1]项目总工作量!B$6="渠道类",H13*1.5*0.7/22,FALSE))))</f>
        <v>0.34090909090909088</v>
      </c>
      <c r="J13" s="117" t="s">
        <v>44</v>
      </c>
    </row>
    <row r="14" spans="1:10" s="119" customFormat="1" ht="14" x14ac:dyDescent="0.15">
      <c r="A14" s="120"/>
      <c r="B14" s="127"/>
      <c r="C14" s="121"/>
      <c r="D14" s="114">
        <f t="shared" si="0"/>
        <v>0.34090909090909088</v>
      </c>
      <c r="E14" s="115"/>
      <c r="F14" s="116" t="s">
        <v>142</v>
      </c>
      <c r="G14" s="117" t="s">
        <v>67</v>
      </c>
      <c r="H14" s="118">
        <f t="shared" si="1"/>
        <v>5</v>
      </c>
      <c r="I14" s="117">
        <f>IF([1]项目总工作量!B$6="交易类",H14*1.5/22,IF([1]项目总工作量!B$6="数据分析类",H14*1.5*0.9/22,IF([1]项目总工作量!B$6="流程管理类",H14*1.5*0.8/22,IF([1]项目总工作量!B$6="渠道类",H14*1.5*0.7/22,FALSE))))</f>
        <v>0.34090909090909088</v>
      </c>
      <c r="J14" s="117" t="s">
        <v>44</v>
      </c>
    </row>
    <row r="15" spans="1:10" s="119" customFormat="1" ht="14" x14ac:dyDescent="0.15">
      <c r="A15" s="120"/>
      <c r="B15" s="127"/>
      <c r="C15" s="121"/>
      <c r="D15" s="114">
        <f t="shared" si="0"/>
        <v>0.34090909090909088</v>
      </c>
      <c r="E15" s="115"/>
      <c r="F15" s="116" t="s">
        <v>143</v>
      </c>
      <c r="G15" s="117" t="s">
        <v>67</v>
      </c>
      <c r="H15" s="118">
        <f t="shared" si="1"/>
        <v>5</v>
      </c>
      <c r="I15" s="117">
        <f>IF([1]项目总工作量!B$6="交易类",H15*1.5/22,IF([1]项目总工作量!B$6="数据分析类",H15*1.5*0.9/22,IF([1]项目总工作量!B$6="流程管理类",H15*1.5*0.8/22,IF([1]项目总工作量!B$6="渠道类",H15*1.5*0.7/22,FALSE))))</f>
        <v>0.34090909090909088</v>
      </c>
      <c r="J15" s="117" t="s">
        <v>44</v>
      </c>
    </row>
    <row r="16" spans="1:10" s="119" customFormat="1" ht="14" x14ac:dyDescent="0.15">
      <c r="A16" s="120"/>
      <c r="B16" s="127"/>
      <c r="C16" s="121"/>
      <c r="D16" s="114">
        <f t="shared" si="0"/>
        <v>0.34090909090909088</v>
      </c>
      <c r="E16" s="115"/>
      <c r="F16" s="116" t="s">
        <v>144</v>
      </c>
      <c r="G16" s="117" t="s">
        <v>67</v>
      </c>
      <c r="H16" s="118">
        <f t="shared" si="1"/>
        <v>5</v>
      </c>
      <c r="I16" s="117">
        <f>IF([1]项目总工作量!B$6="交易类",H16*1.5/22,IF([1]项目总工作量!B$6="数据分析类",H16*1.5*0.9/22,IF([1]项目总工作量!B$6="流程管理类",H16*1.5*0.8/22,IF([1]项目总工作量!B$6="渠道类",H16*1.5*0.7/22,FALSE))))</f>
        <v>0.34090909090909088</v>
      </c>
      <c r="J16" s="117" t="s">
        <v>44</v>
      </c>
    </row>
    <row r="17" spans="1:10" s="119" customFormat="1" ht="14" x14ac:dyDescent="0.15">
      <c r="A17" s="120"/>
      <c r="B17" s="127"/>
      <c r="C17" s="121"/>
      <c r="D17" s="114">
        <f t="shared" si="0"/>
        <v>0.34090909090909088</v>
      </c>
      <c r="E17" s="115"/>
      <c r="F17" s="116" t="s">
        <v>145</v>
      </c>
      <c r="G17" s="117" t="s">
        <v>67</v>
      </c>
      <c r="H17" s="118">
        <f t="shared" si="1"/>
        <v>5</v>
      </c>
      <c r="I17" s="117">
        <f>IF([1]项目总工作量!B$6="交易类",H17*1.5/22,IF([1]项目总工作量!B$6="数据分析类",H17*1.5*0.9/22,IF([1]项目总工作量!B$6="流程管理类",H17*1.5*0.8/22,IF([1]项目总工作量!B$6="渠道类",H17*1.5*0.7/22,FALSE))))</f>
        <v>0.34090909090909088</v>
      </c>
      <c r="J17" s="117" t="s">
        <v>44</v>
      </c>
    </row>
    <row r="18" spans="1:10" s="119" customFormat="1" ht="14" x14ac:dyDescent="0.15">
      <c r="A18" s="120"/>
      <c r="B18" s="127"/>
      <c r="C18" s="121"/>
      <c r="D18" s="114">
        <f t="shared" si="0"/>
        <v>0.34090909090909088</v>
      </c>
      <c r="E18" s="115"/>
      <c r="F18" s="116" t="s">
        <v>146</v>
      </c>
      <c r="G18" s="117" t="s">
        <v>67</v>
      </c>
      <c r="H18" s="118">
        <f t="shared" si="1"/>
        <v>5</v>
      </c>
      <c r="I18" s="117">
        <f>IF([1]项目总工作量!B$6="交易类",H18*1.5/22,IF([1]项目总工作量!B$6="数据分析类",H18*1.5*0.9/22,IF([1]项目总工作量!B$6="流程管理类",H18*1.5*0.8/22,IF([1]项目总工作量!B$6="渠道类",H18*1.5*0.7/22,FALSE))))</f>
        <v>0.34090909090909088</v>
      </c>
      <c r="J18" s="117" t="s">
        <v>44</v>
      </c>
    </row>
    <row r="19" spans="1:10" s="119" customFormat="1" ht="14" x14ac:dyDescent="0.15">
      <c r="A19" s="120"/>
      <c r="B19" s="127"/>
      <c r="C19" s="121"/>
      <c r="D19" s="114">
        <f t="shared" si="0"/>
        <v>0.34090909090909088</v>
      </c>
      <c r="E19" s="115"/>
      <c r="F19" s="116" t="s">
        <v>147</v>
      </c>
      <c r="G19" s="117" t="s">
        <v>67</v>
      </c>
      <c r="H19" s="118">
        <f t="shared" si="1"/>
        <v>5</v>
      </c>
      <c r="I19" s="117">
        <f>IF([1]项目总工作量!B$6="交易类",H19*1.5/22,IF([1]项目总工作量!B$6="数据分析类",H19*1.5*0.9/22,IF([1]项目总工作量!B$6="流程管理类",H19*1.5*0.8/22,IF([1]项目总工作量!B$6="渠道类",H19*1.5*0.7/22,FALSE))))</f>
        <v>0.34090909090909088</v>
      </c>
      <c r="J19" s="117" t="s">
        <v>44</v>
      </c>
    </row>
    <row r="20" spans="1:10" s="119" customFormat="1" ht="14" x14ac:dyDescent="0.15">
      <c r="A20" s="120"/>
      <c r="B20" s="127"/>
      <c r="C20" s="121"/>
      <c r="D20" s="114">
        <f t="shared" si="0"/>
        <v>0.34090909090909088</v>
      </c>
      <c r="E20" s="115"/>
      <c r="F20" s="116" t="s">
        <v>148</v>
      </c>
      <c r="G20" s="117" t="s">
        <v>67</v>
      </c>
      <c r="H20" s="118">
        <f t="shared" si="1"/>
        <v>5</v>
      </c>
      <c r="I20" s="117">
        <f>IF([1]项目总工作量!B$6="交易类",H20*1.5/22,IF([1]项目总工作量!B$6="数据分析类",H20*1.5*0.9/22,IF([1]项目总工作量!B$6="流程管理类",H20*1.5*0.8/22,IF([1]项目总工作量!B$6="渠道类",H20*1.5*0.7/22,FALSE))))</f>
        <v>0.34090909090909088</v>
      </c>
      <c r="J20" s="117" t="s">
        <v>44</v>
      </c>
    </row>
    <row r="21" spans="1:10" s="119" customFormat="1" ht="14" x14ac:dyDescent="0.15">
      <c r="A21" s="120"/>
      <c r="B21" s="127"/>
      <c r="C21" s="121"/>
      <c r="D21" s="114">
        <f t="shared" si="0"/>
        <v>0.34090909090909088</v>
      </c>
      <c r="E21" s="115"/>
      <c r="F21" s="116" t="s">
        <v>149</v>
      </c>
      <c r="G21" s="117" t="s">
        <v>67</v>
      </c>
      <c r="H21" s="118">
        <f t="shared" si="1"/>
        <v>5</v>
      </c>
      <c r="I21" s="117">
        <f>IF([1]项目总工作量!B$6="交易类",H21*1.5/22,IF([1]项目总工作量!B$6="数据分析类",H21*1.5*0.9/22,IF([1]项目总工作量!B$6="流程管理类",H21*1.5*0.8/22,IF([1]项目总工作量!B$6="渠道类",H21*1.5*0.7/22,FALSE))))</f>
        <v>0.34090909090909088</v>
      </c>
      <c r="J21" s="117" t="s">
        <v>44</v>
      </c>
    </row>
    <row r="22" spans="1:10" s="119" customFormat="1" ht="14" x14ac:dyDescent="0.15">
      <c r="A22" s="120"/>
      <c r="B22" s="127"/>
      <c r="C22" s="121"/>
      <c r="D22" s="114">
        <f t="shared" si="0"/>
        <v>0.34090909090909088</v>
      </c>
      <c r="E22" s="115"/>
      <c r="F22" s="116" t="s">
        <v>150</v>
      </c>
      <c r="G22" s="117" t="s">
        <v>67</v>
      </c>
      <c r="H22" s="118">
        <f t="shared" si="1"/>
        <v>5</v>
      </c>
      <c r="I22" s="117">
        <f>IF([1]项目总工作量!B$6="交易类",H22*1.5/22,IF([1]项目总工作量!B$6="数据分析类",H22*1.5*0.9/22,IF([1]项目总工作量!B$6="流程管理类",H22*1.5*0.8/22,IF([1]项目总工作量!B$6="渠道类",H22*1.5*0.7/22,FALSE))))</f>
        <v>0.34090909090909088</v>
      </c>
      <c r="J22" s="117" t="s">
        <v>44</v>
      </c>
    </row>
    <row r="23" spans="1:10" s="119" customFormat="1" ht="14" x14ac:dyDescent="0.15">
      <c r="A23" s="120"/>
      <c r="B23" s="127"/>
      <c r="C23" s="121"/>
      <c r="D23" s="114">
        <f t="shared" si="0"/>
        <v>0.34090909090909088</v>
      </c>
      <c r="E23" s="115"/>
      <c r="F23" s="116" t="s">
        <v>151</v>
      </c>
      <c r="G23" s="117" t="s">
        <v>67</v>
      </c>
      <c r="H23" s="118">
        <f t="shared" si="1"/>
        <v>5</v>
      </c>
      <c r="I23" s="117">
        <f>IF([1]项目总工作量!B$6="交易类",H23*1.5/22,IF([1]项目总工作量!B$6="数据分析类",H23*1.5*0.9/22,IF([1]项目总工作量!B$6="流程管理类",H23*1.5*0.8/22,IF([1]项目总工作量!B$6="渠道类",H23*1.5*0.7/22,FALSE))))</f>
        <v>0.34090909090909088</v>
      </c>
      <c r="J23" s="117" t="s">
        <v>44</v>
      </c>
    </row>
    <row r="24" spans="1:10" s="119" customFormat="1" ht="14" x14ac:dyDescent="0.15">
      <c r="A24" s="120"/>
      <c r="B24" s="127"/>
      <c r="C24" s="121"/>
      <c r="D24" s="114">
        <f t="shared" si="0"/>
        <v>0.34090909090909088</v>
      </c>
      <c r="E24" s="115"/>
      <c r="F24" s="116" t="s">
        <v>152</v>
      </c>
      <c r="G24" s="117" t="s">
        <v>67</v>
      </c>
      <c r="H24" s="118">
        <f t="shared" si="1"/>
        <v>5</v>
      </c>
      <c r="I24" s="117">
        <f>IF([1]项目总工作量!B$6="交易类",H24*1.5/22,IF([1]项目总工作量!B$6="数据分析类",H24*1.5*0.9/22,IF([1]项目总工作量!B$6="流程管理类",H24*1.5*0.8/22,IF([1]项目总工作量!B$6="渠道类",H24*1.5*0.7/22,FALSE))))</f>
        <v>0.34090909090909088</v>
      </c>
      <c r="J24" s="117" t="s">
        <v>44</v>
      </c>
    </row>
    <row r="25" spans="1:10" s="119" customFormat="1" ht="14" x14ac:dyDescent="0.15">
      <c r="A25" s="120"/>
      <c r="B25" s="127"/>
      <c r="C25" s="121"/>
      <c r="D25" s="114">
        <f t="shared" si="0"/>
        <v>0.34090909090909088</v>
      </c>
      <c r="E25" s="115"/>
      <c r="F25" s="116" t="s">
        <v>153</v>
      </c>
      <c r="G25" s="117" t="s">
        <v>67</v>
      </c>
      <c r="H25" s="118">
        <f t="shared" si="1"/>
        <v>5</v>
      </c>
      <c r="I25" s="117">
        <f>IF([1]项目总工作量!B$6="交易类",H25*1.5/22,IF([1]项目总工作量!B$6="数据分析类",H25*1.5*0.9/22,IF([1]项目总工作量!B$6="流程管理类",H25*1.5*0.8/22,IF([1]项目总工作量!B$6="渠道类",H25*1.5*0.7/22,FALSE))))</f>
        <v>0.34090909090909088</v>
      </c>
      <c r="J25" s="117" t="s">
        <v>44</v>
      </c>
    </row>
    <row r="26" spans="1:10" s="119" customFormat="1" ht="14" x14ac:dyDescent="0.15">
      <c r="A26" s="120"/>
      <c r="B26" s="127"/>
      <c r="C26" s="121"/>
      <c r="D26" s="114">
        <f t="shared" si="0"/>
        <v>0.34090909090909088</v>
      </c>
      <c r="E26" s="115"/>
      <c r="F26" s="116" t="s">
        <v>154</v>
      </c>
      <c r="G26" s="117" t="s">
        <v>67</v>
      </c>
      <c r="H26" s="118">
        <f t="shared" si="1"/>
        <v>5</v>
      </c>
      <c r="I26" s="117">
        <f>IF([1]项目总工作量!B$6="交易类",H26*1.5/22,IF([1]项目总工作量!B$6="数据分析类",H26*1.5*0.9/22,IF([1]项目总工作量!B$6="流程管理类",H26*1.5*0.8/22,IF([1]项目总工作量!B$6="渠道类",H26*1.5*0.7/22,FALSE))))</f>
        <v>0.34090909090909088</v>
      </c>
      <c r="J26" s="117" t="s">
        <v>44</v>
      </c>
    </row>
    <row r="27" spans="1:10" s="119" customFormat="1" ht="14" x14ac:dyDescent="0.15">
      <c r="A27" s="120"/>
      <c r="B27" s="127"/>
      <c r="C27" s="121"/>
      <c r="D27" s="114">
        <f t="shared" si="0"/>
        <v>0.34090909090909088</v>
      </c>
      <c r="E27" s="115"/>
      <c r="F27" s="116" t="s">
        <v>155</v>
      </c>
      <c r="G27" s="117" t="s">
        <v>67</v>
      </c>
      <c r="H27" s="118">
        <f t="shared" si="1"/>
        <v>5</v>
      </c>
      <c r="I27" s="117">
        <f>IF([1]项目总工作量!B$6="交易类",H27*1.5/22,IF([1]项目总工作量!B$6="数据分析类",H27*1.5*0.9/22,IF([1]项目总工作量!B$6="流程管理类",H27*1.5*0.8/22,IF([1]项目总工作量!B$6="渠道类",H27*1.5*0.7/22,FALSE))))</f>
        <v>0.34090909090909088</v>
      </c>
      <c r="J27" s="117" t="s">
        <v>44</v>
      </c>
    </row>
    <row r="28" spans="1:10" s="119" customFormat="1" ht="14" x14ac:dyDescent="0.15">
      <c r="A28" s="120"/>
      <c r="B28" s="127"/>
      <c r="C28" s="121"/>
      <c r="D28" s="114">
        <f t="shared" si="0"/>
        <v>0.34090909090909088</v>
      </c>
      <c r="E28" s="115"/>
      <c r="F28" s="116" t="s">
        <v>156</v>
      </c>
      <c r="G28" s="117" t="s">
        <v>67</v>
      </c>
      <c r="H28" s="118">
        <f t="shared" si="1"/>
        <v>5</v>
      </c>
      <c r="I28" s="117">
        <f>IF([1]项目总工作量!B$6="交易类",H28*1.5/22,IF([1]项目总工作量!B$6="数据分析类",H28*1.5*0.9/22,IF([1]项目总工作量!B$6="流程管理类",H28*1.5*0.8/22,IF([1]项目总工作量!B$6="渠道类",H28*1.5*0.7/22,FALSE))))</f>
        <v>0.34090909090909088</v>
      </c>
      <c r="J28" s="117" t="s">
        <v>44</v>
      </c>
    </row>
    <row r="29" spans="1:10" s="119" customFormat="1" ht="14" x14ac:dyDescent="0.15">
      <c r="A29" s="120"/>
      <c r="B29" s="127"/>
      <c r="C29" s="121"/>
      <c r="D29" s="114">
        <f t="shared" si="0"/>
        <v>0.34090909090909088</v>
      </c>
      <c r="E29" s="115"/>
      <c r="F29" s="116" t="s">
        <v>157</v>
      </c>
      <c r="G29" s="117" t="s">
        <v>67</v>
      </c>
      <c r="H29" s="118">
        <f t="shared" si="1"/>
        <v>5</v>
      </c>
      <c r="I29" s="117">
        <f>IF([1]项目总工作量!B$6="交易类",H29*1.5/22,IF([1]项目总工作量!B$6="数据分析类",H29*1.5*0.9/22,IF([1]项目总工作量!B$6="流程管理类",H29*1.5*0.8/22,IF([1]项目总工作量!B$6="渠道类",H29*1.5*0.7/22,FALSE))))</f>
        <v>0.34090909090909088</v>
      </c>
      <c r="J29" s="117" t="s">
        <v>44</v>
      </c>
    </row>
    <row r="30" spans="1:10" s="119" customFormat="1" ht="14" x14ac:dyDescent="0.15">
      <c r="A30" s="120"/>
      <c r="B30" s="127"/>
      <c r="C30" s="121"/>
      <c r="D30" s="114">
        <f t="shared" si="0"/>
        <v>0.34090909090909088</v>
      </c>
      <c r="E30" s="115"/>
      <c r="F30" s="116" t="s">
        <v>158</v>
      </c>
      <c r="G30" s="117" t="s">
        <v>67</v>
      </c>
      <c r="H30" s="118">
        <f t="shared" si="1"/>
        <v>5</v>
      </c>
      <c r="I30" s="117">
        <f>IF([1]项目总工作量!B$6="交易类",H30*1.5/22,IF([1]项目总工作量!B$6="数据分析类",H30*1.5*0.9/22,IF([1]项目总工作量!B$6="流程管理类",H30*1.5*0.8/22,IF([1]项目总工作量!B$6="渠道类",H30*1.5*0.7/22,FALSE))))</f>
        <v>0.34090909090909088</v>
      </c>
      <c r="J30" s="117" t="s">
        <v>44</v>
      </c>
    </row>
    <row r="31" spans="1:10" s="119" customFormat="1" ht="14" x14ac:dyDescent="0.15">
      <c r="A31" s="120"/>
      <c r="B31" s="127"/>
      <c r="C31" s="121"/>
      <c r="D31" s="114">
        <f t="shared" si="0"/>
        <v>0.34090909090909088</v>
      </c>
      <c r="E31" s="115"/>
      <c r="F31" s="116" t="s">
        <v>159</v>
      </c>
      <c r="G31" s="117" t="s">
        <v>67</v>
      </c>
      <c r="H31" s="118">
        <f t="shared" si="1"/>
        <v>5</v>
      </c>
      <c r="I31" s="117">
        <f>IF([1]项目总工作量!B$6="交易类",H31*1.5/22,IF([1]项目总工作量!B$6="数据分析类",H31*1.5*0.9/22,IF([1]项目总工作量!B$6="流程管理类",H31*1.5*0.8/22,IF([1]项目总工作量!B$6="渠道类",H31*1.5*0.7/22,FALSE))))</f>
        <v>0.34090909090909088</v>
      </c>
      <c r="J31" s="117" t="s">
        <v>44</v>
      </c>
    </row>
    <row r="32" spans="1:10" s="119" customFormat="1" ht="14" x14ac:dyDescent="0.15">
      <c r="A32" s="120"/>
      <c r="B32" s="127"/>
      <c r="C32" s="121"/>
      <c r="D32" s="114">
        <f t="shared" si="0"/>
        <v>0.34090909090909088</v>
      </c>
      <c r="E32" s="115"/>
      <c r="F32" s="116" t="s">
        <v>160</v>
      </c>
      <c r="G32" s="117" t="s">
        <v>67</v>
      </c>
      <c r="H32" s="118">
        <f t="shared" si="1"/>
        <v>5</v>
      </c>
      <c r="I32" s="117">
        <f>IF([1]项目总工作量!B$6="交易类",H32*1.5/22,IF([1]项目总工作量!B$6="数据分析类",H32*1.5*0.9/22,IF([1]项目总工作量!B$6="流程管理类",H32*1.5*0.8/22,IF([1]项目总工作量!B$6="渠道类",H32*1.5*0.7/22,FALSE))))</f>
        <v>0.34090909090909088</v>
      </c>
      <c r="J32" s="117" t="s">
        <v>44</v>
      </c>
    </row>
    <row r="33" spans="1:10" s="119" customFormat="1" ht="14" x14ac:dyDescent="0.15">
      <c r="A33" s="120"/>
      <c r="B33" s="127"/>
      <c r="C33" s="121" t="s">
        <v>496</v>
      </c>
      <c r="D33" s="114">
        <f t="shared" si="0"/>
        <v>0.34090909090909088</v>
      </c>
      <c r="E33" s="115"/>
      <c r="F33" s="116" t="s">
        <v>161</v>
      </c>
      <c r="G33" s="117" t="s">
        <v>67</v>
      </c>
      <c r="H33" s="118">
        <f t="shared" si="1"/>
        <v>5</v>
      </c>
      <c r="I33" s="117">
        <f>IF([1]项目总工作量!B$6="交易类",H33*1.5/22,IF([1]项目总工作量!B$6="数据分析类",H33*1.5*0.9/22,IF([1]项目总工作量!B$6="流程管理类",H33*1.5*0.8/22,IF([1]项目总工作量!B$6="渠道类",H33*1.5*0.7/22,FALSE))))</f>
        <v>0.34090909090909088</v>
      </c>
      <c r="J33" s="117" t="s">
        <v>44</v>
      </c>
    </row>
    <row r="34" spans="1:10" s="119" customFormat="1" ht="14" x14ac:dyDescent="0.15">
      <c r="A34" s="120"/>
      <c r="B34" s="127"/>
      <c r="C34" s="121"/>
      <c r="D34" s="114">
        <f t="shared" si="0"/>
        <v>0.34090909090909088</v>
      </c>
      <c r="E34" s="115"/>
      <c r="F34" s="116" t="s">
        <v>162</v>
      </c>
      <c r="G34" s="117" t="s">
        <v>67</v>
      </c>
      <c r="H34" s="118">
        <f t="shared" si="1"/>
        <v>5</v>
      </c>
      <c r="I34" s="117">
        <f>IF([1]项目总工作量!B$6="交易类",H34*1.5/22,IF([1]项目总工作量!B$6="数据分析类",H34*1.5*0.9/22,IF([1]项目总工作量!B$6="流程管理类",H34*1.5*0.8/22,IF([1]项目总工作量!B$6="渠道类",H34*1.5*0.7/22,FALSE))))</f>
        <v>0.34090909090909088</v>
      </c>
      <c r="J34" s="117" t="s">
        <v>44</v>
      </c>
    </row>
    <row r="35" spans="1:10" s="119" customFormat="1" ht="14" x14ac:dyDescent="0.15">
      <c r="A35" s="120"/>
      <c r="B35" s="127"/>
      <c r="C35" s="121"/>
      <c r="D35" s="114">
        <f t="shared" si="0"/>
        <v>0.34090909090909088</v>
      </c>
      <c r="E35" s="115"/>
      <c r="F35" s="116" t="s">
        <v>163</v>
      </c>
      <c r="G35" s="117" t="s">
        <v>67</v>
      </c>
      <c r="H35" s="118">
        <f t="shared" si="1"/>
        <v>5</v>
      </c>
      <c r="I35" s="117">
        <f>IF([1]项目总工作量!B$6="交易类",H35*1.5/22,IF([1]项目总工作量!B$6="数据分析类",H35*1.5*0.9/22,IF([1]项目总工作量!B$6="流程管理类",H35*1.5*0.8/22,IF([1]项目总工作量!B$6="渠道类",H35*1.5*0.7/22,FALSE))))</f>
        <v>0.34090909090909088</v>
      </c>
      <c r="J35" s="117" t="s">
        <v>44</v>
      </c>
    </row>
    <row r="36" spans="1:10" s="119" customFormat="1" ht="14" x14ac:dyDescent="0.15">
      <c r="A36" s="120">
        <v>2</v>
      </c>
      <c r="B36" s="120" t="s">
        <v>493</v>
      </c>
      <c r="C36" s="121" t="s">
        <v>494</v>
      </c>
      <c r="D36" s="114">
        <f t="shared" si="0"/>
        <v>0.27272727272727271</v>
      </c>
      <c r="E36" s="115"/>
      <c r="F36" s="116" t="s">
        <v>164</v>
      </c>
      <c r="G36" s="117" t="s">
        <v>66</v>
      </c>
      <c r="H36" s="118">
        <f t="shared" ref="H36:H67" si="2">IF(G36="EI",4,IF(G36="EO",5,IF(G36="EQ",4,0)))</f>
        <v>4</v>
      </c>
      <c r="I36" s="117">
        <f>IF([1]项目总工作量!B$6="交易类",H36*1.5/22,IF([1]项目总工作量!B$6="数据分析类",H36*1.5*0.9/22,IF([1]项目总工作量!B$6="流程管理类",H36*1.5*0.8/22,IF([1]项目总工作量!B$6="渠道类",H36*1.5*0.7/22,FALSE))))</f>
        <v>0.27272727272727271</v>
      </c>
      <c r="J36" s="117" t="s">
        <v>44</v>
      </c>
    </row>
    <row r="37" spans="1:10" s="119" customFormat="1" ht="14" x14ac:dyDescent="0.15">
      <c r="A37" s="120"/>
      <c r="B37" s="120"/>
      <c r="C37" s="121"/>
      <c r="D37" s="114">
        <f t="shared" si="0"/>
        <v>0.27272727272727271</v>
      </c>
      <c r="E37" s="115"/>
      <c r="F37" s="116" t="s">
        <v>165</v>
      </c>
      <c r="G37" s="117" t="s">
        <v>66</v>
      </c>
      <c r="H37" s="118">
        <f t="shared" si="2"/>
        <v>4</v>
      </c>
      <c r="I37" s="117">
        <f>IF([1]项目总工作量!B$6="交易类",H37*1.5/22,IF([1]项目总工作量!B$6="数据分析类",H37*1.5*0.9/22,IF([1]项目总工作量!B$6="流程管理类",H37*1.5*0.8/22,IF([1]项目总工作量!B$6="渠道类",H37*1.5*0.7/22,FALSE))))</f>
        <v>0.27272727272727271</v>
      </c>
      <c r="J37" s="117" t="s">
        <v>44</v>
      </c>
    </row>
    <row r="38" spans="1:10" s="119" customFormat="1" ht="14" x14ac:dyDescent="0.15">
      <c r="A38" s="120"/>
      <c r="B38" s="120"/>
      <c r="C38" s="121"/>
      <c r="D38" s="114">
        <f t="shared" si="0"/>
        <v>0.27272727272727271</v>
      </c>
      <c r="E38" s="115"/>
      <c r="F38" s="116" t="s">
        <v>166</v>
      </c>
      <c r="G38" s="117" t="s">
        <v>66</v>
      </c>
      <c r="H38" s="118">
        <f t="shared" si="2"/>
        <v>4</v>
      </c>
      <c r="I38" s="117">
        <f>IF([1]项目总工作量!B$6="交易类",H38*1.5/22,IF([1]项目总工作量!B$6="数据分析类",H38*1.5*0.9/22,IF([1]项目总工作量!B$6="流程管理类",H38*1.5*0.8/22,IF([1]项目总工作量!B$6="渠道类",H38*1.5*0.7/22,FALSE))))</f>
        <v>0.27272727272727271</v>
      </c>
      <c r="J38" s="117" t="s">
        <v>44</v>
      </c>
    </row>
    <row r="39" spans="1:10" s="119" customFormat="1" ht="14" x14ac:dyDescent="0.15">
      <c r="A39" s="120"/>
      <c r="B39" s="120"/>
      <c r="C39" s="121"/>
      <c r="D39" s="114">
        <f t="shared" si="0"/>
        <v>0.27272727272727271</v>
      </c>
      <c r="E39" s="115"/>
      <c r="F39" s="116" t="s">
        <v>167</v>
      </c>
      <c r="G39" s="117" t="s">
        <v>66</v>
      </c>
      <c r="H39" s="118">
        <f t="shared" si="2"/>
        <v>4</v>
      </c>
      <c r="I39" s="117">
        <f>IF([1]项目总工作量!B$6="交易类",H39*1.5/22,IF([1]项目总工作量!B$6="数据分析类",H39*1.5*0.9/22,IF([1]项目总工作量!B$6="流程管理类",H39*1.5*0.8/22,IF([1]项目总工作量!B$6="渠道类",H39*1.5*0.7/22,FALSE))))</f>
        <v>0.27272727272727271</v>
      </c>
      <c r="J39" s="117" t="s">
        <v>44</v>
      </c>
    </row>
    <row r="40" spans="1:10" s="119" customFormat="1" ht="14" x14ac:dyDescent="0.15">
      <c r="A40" s="120"/>
      <c r="B40" s="120"/>
      <c r="C40" s="121"/>
      <c r="D40" s="114">
        <f t="shared" si="0"/>
        <v>0.27272727272727271</v>
      </c>
      <c r="E40" s="115"/>
      <c r="F40" s="116" t="s">
        <v>168</v>
      </c>
      <c r="G40" s="117" t="s">
        <v>66</v>
      </c>
      <c r="H40" s="118">
        <f t="shared" si="2"/>
        <v>4</v>
      </c>
      <c r="I40" s="117">
        <f>IF([1]项目总工作量!B$6="交易类",H40*1.5/22,IF([1]项目总工作量!B$6="数据分析类",H40*1.5*0.9/22,IF([1]项目总工作量!B$6="流程管理类",H40*1.5*0.8/22,IF([1]项目总工作量!B$6="渠道类",H40*1.5*0.7/22,FALSE))))</f>
        <v>0.27272727272727271</v>
      </c>
      <c r="J40" s="117" t="s">
        <v>44</v>
      </c>
    </row>
    <row r="41" spans="1:10" s="119" customFormat="1" ht="14" x14ac:dyDescent="0.15">
      <c r="A41" s="120"/>
      <c r="B41" s="120"/>
      <c r="C41" s="121"/>
      <c r="D41" s="114">
        <f t="shared" si="0"/>
        <v>0.27272727272727271</v>
      </c>
      <c r="E41" s="115"/>
      <c r="F41" s="116" t="s">
        <v>169</v>
      </c>
      <c r="G41" s="117" t="s">
        <v>66</v>
      </c>
      <c r="H41" s="118">
        <f t="shared" si="2"/>
        <v>4</v>
      </c>
      <c r="I41" s="117">
        <f>IF([1]项目总工作量!B$6="交易类",H41*1.5/22,IF([1]项目总工作量!B$6="数据分析类",H41*1.5*0.9/22,IF([1]项目总工作量!B$6="流程管理类",H41*1.5*0.8/22,IF([1]项目总工作量!B$6="渠道类",H41*1.5*0.7/22,FALSE))))</f>
        <v>0.27272727272727271</v>
      </c>
      <c r="J41" s="117" t="s">
        <v>44</v>
      </c>
    </row>
    <row r="42" spans="1:10" s="119" customFormat="1" ht="14" x14ac:dyDescent="0.15">
      <c r="A42" s="120"/>
      <c r="B42" s="120"/>
      <c r="C42" s="121"/>
      <c r="D42" s="114">
        <f t="shared" si="0"/>
        <v>0.27272727272727271</v>
      </c>
      <c r="E42" s="115"/>
      <c r="F42" s="116" t="s">
        <v>170</v>
      </c>
      <c r="G42" s="117" t="s">
        <v>66</v>
      </c>
      <c r="H42" s="118">
        <f t="shared" si="2"/>
        <v>4</v>
      </c>
      <c r="I42" s="117">
        <f>IF([1]项目总工作量!B$6="交易类",H42*1.5/22,IF([1]项目总工作量!B$6="数据分析类",H42*1.5*0.9/22,IF([1]项目总工作量!B$6="流程管理类",H42*1.5*0.8/22,IF([1]项目总工作量!B$6="渠道类",H42*1.5*0.7/22,FALSE))))</f>
        <v>0.27272727272727271</v>
      </c>
      <c r="J42" s="117" t="s">
        <v>44</v>
      </c>
    </row>
    <row r="43" spans="1:10" s="119" customFormat="1" ht="14" x14ac:dyDescent="0.15">
      <c r="A43" s="120"/>
      <c r="B43" s="120"/>
      <c r="C43" s="121"/>
      <c r="D43" s="114">
        <f t="shared" si="0"/>
        <v>0.27272727272727271</v>
      </c>
      <c r="E43" s="115"/>
      <c r="F43" s="116" t="s">
        <v>171</v>
      </c>
      <c r="G43" s="117" t="s">
        <v>66</v>
      </c>
      <c r="H43" s="118">
        <f t="shared" si="2"/>
        <v>4</v>
      </c>
      <c r="I43" s="117">
        <f>IF([1]项目总工作量!B$6="交易类",H43*1.5/22,IF([1]项目总工作量!B$6="数据分析类",H43*1.5*0.9/22,IF([1]项目总工作量!B$6="流程管理类",H43*1.5*0.8/22,IF([1]项目总工作量!B$6="渠道类",H43*1.5*0.7/22,FALSE))))</f>
        <v>0.27272727272727271</v>
      </c>
      <c r="J43" s="117" t="s">
        <v>44</v>
      </c>
    </row>
    <row r="44" spans="1:10" s="119" customFormat="1" ht="14" x14ac:dyDescent="0.15">
      <c r="A44" s="120"/>
      <c r="B44" s="120"/>
      <c r="C44" s="121"/>
      <c r="D44" s="114">
        <f t="shared" si="0"/>
        <v>0.27272727272727271</v>
      </c>
      <c r="E44" s="115"/>
      <c r="F44" s="116" t="s">
        <v>172</v>
      </c>
      <c r="G44" s="117" t="s">
        <v>66</v>
      </c>
      <c r="H44" s="118">
        <f t="shared" si="2"/>
        <v>4</v>
      </c>
      <c r="I44" s="117">
        <f>IF([1]项目总工作量!B$6="交易类",H44*1.5/22,IF([1]项目总工作量!B$6="数据分析类",H44*1.5*0.9/22,IF([1]项目总工作量!B$6="流程管理类",H44*1.5*0.8/22,IF([1]项目总工作量!B$6="渠道类",H44*1.5*0.7/22,FALSE))))</f>
        <v>0.27272727272727271</v>
      </c>
      <c r="J44" s="117" t="s">
        <v>44</v>
      </c>
    </row>
    <row r="45" spans="1:10" s="119" customFormat="1" ht="14" x14ac:dyDescent="0.15">
      <c r="A45" s="120"/>
      <c r="B45" s="120"/>
      <c r="C45" s="121"/>
      <c r="D45" s="114">
        <f t="shared" si="0"/>
        <v>0.27272727272727271</v>
      </c>
      <c r="E45" s="115"/>
      <c r="F45" s="116" t="s">
        <v>173</v>
      </c>
      <c r="G45" s="117" t="s">
        <v>66</v>
      </c>
      <c r="H45" s="118">
        <f t="shared" si="2"/>
        <v>4</v>
      </c>
      <c r="I45" s="117">
        <f>IF([1]项目总工作量!B$6="交易类",H45*1.5/22,IF([1]项目总工作量!B$6="数据分析类",H45*1.5*0.9/22,IF([1]项目总工作量!B$6="流程管理类",H45*1.5*0.8/22,IF([1]项目总工作量!B$6="渠道类",H45*1.5*0.7/22,FALSE))))</f>
        <v>0.27272727272727271</v>
      </c>
      <c r="J45" s="117" t="s">
        <v>44</v>
      </c>
    </row>
    <row r="46" spans="1:10" s="119" customFormat="1" ht="14" x14ac:dyDescent="0.15">
      <c r="A46" s="120"/>
      <c r="B46" s="120"/>
      <c r="C46" s="121"/>
      <c r="D46" s="114">
        <f t="shared" si="0"/>
        <v>0.27272727272727271</v>
      </c>
      <c r="E46" s="115"/>
      <c r="F46" s="116" t="s">
        <v>174</v>
      </c>
      <c r="G46" s="117" t="s">
        <v>66</v>
      </c>
      <c r="H46" s="118">
        <f t="shared" si="2"/>
        <v>4</v>
      </c>
      <c r="I46" s="117">
        <f>IF([1]项目总工作量!B$6="交易类",H46*1.5/22,IF([1]项目总工作量!B$6="数据分析类",H46*1.5*0.9/22,IF([1]项目总工作量!B$6="流程管理类",H46*1.5*0.8/22,IF([1]项目总工作量!B$6="渠道类",H46*1.5*0.7/22,FALSE))))</f>
        <v>0.27272727272727271</v>
      </c>
      <c r="J46" s="117" t="s">
        <v>44</v>
      </c>
    </row>
    <row r="47" spans="1:10" s="119" customFormat="1" ht="14" x14ac:dyDescent="0.15">
      <c r="A47" s="120"/>
      <c r="B47" s="120"/>
      <c r="C47" s="121"/>
      <c r="D47" s="114">
        <f t="shared" si="0"/>
        <v>0.27272727272727271</v>
      </c>
      <c r="E47" s="115"/>
      <c r="F47" s="116" t="s">
        <v>175</v>
      </c>
      <c r="G47" s="117" t="s">
        <v>66</v>
      </c>
      <c r="H47" s="118">
        <f t="shared" si="2"/>
        <v>4</v>
      </c>
      <c r="I47" s="117">
        <f>IF([1]项目总工作量!B$6="交易类",H47*1.5/22,IF([1]项目总工作量!B$6="数据分析类",H47*1.5*0.9/22,IF([1]项目总工作量!B$6="流程管理类",H47*1.5*0.8/22,IF([1]项目总工作量!B$6="渠道类",H47*1.5*0.7/22,FALSE))))</f>
        <v>0.27272727272727271</v>
      </c>
      <c r="J47" s="117" t="s">
        <v>44</v>
      </c>
    </row>
    <row r="48" spans="1:10" s="119" customFormat="1" ht="14" x14ac:dyDescent="0.15">
      <c r="A48" s="120"/>
      <c r="B48" s="120"/>
      <c r="C48" s="121"/>
      <c r="D48" s="114">
        <f t="shared" si="0"/>
        <v>0.27272727272727271</v>
      </c>
      <c r="E48" s="115"/>
      <c r="F48" s="116" t="s">
        <v>176</v>
      </c>
      <c r="G48" s="117" t="s">
        <v>66</v>
      </c>
      <c r="H48" s="118">
        <f t="shared" si="2"/>
        <v>4</v>
      </c>
      <c r="I48" s="117">
        <f>IF([1]项目总工作量!B$6="交易类",H48*1.5/22,IF([1]项目总工作量!B$6="数据分析类",H48*1.5*0.9/22,IF([1]项目总工作量!B$6="流程管理类",H48*1.5*0.8/22,IF([1]项目总工作量!B$6="渠道类",H48*1.5*0.7/22,FALSE))))</f>
        <v>0.27272727272727271</v>
      </c>
      <c r="J48" s="117" t="s">
        <v>44</v>
      </c>
    </row>
    <row r="49" spans="1:10" s="119" customFormat="1" ht="14" x14ac:dyDescent="0.15">
      <c r="A49" s="120"/>
      <c r="B49" s="120"/>
      <c r="C49" s="121"/>
      <c r="D49" s="114">
        <f t="shared" ref="D49:D100" si="3">I49</f>
        <v>0.27272727272727271</v>
      </c>
      <c r="E49" s="115"/>
      <c r="F49" s="116" t="s">
        <v>177</v>
      </c>
      <c r="G49" s="117" t="s">
        <v>66</v>
      </c>
      <c r="H49" s="118">
        <f t="shared" si="2"/>
        <v>4</v>
      </c>
      <c r="I49" s="117">
        <f>IF([1]项目总工作量!B$6="交易类",H49*1.5/22,IF([1]项目总工作量!B$6="数据分析类",H49*1.5*0.9/22,IF([1]项目总工作量!B$6="流程管理类",H49*1.5*0.8/22,IF([1]项目总工作量!B$6="渠道类",H49*1.5*0.7/22,FALSE))))</f>
        <v>0.27272727272727271</v>
      </c>
      <c r="J49" s="117" t="s">
        <v>44</v>
      </c>
    </row>
    <row r="50" spans="1:10" s="119" customFormat="1" ht="14" x14ac:dyDescent="0.15">
      <c r="A50" s="120"/>
      <c r="B50" s="120"/>
      <c r="C50" s="121"/>
      <c r="D50" s="114">
        <f t="shared" si="3"/>
        <v>0.27272727272727271</v>
      </c>
      <c r="E50" s="115"/>
      <c r="F50" s="116" t="s">
        <v>178</v>
      </c>
      <c r="G50" s="117" t="s">
        <v>66</v>
      </c>
      <c r="H50" s="118">
        <f t="shared" si="2"/>
        <v>4</v>
      </c>
      <c r="I50" s="117">
        <f>IF([1]项目总工作量!B$6="交易类",H50*1.5/22,IF([1]项目总工作量!B$6="数据分析类",H50*1.5*0.9/22,IF([1]项目总工作量!B$6="流程管理类",H50*1.5*0.8/22,IF([1]项目总工作量!B$6="渠道类",H50*1.5*0.7/22,FALSE))))</f>
        <v>0.27272727272727271</v>
      </c>
      <c r="J50" s="117" t="s">
        <v>44</v>
      </c>
    </row>
    <row r="51" spans="1:10" s="119" customFormat="1" ht="14" x14ac:dyDescent="0.15">
      <c r="A51" s="120"/>
      <c r="B51" s="120"/>
      <c r="C51" s="121"/>
      <c r="D51" s="114">
        <f t="shared" si="3"/>
        <v>0.27272727272727271</v>
      </c>
      <c r="E51" s="115"/>
      <c r="F51" s="116" t="s">
        <v>179</v>
      </c>
      <c r="G51" s="117" t="s">
        <v>66</v>
      </c>
      <c r="H51" s="118">
        <f t="shared" si="2"/>
        <v>4</v>
      </c>
      <c r="I51" s="117">
        <f>IF([1]项目总工作量!B$6="交易类",H51*1.5/22,IF([1]项目总工作量!B$6="数据分析类",H51*1.5*0.9/22,IF([1]项目总工作量!B$6="流程管理类",H51*1.5*0.8/22,IF([1]项目总工作量!B$6="渠道类",H51*1.5*0.7/22,FALSE))))</f>
        <v>0.27272727272727271</v>
      </c>
      <c r="J51" s="117" t="s">
        <v>44</v>
      </c>
    </row>
    <row r="52" spans="1:10" s="119" customFormat="1" ht="14" x14ac:dyDescent="0.15">
      <c r="A52" s="120"/>
      <c r="B52" s="120"/>
      <c r="C52" s="121"/>
      <c r="D52" s="114">
        <f t="shared" si="3"/>
        <v>0.27272727272727271</v>
      </c>
      <c r="E52" s="115"/>
      <c r="F52" s="116" t="s">
        <v>180</v>
      </c>
      <c r="G52" s="117" t="s">
        <v>66</v>
      </c>
      <c r="H52" s="118">
        <f t="shared" si="2"/>
        <v>4</v>
      </c>
      <c r="I52" s="117">
        <f>IF([1]项目总工作量!B$6="交易类",H52*1.5/22,IF([1]项目总工作量!B$6="数据分析类",H52*1.5*0.9/22,IF([1]项目总工作量!B$6="流程管理类",H52*1.5*0.8/22,IF([1]项目总工作量!B$6="渠道类",H52*1.5*0.7/22,FALSE))))</f>
        <v>0.27272727272727271</v>
      </c>
      <c r="J52" s="117" t="s">
        <v>44</v>
      </c>
    </row>
    <row r="53" spans="1:10" s="119" customFormat="1" ht="14" x14ac:dyDescent="0.15">
      <c r="A53" s="120"/>
      <c r="B53" s="120"/>
      <c r="C53" s="121"/>
      <c r="D53" s="114">
        <f t="shared" si="3"/>
        <v>0.27272727272727271</v>
      </c>
      <c r="E53" s="115"/>
      <c r="F53" s="116" t="s">
        <v>181</v>
      </c>
      <c r="G53" s="117" t="s">
        <v>66</v>
      </c>
      <c r="H53" s="118">
        <f t="shared" si="2"/>
        <v>4</v>
      </c>
      <c r="I53" s="117">
        <f>IF([1]项目总工作量!B$6="交易类",H53*1.5/22,IF([1]项目总工作量!B$6="数据分析类",H53*1.5*0.9/22,IF([1]项目总工作量!B$6="流程管理类",H53*1.5*0.8/22,IF([1]项目总工作量!B$6="渠道类",H53*1.5*0.7/22,FALSE))))</f>
        <v>0.27272727272727271</v>
      </c>
      <c r="J53" s="117" t="s">
        <v>44</v>
      </c>
    </row>
    <row r="54" spans="1:10" s="119" customFormat="1" ht="14" x14ac:dyDescent="0.15">
      <c r="A54" s="120"/>
      <c r="B54" s="120"/>
      <c r="C54" s="121"/>
      <c r="D54" s="114">
        <f t="shared" si="3"/>
        <v>0.27272727272727271</v>
      </c>
      <c r="E54" s="115"/>
      <c r="F54" s="116" t="s">
        <v>182</v>
      </c>
      <c r="G54" s="117" t="s">
        <v>66</v>
      </c>
      <c r="H54" s="118">
        <f t="shared" si="2"/>
        <v>4</v>
      </c>
      <c r="I54" s="117">
        <f>IF([1]项目总工作量!B$6="交易类",H54*1.5/22,IF([1]项目总工作量!B$6="数据分析类",H54*1.5*0.9/22,IF([1]项目总工作量!B$6="流程管理类",H54*1.5*0.8/22,IF([1]项目总工作量!B$6="渠道类",H54*1.5*0.7/22,FALSE))))</f>
        <v>0.27272727272727271</v>
      </c>
      <c r="J54" s="117" t="s">
        <v>44</v>
      </c>
    </row>
    <row r="55" spans="1:10" s="119" customFormat="1" ht="14" x14ac:dyDescent="0.15">
      <c r="A55" s="120"/>
      <c r="B55" s="120"/>
      <c r="C55" s="121"/>
      <c r="D55" s="114">
        <f t="shared" si="3"/>
        <v>0.27272727272727271</v>
      </c>
      <c r="E55" s="115"/>
      <c r="F55" s="116" t="s">
        <v>183</v>
      </c>
      <c r="G55" s="117" t="s">
        <v>66</v>
      </c>
      <c r="H55" s="118">
        <f t="shared" si="2"/>
        <v>4</v>
      </c>
      <c r="I55" s="117">
        <f>IF([1]项目总工作量!B$6="交易类",H55*1.5/22,IF([1]项目总工作量!B$6="数据分析类",H55*1.5*0.9/22,IF([1]项目总工作量!B$6="流程管理类",H55*1.5*0.8/22,IF([1]项目总工作量!B$6="渠道类",H55*1.5*0.7/22,FALSE))))</f>
        <v>0.27272727272727271</v>
      </c>
      <c r="J55" s="117" t="s">
        <v>44</v>
      </c>
    </row>
    <row r="56" spans="1:10" s="119" customFormat="1" ht="14" x14ac:dyDescent="0.15">
      <c r="A56" s="120"/>
      <c r="B56" s="120"/>
      <c r="C56" s="121"/>
      <c r="D56" s="114">
        <f t="shared" si="3"/>
        <v>0.27272727272727271</v>
      </c>
      <c r="E56" s="115"/>
      <c r="F56" s="116" t="s">
        <v>184</v>
      </c>
      <c r="G56" s="117" t="s">
        <v>66</v>
      </c>
      <c r="H56" s="118">
        <f t="shared" si="2"/>
        <v>4</v>
      </c>
      <c r="I56" s="117">
        <f>IF([1]项目总工作量!B$6="交易类",H56*1.5/22,IF([1]项目总工作量!B$6="数据分析类",H56*1.5*0.9/22,IF([1]项目总工作量!B$6="流程管理类",H56*1.5*0.8/22,IF([1]项目总工作量!B$6="渠道类",H56*1.5*0.7/22,FALSE))))</f>
        <v>0.27272727272727271</v>
      </c>
      <c r="J56" s="117" t="s">
        <v>44</v>
      </c>
    </row>
    <row r="57" spans="1:10" s="119" customFormat="1" ht="14" x14ac:dyDescent="0.15">
      <c r="A57" s="120"/>
      <c r="B57" s="120"/>
      <c r="C57" s="121"/>
      <c r="D57" s="114">
        <f t="shared" si="3"/>
        <v>0.27272727272727271</v>
      </c>
      <c r="E57" s="115"/>
      <c r="F57" s="116" t="s">
        <v>185</v>
      </c>
      <c r="G57" s="117" t="s">
        <v>66</v>
      </c>
      <c r="H57" s="118">
        <f t="shared" si="2"/>
        <v>4</v>
      </c>
      <c r="I57" s="117">
        <f>IF([1]项目总工作量!B$6="交易类",H57*1.5/22,IF([1]项目总工作量!B$6="数据分析类",H57*1.5*0.9/22,IF([1]项目总工作量!B$6="流程管理类",H57*1.5*0.8/22,IF([1]项目总工作量!B$6="渠道类",H57*1.5*0.7/22,FALSE))))</f>
        <v>0.27272727272727271</v>
      </c>
      <c r="J57" s="117" t="s">
        <v>44</v>
      </c>
    </row>
    <row r="58" spans="1:10" s="119" customFormat="1" ht="14" x14ac:dyDescent="0.15">
      <c r="A58" s="120"/>
      <c r="B58" s="120"/>
      <c r="C58" s="121"/>
      <c r="D58" s="114">
        <f t="shared" si="3"/>
        <v>0.27272727272727271</v>
      </c>
      <c r="E58" s="115"/>
      <c r="F58" s="116" t="s">
        <v>186</v>
      </c>
      <c r="G58" s="117" t="s">
        <v>66</v>
      </c>
      <c r="H58" s="118">
        <f t="shared" si="2"/>
        <v>4</v>
      </c>
      <c r="I58" s="117">
        <f>IF([1]项目总工作量!B$6="交易类",H58*1.5/22,IF([1]项目总工作量!B$6="数据分析类",H58*1.5*0.9/22,IF([1]项目总工作量!B$6="流程管理类",H58*1.5*0.8/22,IF([1]项目总工作量!B$6="渠道类",H58*1.5*0.7/22,FALSE))))</f>
        <v>0.27272727272727271</v>
      </c>
      <c r="J58" s="117" t="s">
        <v>44</v>
      </c>
    </row>
    <row r="59" spans="1:10" s="119" customFormat="1" ht="14" x14ac:dyDescent="0.15">
      <c r="A59" s="120"/>
      <c r="B59" s="120"/>
      <c r="C59" s="121"/>
      <c r="D59" s="114">
        <f t="shared" si="3"/>
        <v>0.27272727272727271</v>
      </c>
      <c r="E59" s="115"/>
      <c r="F59" s="116" t="s">
        <v>187</v>
      </c>
      <c r="G59" s="117" t="s">
        <v>66</v>
      </c>
      <c r="H59" s="118">
        <f t="shared" si="2"/>
        <v>4</v>
      </c>
      <c r="I59" s="117">
        <f>IF([1]项目总工作量!B$6="交易类",H59*1.5/22,IF([1]项目总工作量!B$6="数据分析类",H59*1.5*0.9/22,IF([1]项目总工作量!B$6="流程管理类",H59*1.5*0.8/22,IF([1]项目总工作量!B$6="渠道类",H59*1.5*0.7/22,FALSE))))</f>
        <v>0.27272727272727271</v>
      </c>
      <c r="J59" s="117" t="s">
        <v>44</v>
      </c>
    </row>
    <row r="60" spans="1:10" s="119" customFormat="1" ht="14" x14ac:dyDescent="0.15">
      <c r="A60" s="120"/>
      <c r="B60" s="120"/>
      <c r="C60" s="121"/>
      <c r="D60" s="114">
        <f t="shared" si="3"/>
        <v>0.27272727272727271</v>
      </c>
      <c r="E60" s="115"/>
      <c r="F60" s="116" t="s">
        <v>188</v>
      </c>
      <c r="G60" s="117" t="s">
        <v>66</v>
      </c>
      <c r="H60" s="118">
        <f t="shared" si="2"/>
        <v>4</v>
      </c>
      <c r="I60" s="117">
        <f>IF([1]项目总工作量!B$6="交易类",H60*1.5/22,IF([1]项目总工作量!B$6="数据分析类",H60*1.5*0.9/22,IF([1]项目总工作量!B$6="流程管理类",H60*1.5*0.8/22,IF([1]项目总工作量!B$6="渠道类",H60*1.5*0.7/22,FALSE))))</f>
        <v>0.27272727272727271</v>
      </c>
      <c r="J60" s="117" t="s">
        <v>44</v>
      </c>
    </row>
    <row r="61" spans="1:10" s="119" customFormat="1" ht="14" x14ac:dyDescent="0.15">
      <c r="A61" s="120"/>
      <c r="B61" s="120"/>
      <c r="C61" s="121"/>
      <c r="D61" s="114">
        <f t="shared" si="3"/>
        <v>0.27272727272727271</v>
      </c>
      <c r="E61" s="115"/>
      <c r="F61" s="116" t="s">
        <v>189</v>
      </c>
      <c r="G61" s="117" t="s">
        <v>66</v>
      </c>
      <c r="H61" s="118">
        <f t="shared" si="2"/>
        <v>4</v>
      </c>
      <c r="I61" s="117">
        <f>IF([1]项目总工作量!B$6="交易类",H61*1.5/22,IF([1]项目总工作量!B$6="数据分析类",H61*1.5*0.9/22,IF([1]项目总工作量!B$6="流程管理类",H61*1.5*0.8/22,IF([1]项目总工作量!B$6="渠道类",H61*1.5*0.7/22,FALSE))))</f>
        <v>0.27272727272727271</v>
      </c>
      <c r="J61" s="117" t="s">
        <v>44</v>
      </c>
    </row>
    <row r="62" spans="1:10" s="119" customFormat="1" ht="14" x14ac:dyDescent="0.15">
      <c r="A62" s="120"/>
      <c r="B62" s="120"/>
      <c r="C62" s="121"/>
      <c r="D62" s="114">
        <f t="shared" si="3"/>
        <v>0.27272727272727271</v>
      </c>
      <c r="E62" s="115"/>
      <c r="F62" s="116" t="s">
        <v>190</v>
      </c>
      <c r="G62" s="117" t="s">
        <v>66</v>
      </c>
      <c r="H62" s="118">
        <f t="shared" si="2"/>
        <v>4</v>
      </c>
      <c r="I62" s="117">
        <f>IF([1]项目总工作量!B$6="交易类",H62*1.5/22,IF([1]项目总工作量!B$6="数据分析类",H62*1.5*0.9/22,IF([1]项目总工作量!B$6="流程管理类",H62*1.5*0.8/22,IF([1]项目总工作量!B$6="渠道类",H62*1.5*0.7/22,FALSE))))</f>
        <v>0.27272727272727271</v>
      </c>
      <c r="J62" s="117" t="s">
        <v>44</v>
      </c>
    </row>
    <row r="63" spans="1:10" s="119" customFormat="1" ht="14" x14ac:dyDescent="0.15">
      <c r="A63" s="120"/>
      <c r="B63" s="120"/>
      <c r="C63" s="121"/>
      <c r="D63" s="114">
        <f t="shared" si="3"/>
        <v>0.27272727272727271</v>
      </c>
      <c r="E63" s="115"/>
      <c r="F63" s="116" t="s">
        <v>191</v>
      </c>
      <c r="G63" s="117" t="s">
        <v>66</v>
      </c>
      <c r="H63" s="118">
        <f t="shared" si="2"/>
        <v>4</v>
      </c>
      <c r="I63" s="117">
        <f>IF([1]项目总工作量!B$6="交易类",H63*1.5/22,IF([1]项目总工作量!B$6="数据分析类",H63*1.5*0.9/22,IF([1]项目总工作量!B$6="流程管理类",H63*1.5*0.8/22,IF([1]项目总工作量!B$6="渠道类",H63*1.5*0.7/22,FALSE))))</f>
        <v>0.27272727272727271</v>
      </c>
      <c r="J63" s="117" t="s">
        <v>44</v>
      </c>
    </row>
    <row r="64" spans="1:10" s="119" customFormat="1" ht="14" x14ac:dyDescent="0.15">
      <c r="A64" s="120"/>
      <c r="B64" s="120"/>
      <c r="C64" s="121" t="s">
        <v>497</v>
      </c>
      <c r="D64" s="114">
        <f t="shared" si="3"/>
        <v>0.27272727272727271</v>
      </c>
      <c r="E64" s="115"/>
      <c r="F64" s="116" t="s">
        <v>192</v>
      </c>
      <c r="G64" s="117" t="s">
        <v>66</v>
      </c>
      <c r="H64" s="118">
        <f t="shared" si="2"/>
        <v>4</v>
      </c>
      <c r="I64" s="117">
        <f>IF([1]项目总工作量!B$6="交易类",H64*1.5/22,IF([1]项目总工作量!B$6="数据分析类",H64*1.5*0.9/22,IF([1]项目总工作量!B$6="流程管理类",H64*1.5*0.8/22,IF([1]项目总工作量!B$6="渠道类",H64*1.5*0.7/22,FALSE))))</f>
        <v>0.27272727272727271</v>
      </c>
      <c r="J64" s="117" t="s">
        <v>44</v>
      </c>
    </row>
    <row r="65" spans="1:10" s="119" customFormat="1" ht="14" x14ac:dyDescent="0.15">
      <c r="A65" s="120"/>
      <c r="B65" s="120"/>
      <c r="C65" s="121"/>
      <c r="D65" s="114">
        <f t="shared" si="3"/>
        <v>0.27272727272727271</v>
      </c>
      <c r="E65" s="115"/>
      <c r="F65" s="116" t="s">
        <v>193</v>
      </c>
      <c r="G65" s="117" t="s">
        <v>66</v>
      </c>
      <c r="H65" s="118">
        <f t="shared" si="2"/>
        <v>4</v>
      </c>
      <c r="I65" s="117">
        <f>IF([1]项目总工作量!B$6="交易类",H65*1.5/22,IF([1]项目总工作量!B$6="数据分析类",H65*1.5*0.9/22,IF([1]项目总工作量!B$6="流程管理类",H65*1.5*0.8/22,IF([1]项目总工作量!B$6="渠道类",H65*1.5*0.7/22,FALSE))))</f>
        <v>0.27272727272727271</v>
      </c>
      <c r="J65" s="117" t="s">
        <v>44</v>
      </c>
    </row>
    <row r="66" spans="1:10" s="119" customFormat="1" ht="14" x14ac:dyDescent="0.15">
      <c r="A66" s="120"/>
      <c r="B66" s="120"/>
      <c r="C66" s="121"/>
      <c r="D66" s="114">
        <f t="shared" si="3"/>
        <v>0.27272727272727271</v>
      </c>
      <c r="E66" s="115"/>
      <c r="F66" s="116" t="s">
        <v>194</v>
      </c>
      <c r="G66" s="117" t="s">
        <v>66</v>
      </c>
      <c r="H66" s="118">
        <f t="shared" si="2"/>
        <v>4</v>
      </c>
      <c r="I66" s="117">
        <f>IF([1]项目总工作量!B$6="交易类",H66*1.5/22,IF([1]项目总工作量!B$6="数据分析类",H66*1.5*0.9/22,IF([1]项目总工作量!B$6="流程管理类",H66*1.5*0.8/22,IF([1]项目总工作量!B$6="渠道类",H66*1.5*0.7/22,FALSE))))</f>
        <v>0.27272727272727271</v>
      </c>
      <c r="J66" s="117" t="s">
        <v>44</v>
      </c>
    </row>
    <row r="67" spans="1:10" s="119" customFormat="1" ht="14" x14ac:dyDescent="0.15">
      <c r="A67" s="120"/>
      <c r="B67" s="120"/>
      <c r="C67" s="121"/>
      <c r="D67" s="114">
        <f t="shared" si="3"/>
        <v>0.27272727272727271</v>
      </c>
      <c r="E67" s="115"/>
      <c r="F67" s="116" t="s">
        <v>195</v>
      </c>
      <c r="G67" s="117" t="s">
        <v>66</v>
      </c>
      <c r="H67" s="118">
        <f t="shared" si="2"/>
        <v>4</v>
      </c>
      <c r="I67" s="117">
        <f>IF([1]项目总工作量!B$6="交易类",H67*1.5/22,IF([1]项目总工作量!B$6="数据分析类",H67*1.5*0.9/22,IF([1]项目总工作量!B$6="流程管理类",H67*1.5*0.8/22,IF([1]项目总工作量!B$6="渠道类",H67*1.5*0.7/22,FALSE))))</f>
        <v>0.27272727272727271</v>
      </c>
      <c r="J67" s="117" t="s">
        <v>44</v>
      </c>
    </row>
    <row r="68" spans="1:10" s="119" customFormat="1" ht="14" x14ac:dyDescent="0.15">
      <c r="A68" s="120"/>
      <c r="B68" s="120"/>
      <c r="C68" s="121"/>
      <c r="D68" s="114">
        <f t="shared" si="3"/>
        <v>0.27272727272727271</v>
      </c>
      <c r="E68" s="115"/>
      <c r="F68" s="116" t="s">
        <v>196</v>
      </c>
      <c r="G68" s="117" t="s">
        <v>66</v>
      </c>
      <c r="H68" s="118">
        <f t="shared" ref="H68:H99" si="4">IF(G68="EI",4,IF(G68="EO",5,IF(G68="EQ",4,0)))</f>
        <v>4</v>
      </c>
      <c r="I68" s="117">
        <f>IF([1]项目总工作量!B$6="交易类",H68*1.5/22,IF([1]项目总工作量!B$6="数据分析类",H68*1.5*0.9/22,IF([1]项目总工作量!B$6="流程管理类",H68*1.5*0.8/22,IF([1]项目总工作量!B$6="渠道类",H68*1.5*0.7/22,FALSE))))</f>
        <v>0.27272727272727271</v>
      </c>
      <c r="J68" s="117" t="s">
        <v>44</v>
      </c>
    </row>
    <row r="69" spans="1:10" s="119" customFormat="1" ht="14" x14ac:dyDescent="0.15">
      <c r="A69" s="120"/>
      <c r="B69" s="120"/>
      <c r="C69" s="121"/>
      <c r="D69" s="114">
        <f t="shared" si="3"/>
        <v>0.27272727272727271</v>
      </c>
      <c r="E69" s="115"/>
      <c r="F69" s="116" t="s">
        <v>197</v>
      </c>
      <c r="G69" s="117" t="s">
        <v>66</v>
      </c>
      <c r="H69" s="118">
        <f t="shared" si="4"/>
        <v>4</v>
      </c>
      <c r="I69" s="117">
        <f>IF([1]项目总工作量!B$6="交易类",H69*1.5/22,IF([1]项目总工作量!B$6="数据分析类",H69*1.5*0.9/22,IF([1]项目总工作量!B$6="流程管理类",H69*1.5*0.8/22,IF([1]项目总工作量!B$6="渠道类",H69*1.5*0.7/22,FALSE))))</f>
        <v>0.27272727272727271</v>
      </c>
      <c r="J69" s="117" t="s">
        <v>44</v>
      </c>
    </row>
    <row r="70" spans="1:10" s="119" customFormat="1" ht="14" x14ac:dyDescent="0.15">
      <c r="A70" s="120"/>
      <c r="B70" s="120"/>
      <c r="C70" s="121"/>
      <c r="D70" s="114">
        <f t="shared" si="3"/>
        <v>0.27272727272727271</v>
      </c>
      <c r="E70" s="115"/>
      <c r="F70" s="116" t="s">
        <v>198</v>
      </c>
      <c r="G70" s="117" t="s">
        <v>66</v>
      </c>
      <c r="H70" s="118">
        <f t="shared" si="4"/>
        <v>4</v>
      </c>
      <c r="I70" s="117">
        <f>IF([1]项目总工作量!B$6="交易类",H70*1.5/22,IF([1]项目总工作量!B$6="数据分析类",H70*1.5*0.9/22,IF([1]项目总工作量!B$6="流程管理类",H70*1.5*0.8/22,IF([1]项目总工作量!B$6="渠道类",H70*1.5*0.7/22,FALSE))))</f>
        <v>0.27272727272727271</v>
      </c>
      <c r="J70" s="117" t="s">
        <v>44</v>
      </c>
    </row>
    <row r="71" spans="1:10" s="119" customFormat="1" ht="14" x14ac:dyDescent="0.15">
      <c r="A71" s="120"/>
      <c r="B71" s="120"/>
      <c r="C71" s="121"/>
      <c r="D71" s="114">
        <f t="shared" si="3"/>
        <v>0.27272727272727271</v>
      </c>
      <c r="E71" s="115"/>
      <c r="F71" s="116" t="s">
        <v>199</v>
      </c>
      <c r="G71" s="117" t="s">
        <v>66</v>
      </c>
      <c r="H71" s="118">
        <f t="shared" si="4"/>
        <v>4</v>
      </c>
      <c r="I71" s="117">
        <f>IF([1]项目总工作量!B$6="交易类",H71*1.5/22,IF([1]项目总工作量!B$6="数据分析类",H71*1.5*0.9/22,IF([1]项目总工作量!B$6="流程管理类",H71*1.5*0.8/22,IF([1]项目总工作量!B$6="渠道类",H71*1.5*0.7/22,FALSE))))</f>
        <v>0.27272727272727271</v>
      </c>
      <c r="J71" s="117" t="s">
        <v>44</v>
      </c>
    </row>
    <row r="72" spans="1:10" s="119" customFormat="1" ht="14" x14ac:dyDescent="0.15">
      <c r="A72" s="120"/>
      <c r="B72" s="120"/>
      <c r="C72" s="121"/>
      <c r="D72" s="114">
        <f t="shared" si="3"/>
        <v>0.27272727272727271</v>
      </c>
      <c r="E72" s="115"/>
      <c r="F72" s="116" t="s">
        <v>200</v>
      </c>
      <c r="G72" s="117" t="s">
        <v>66</v>
      </c>
      <c r="H72" s="118">
        <f t="shared" si="4"/>
        <v>4</v>
      </c>
      <c r="I72" s="117">
        <f>IF([1]项目总工作量!B$6="交易类",H72*1.5/22,IF([1]项目总工作量!B$6="数据分析类",H72*1.5*0.9/22,IF([1]项目总工作量!B$6="流程管理类",H72*1.5*0.8/22,IF([1]项目总工作量!B$6="渠道类",H72*1.5*0.7/22,FALSE))))</f>
        <v>0.27272727272727271</v>
      </c>
      <c r="J72" s="117" t="s">
        <v>44</v>
      </c>
    </row>
    <row r="73" spans="1:10" s="119" customFormat="1" ht="14" x14ac:dyDescent="0.15">
      <c r="A73" s="120"/>
      <c r="B73" s="120"/>
      <c r="C73" s="121"/>
      <c r="D73" s="114">
        <f t="shared" si="3"/>
        <v>0.27272727272727271</v>
      </c>
      <c r="E73" s="115"/>
      <c r="F73" s="116" t="s">
        <v>201</v>
      </c>
      <c r="G73" s="117" t="s">
        <v>66</v>
      </c>
      <c r="H73" s="118">
        <f t="shared" si="4"/>
        <v>4</v>
      </c>
      <c r="I73" s="117">
        <f>IF([1]项目总工作量!B$6="交易类",H73*1.5/22,IF([1]项目总工作量!B$6="数据分析类",H73*1.5*0.9/22,IF([1]项目总工作量!B$6="流程管理类",H73*1.5*0.8/22,IF([1]项目总工作量!B$6="渠道类",H73*1.5*0.7/22,FALSE))))</f>
        <v>0.27272727272727271</v>
      </c>
      <c r="J73" s="117" t="s">
        <v>44</v>
      </c>
    </row>
    <row r="74" spans="1:10" s="119" customFormat="1" ht="14" x14ac:dyDescent="0.15">
      <c r="A74" s="120"/>
      <c r="B74" s="120"/>
      <c r="C74" s="121"/>
      <c r="D74" s="114">
        <f t="shared" si="3"/>
        <v>0.27272727272727271</v>
      </c>
      <c r="E74" s="115"/>
      <c r="F74" s="116" t="s">
        <v>202</v>
      </c>
      <c r="G74" s="117" t="s">
        <v>66</v>
      </c>
      <c r="H74" s="118">
        <f t="shared" si="4"/>
        <v>4</v>
      </c>
      <c r="I74" s="117">
        <f>IF([1]项目总工作量!B$6="交易类",H74*1.5/22,IF([1]项目总工作量!B$6="数据分析类",H74*1.5*0.9/22,IF([1]项目总工作量!B$6="流程管理类",H74*1.5*0.8/22,IF([1]项目总工作量!B$6="渠道类",H74*1.5*0.7/22,FALSE))))</f>
        <v>0.27272727272727271</v>
      </c>
      <c r="J74" s="117" t="s">
        <v>44</v>
      </c>
    </row>
    <row r="75" spans="1:10" s="119" customFormat="1" ht="14" x14ac:dyDescent="0.15">
      <c r="A75" s="120"/>
      <c r="B75" s="120"/>
      <c r="C75" s="121"/>
      <c r="D75" s="114">
        <f t="shared" si="3"/>
        <v>0.27272727272727271</v>
      </c>
      <c r="E75" s="115"/>
      <c r="F75" s="116" t="s">
        <v>203</v>
      </c>
      <c r="G75" s="117" t="s">
        <v>66</v>
      </c>
      <c r="H75" s="118">
        <f t="shared" si="4"/>
        <v>4</v>
      </c>
      <c r="I75" s="117">
        <f>IF([1]项目总工作量!B$6="交易类",H75*1.5/22,IF([1]项目总工作量!B$6="数据分析类",H75*1.5*0.9/22,IF([1]项目总工作量!B$6="流程管理类",H75*1.5*0.8/22,IF([1]项目总工作量!B$6="渠道类",H75*1.5*0.7/22,FALSE))))</f>
        <v>0.27272727272727271</v>
      </c>
      <c r="J75" s="117" t="s">
        <v>44</v>
      </c>
    </row>
    <row r="76" spans="1:10" s="119" customFormat="1" ht="14" x14ac:dyDescent="0.15">
      <c r="A76" s="120"/>
      <c r="B76" s="120"/>
      <c r="C76" s="121"/>
      <c r="D76" s="114">
        <f t="shared" si="3"/>
        <v>0.27272727272727271</v>
      </c>
      <c r="E76" s="115"/>
      <c r="F76" s="116" t="s">
        <v>204</v>
      </c>
      <c r="G76" s="117" t="s">
        <v>66</v>
      </c>
      <c r="H76" s="118">
        <f t="shared" si="4"/>
        <v>4</v>
      </c>
      <c r="I76" s="117">
        <f>IF([1]项目总工作量!B$6="交易类",H76*1.5/22,IF([1]项目总工作量!B$6="数据分析类",H76*1.5*0.9/22,IF([1]项目总工作量!B$6="流程管理类",H76*1.5*0.8/22,IF([1]项目总工作量!B$6="渠道类",H76*1.5*0.7/22,FALSE))))</f>
        <v>0.27272727272727271</v>
      </c>
      <c r="J76" s="117" t="s">
        <v>44</v>
      </c>
    </row>
    <row r="77" spans="1:10" s="119" customFormat="1" ht="14" x14ac:dyDescent="0.15">
      <c r="A77" s="120"/>
      <c r="B77" s="120"/>
      <c r="C77" s="121"/>
      <c r="D77" s="114">
        <f t="shared" si="3"/>
        <v>0.27272727272727271</v>
      </c>
      <c r="E77" s="115"/>
      <c r="F77" s="116" t="s">
        <v>205</v>
      </c>
      <c r="G77" s="117" t="s">
        <v>66</v>
      </c>
      <c r="H77" s="118">
        <f t="shared" si="4"/>
        <v>4</v>
      </c>
      <c r="I77" s="117">
        <f>IF([1]项目总工作量!B$6="交易类",H77*1.5/22,IF([1]项目总工作量!B$6="数据分析类",H77*1.5*0.9/22,IF([1]项目总工作量!B$6="流程管理类",H77*1.5*0.8/22,IF([1]项目总工作量!B$6="渠道类",H77*1.5*0.7/22,FALSE))))</f>
        <v>0.27272727272727271</v>
      </c>
      <c r="J77" s="117" t="s">
        <v>44</v>
      </c>
    </row>
    <row r="78" spans="1:10" s="119" customFormat="1" ht="14" x14ac:dyDescent="0.15">
      <c r="A78" s="120"/>
      <c r="B78" s="120"/>
      <c r="C78" s="121"/>
      <c r="D78" s="114">
        <f t="shared" si="3"/>
        <v>0.27272727272727271</v>
      </c>
      <c r="E78" s="115"/>
      <c r="F78" s="116" t="s">
        <v>206</v>
      </c>
      <c r="G78" s="117" t="s">
        <v>66</v>
      </c>
      <c r="H78" s="118">
        <f t="shared" si="4"/>
        <v>4</v>
      </c>
      <c r="I78" s="117">
        <f>IF([1]项目总工作量!B$6="交易类",H78*1.5/22,IF([1]项目总工作量!B$6="数据分析类",H78*1.5*0.9/22,IF([1]项目总工作量!B$6="流程管理类",H78*1.5*0.8/22,IF([1]项目总工作量!B$6="渠道类",H78*1.5*0.7/22,FALSE))))</f>
        <v>0.27272727272727271</v>
      </c>
      <c r="J78" s="117" t="s">
        <v>44</v>
      </c>
    </row>
    <row r="79" spans="1:10" s="119" customFormat="1" ht="14" x14ac:dyDescent="0.15">
      <c r="A79" s="120"/>
      <c r="B79" s="120"/>
      <c r="C79" s="121"/>
      <c r="D79" s="114">
        <f t="shared" si="3"/>
        <v>0.27272727272727271</v>
      </c>
      <c r="E79" s="115"/>
      <c r="F79" s="116" t="s">
        <v>207</v>
      </c>
      <c r="G79" s="117" t="s">
        <v>66</v>
      </c>
      <c r="H79" s="118">
        <f t="shared" si="4"/>
        <v>4</v>
      </c>
      <c r="I79" s="117">
        <f>IF([1]项目总工作量!B$6="交易类",H79*1.5/22,IF([1]项目总工作量!B$6="数据分析类",H79*1.5*0.9/22,IF([1]项目总工作量!B$6="流程管理类",H79*1.5*0.8/22,IF([1]项目总工作量!B$6="渠道类",H79*1.5*0.7/22,FALSE))))</f>
        <v>0.27272727272727271</v>
      </c>
      <c r="J79" s="117" t="s">
        <v>44</v>
      </c>
    </row>
    <row r="80" spans="1:10" s="119" customFormat="1" ht="14" x14ac:dyDescent="0.15">
      <c r="A80" s="120"/>
      <c r="B80" s="120"/>
      <c r="C80" s="121"/>
      <c r="D80" s="114">
        <f t="shared" si="3"/>
        <v>0.27272727272727271</v>
      </c>
      <c r="E80" s="115"/>
      <c r="F80" s="116" t="s">
        <v>208</v>
      </c>
      <c r="G80" s="117" t="s">
        <v>66</v>
      </c>
      <c r="H80" s="118">
        <f t="shared" si="4"/>
        <v>4</v>
      </c>
      <c r="I80" s="117">
        <f>IF([1]项目总工作量!B$6="交易类",H80*1.5/22,IF([1]项目总工作量!B$6="数据分析类",H80*1.5*0.9/22,IF([1]项目总工作量!B$6="流程管理类",H80*1.5*0.8/22,IF([1]项目总工作量!B$6="渠道类",H80*1.5*0.7/22,FALSE))))</f>
        <v>0.27272727272727271</v>
      </c>
      <c r="J80" s="117" t="s">
        <v>44</v>
      </c>
    </row>
    <row r="81" spans="1:10" s="119" customFormat="1" ht="14" x14ac:dyDescent="0.15">
      <c r="A81" s="120">
        <v>3</v>
      </c>
      <c r="B81" s="120" t="s">
        <v>74</v>
      </c>
      <c r="C81" s="121" t="s">
        <v>70</v>
      </c>
      <c r="D81" s="114">
        <f t="shared" si="3"/>
        <v>0.27272727272727271</v>
      </c>
      <c r="E81" s="115"/>
      <c r="F81" s="116" t="s">
        <v>72</v>
      </c>
      <c r="G81" s="117" t="s">
        <v>66</v>
      </c>
      <c r="H81" s="118">
        <f t="shared" si="4"/>
        <v>4</v>
      </c>
      <c r="I81" s="117">
        <f>IF(项目总工作量!B$6="交易类",H81*1.5/22,IF(项目总工作量!B$6="数据分析类",H81*1.5*0.9/22,IF(项目总工作量!B$6="流程管理类",H81*1.5*0.8/22,IF(项目总工作量!B$6="渠道类",H81*1.5*0.7/22,FALSE))))</f>
        <v>0.27272727272727271</v>
      </c>
      <c r="J81" s="117" t="s">
        <v>44</v>
      </c>
    </row>
    <row r="82" spans="1:10" s="119" customFormat="1" ht="14" x14ac:dyDescent="0.15">
      <c r="A82" s="120"/>
      <c r="B82" s="120"/>
      <c r="C82" s="121"/>
      <c r="D82" s="114">
        <f t="shared" si="3"/>
        <v>0.27272727272727271</v>
      </c>
      <c r="E82" s="115"/>
      <c r="F82" s="116" t="s">
        <v>71</v>
      </c>
      <c r="G82" s="117" t="s">
        <v>66</v>
      </c>
      <c r="H82" s="118">
        <f t="shared" si="4"/>
        <v>4</v>
      </c>
      <c r="I82" s="117">
        <f>IF(项目总工作量!B$6="交易类",H82*1.5/22,IF(项目总工作量!B$6="数据分析类",H82*1.5*0.9/22,IF(项目总工作量!B$6="流程管理类",H82*1.5*0.8/22,IF(项目总工作量!B$6="渠道类",H82*1.5*0.7/22,FALSE))))</f>
        <v>0.27272727272727271</v>
      </c>
      <c r="J82" s="117" t="s">
        <v>44</v>
      </c>
    </row>
    <row r="83" spans="1:10" s="119" customFormat="1" ht="14" x14ac:dyDescent="0.15">
      <c r="A83" s="120"/>
      <c r="B83" s="120"/>
      <c r="C83" s="121"/>
      <c r="D83" s="114">
        <f t="shared" si="3"/>
        <v>0.27272727272727271</v>
      </c>
      <c r="E83" s="115"/>
      <c r="F83" s="116" t="s">
        <v>73</v>
      </c>
      <c r="G83" s="117" t="s">
        <v>66</v>
      </c>
      <c r="H83" s="118">
        <f t="shared" si="4"/>
        <v>4</v>
      </c>
      <c r="I83" s="117">
        <f>IF(项目总工作量!B$6="交易类",H83*1.5/22,IF(项目总工作量!B$6="数据分析类",H83*1.5*0.9/22,IF(项目总工作量!B$6="流程管理类",H83*1.5*0.8/22,IF(项目总工作量!B$6="渠道类",H83*1.5*0.7/22,FALSE))))</f>
        <v>0.27272727272727271</v>
      </c>
      <c r="J83" s="117" t="s">
        <v>44</v>
      </c>
    </row>
    <row r="84" spans="1:10" s="119" customFormat="1" ht="14" x14ac:dyDescent="0.15">
      <c r="A84" s="120"/>
      <c r="B84" s="120"/>
      <c r="C84" s="121"/>
      <c r="D84" s="114">
        <f t="shared" si="3"/>
        <v>0.27272727272727271</v>
      </c>
      <c r="E84" s="115"/>
      <c r="F84" s="116" t="s">
        <v>77</v>
      </c>
      <c r="G84" s="117" t="s">
        <v>66</v>
      </c>
      <c r="H84" s="118">
        <f t="shared" si="4"/>
        <v>4</v>
      </c>
      <c r="I84" s="117">
        <f>IF(项目总工作量!B$6="交易类",H84*1.5/22,IF(项目总工作量!B$6="数据分析类",H84*1.5*0.9/22,IF(项目总工作量!B$6="流程管理类",H84*1.5*0.8/22,IF(项目总工作量!B$6="渠道类",H84*1.5*0.7/22,FALSE))))</f>
        <v>0.27272727272727271</v>
      </c>
      <c r="J84" s="117" t="s">
        <v>44</v>
      </c>
    </row>
    <row r="85" spans="1:10" s="119" customFormat="1" ht="14" x14ac:dyDescent="0.15">
      <c r="A85" s="120"/>
      <c r="B85" s="120"/>
      <c r="C85" s="121"/>
      <c r="D85" s="114">
        <f t="shared" si="3"/>
        <v>0.27272727272727271</v>
      </c>
      <c r="E85" s="115"/>
      <c r="F85" s="116" t="s">
        <v>75</v>
      </c>
      <c r="G85" s="117" t="s">
        <v>66</v>
      </c>
      <c r="H85" s="118">
        <f t="shared" si="4"/>
        <v>4</v>
      </c>
      <c r="I85" s="117">
        <f>IF(项目总工作量!B$6="交易类",H85*1.5/22,IF(项目总工作量!B$6="数据分析类",H85*1.5*0.9/22,IF(项目总工作量!B$6="流程管理类",H85*1.5*0.8/22,IF(项目总工作量!B$6="渠道类",H85*1.5*0.7/22,FALSE))))</f>
        <v>0.27272727272727271</v>
      </c>
      <c r="J85" s="117" t="s">
        <v>44</v>
      </c>
    </row>
    <row r="86" spans="1:10" s="119" customFormat="1" ht="14" x14ac:dyDescent="0.15">
      <c r="A86" s="120"/>
      <c r="B86" s="120"/>
      <c r="C86" s="121"/>
      <c r="D86" s="114">
        <f t="shared" si="3"/>
        <v>0.27272727272727271</v>
      </c>
      <c r="E86" s="115"/>
      <c r="F86" s="116" t="s">
        <v>80</v>
      </c>
      <c r="G86" s="117" t="s">
        <v>66</v>
      </c>
      <c r="H86" s="118">
        <f t="shared" si="4"/>
        <v>4</v>
      </c>
      <c r="I86" s="117">
        <f>IF(项目总工作量!B$6="交易类",H86*1.5/22,IF(项目总工作量!B$6="数据分析类",H86*1.5*0.9/22,IF(项目总工作量!B$6="流程管理类",H86*1.5*0.8/22,IF(项目总工作量!B$6="渠道类",H86*1.5*0.7/22,FALSE))))</f>
        <v>0.27272727272727271</v>
      </c>
      <c r="J86" s="117" t="s">
        <v>44</v>
      </c>
    </row>
    <row r="87" spans="1:10" s="119" customFormat="1" ht="14" x14ac:dyDescent="0.15">
      <c r="A87" s="120"/>
      <c r="B87" s="120"/>
      <c r="C87" s="121"/>
      <c r="D87" s="114">
        <f t="shared" si="3"/>
        <v>0.27272727272727271</v>
      </c>
      <c r="E87" s="115"/>
      <c r="F87" s="116" t="s">
        <v>76</v>
      </c>
      <c r="G87" s="117" t="s">
        <v>66</v>
      </c>
      <c r="H87" s="118">
        <f t="shared" si="4"/>
        <v>4</v>
      </c>
      <c r="I87" s="117">
        <f>IF(项目总工作量!B$6="交易类",H87*1.5/22,IF(项目总工作量!B$6="数据分析类",H87*1.5*0.9/22,IF(项目总工作量!B$6="流程管理类",H87*1.5*0.8/22,IF(项目总工作量!B$6="渠道类",H87*1.5*0.7/22,FALSE))))</f>
        <v>0.27272727272727271</v>
      </c>
      <c r="J87" s="117" t="s">
        <v>44</v>
      </c>
    </row>
    <row r="88" spans="1:10" s="119" customFormat="1" ht="12.5" customHeight="1" x14ac:dyDescent="0.15">
      <c r="A88" s="120"/>
      <c r="B88" s="120"/>
      <c r="C88" s="52" t="s">
        <v>83</v>
      </c>
      <c r="D88" s="114">
        <f t="shared" si="3"/>
        <v>0.27272727272727271</v>
      </c>
      <c r="E88" s="115"/>
      <c r="F88" s="116" t="s">
        <v>81</v>
      </c>
      <c r="G88" s="117" t="s">
        <v>66</v>
      </c>
      <c r="H88" s="118">
        <f t="shared" si="4"/>
        <v>4</v>
      </c>
      <c r="I88" s="117">
        <f>IF(项目总工作量!B$6="交易类",H88*1.5/22,IF(项目总工作量!B$6="数据分析类",H88*1.5*0.9/22,IF(项目总工作量!B$6="流程管理类",H88*1.5*0.8/22,IF(项目总工作量!B$6="渠道类",H88*1.5*0.7/22,FALSE))))</f>
        <v>0.27272727272727271</v>
      </c>
      <c r="J88" s="117" t="s">
        <v>44</v>
      </c>
    </row>
    <row r="89" spans="1:10" s="119" customFormat="1" ht="12.5" customHeight="1" x14ac:dyDescent="0.15">
      <c r="A89" s="120"/>
      <c r="B89" s="120"/>
      <c r="C89" s="52" t="s">
        <v>84</v>
      </c>
      <c r="D89" s="114">
        <f t="shared" si="3"/>
        <v>0.27272727272727271</v>
      </c>
      <c r="E89" s="115">
        <v>1</v>
      </c>
      <c r="F89" s="116" t="s">
        <v>85</v>
      </c>
      <c r="G89" s="117" t="s">
        <v>66</v>
      </c>
      <c r="H89" s="118">
        <f t="shared" si="4"/>
        <v>4</v>
      </c>
      <c r="I89" s="117">
        <f>IF(项目总工作量!B$6="交易类",H89*1.5/22,IF(项目总工作量!B$6="数据分析类",H89*1.5*0.9/22,IF(项目总工作量!B$6="流程管理类",H89*1.5*0.8/22,IF(项目总工作量!B$6="渠道类",H89*1.5*0.7/22,FALSE))))</f>
        <v>0.27272727272727271</v>
      </c>
      <c r="J89" s="117" t="s">
        <v>44</v>
      </c>
    </row>
    <row r="90" spans="1:10" s="119" customFormat="1" ht="14" x14ac:dyDescent="0.15">
      <c r="A90" s="120"/>
      <c r="B90" s="120"/>
      <c r="C90" s="52" t="s">
        <v>79</v>
      </c>
      <c r="D90" s="114">
        <f t="shared" si="3"/>
        <v>0.27272727272727271</v>
      </c>
      <c r="E90" s="115">
        <v>5</v>
      </c>
      <c r="F90" s="116" t="s">
        <v>87</v>
      </c>
      <c r="G90" s="117" t="s">
        <v>66</v>
      </c>
      <c r="H90" s="118">
        <f t="shared" si="4"/>
        <v>4</v>
      </c>
      <c r="I90" s="117">
        <f>IF(项目总工作量!B$6="交易类",H90*1.5/22,IF(项目总工作量!B$6="数据分析类",H90*1.5*0.9/22,IF(项目总工作量!B$6="流程管理类",H90*1.5*0.8/22,IF(项目总工作量!B$6="渠道类",H90*1.5*0.7/22,FALSE))))</f>
        <v>0.27272727272727271</v>
      </c>
      <c r="J90" s="117" t="s">
        <v>44</v>
      </c>
    </row>
    <row r="91" spans="1:10" s="119" customFormat="1" ht="14" x14ac:dyDescent="0.15">
      <c r="A91" s="120"/>
      <c r="B91" s="120"/>
      <c r="C91" s="121" t="s">
        <v>78</v>
      </c>
      <c r="D91" s="114">
        <f t="shared" si="3"/>
        <v>0.27272727272727271</v>
      </c>
      <c r="E91" s="115">
        <v>2</v>
      </c>
      <c r="F91" s="116" t="s">
        <v>88</v>
      </c>
      <c r="G91" s="117" t="s">
        <v>66</v>
      </c>
      <c r="H91" s="118">
        <f t="shared" si="4"/>
        <v>4</v>
      </c>
      <c r="I91" s="117">
        <f>IF(项目总工作量!B$6="交易类",H91*1.5/22,IF(项目总工作量!B$6="数据分析类",H91*1.5*0.9/22,IF(项目总工作量!B$6="流程管理类",H91*1.5*0.8/22,IF(项目总工作量!B$6="渠道类",H91*1.5*0.7/22,FALSE))))</f>
        <v>0.27272727272727271</v>
      </c>
      <c r="J91" s="117" t="s">
        <v>44</v>
      </c>
    </row>
    <row r="92" spans="1:10" s="119" customFormat="1" ht="14" x14ac:dyDescent="0.15">
      <c r="A92" s="120"/>
      <c r="B92" s="120"/>
      <c r="C92" s="121"/>
      <c r="D92" s="114">
        <f t="shared" si="3"/>
        <v>0.27272727272727271</v>
      </c>
      <c r="E92" s="115"/>
      <c r="F92" s="116" t="s">
        <v>89</v>
      </c>
      <c r="G92" s="117" t="s">
        <v>66</v>
      </c>
      <c r="H92" s="118">
        <f t="shared" ref="H92:H113" si="5">IF(G92="EI",4,IF(G92="EO",5,IF(G92="EQ",4,0)))</f>
        <v>4</v>
      </c>
      <c r="I92" s="117">
        <f>IF(项目总工作量!B$6="交易类",H92*1.5/22,IF(项目总工作量!B$6="数据分析类",H92*1.5*0.9/22,IF(项目总工作量!B$6="流程管理类",H92*1.5*0.8/22,IF(项目总工作量!B$6="渠道类",H92*1.5*0.7/22,FALSE))))</f>
        <v>0.27272727272727271</v>
      </c>
      <c r="J92" s="117" t="s">
        <v>44</v>
      </c>
    </row>
    <row r="93" spans="1:10" s="119" customFormat="1" ht="14" x14ac:dyDescent="0.15">
      <c r="A93" s="120"/>
      <c r="B93" s="120"/>
      <c r="C93" s="122" t="s">
        <v>82</v>
      </c>
      <c r="D93" s="114">
        <f t="shared" si="3"/>
        <v>0.27272727272727271</v>
      </c>
      <c r="E93" s="115"/>
      <c r="F93" s="116" t="s">
        <v>90</v>
      </c>
      <c r="G93" s="117" t="s">
        <v>66</v>
      </c>
      <c r="H93" s="118">
        <f t="shared" si="5"/>
        <v>4</v>
      </c>
      <c r="I93" s="117">
        <f>IF(项目总工作量!B$6="交易类",H93*1.5/22,IF(项目总工作量!B$6="数据分析类",H93*1.5*0.9/22,IF(项目总工作量!B$6="流程管理类",H93*1.5*0.8/22,IF(项目总工作量!B$6="渠道类",H93*1.5*0.7/22,FALSE))))</f>
        <v>0.27272727272727271</v>
      </c>
      <c r="J93" s="117" t="s">
        <v>44</v>
      </c>
    </row>
    <row r="94" spans="1:10" s="119" customFormat="1" ht="14" x14ac:dyDescent="0.15">
      <c r="A94" s="120"/>
      <c r="B94" s="120"/>
      <c r="C94" s="122"/>
      <c r="D94" s="114">
        <f t="shared" si="3"/>
        <v>0.27272727272727271</v>
      </c>
      <c r="E94" s="115"/>
      <c r="F94" s="116" t="s">
        <v>93</v>
      </c>
      <c r="G94" s="117" t="s">
        <v>66</v>
      </c>
      <c r="H94" s="118">
        <f t="shared" si="5"/>
        <v>4</v>
      </c>
      <c r="I94" s="117">
        <f>IF(项目总工作量!B$6="交易类",H94*1.5/22,IF(项目总工作量!B$6="数据分析类",H94*1.5*0.9/22,IF(项目总工作量!B$6="流程管理类",H94*1.5*0.8/22,IF(项目总工作量!B$6="渠道类",H94*1.5*0.7/22,FALSE))))</f>
        <v>0.27272727272727271</v>
      </c>
      <c r="J94" s="117" t="s">
        <v>44</v>
      </c>
    </row>
    <row r="95" spans="1:10" s="119" customFormat="1" ht="14" x14ac:dyDescent="0.15">
      <c r="A95" s="120"/>
      <c r="B95" s="120"/>
      <c r="C95" s="122"/>
      <c r="D95" s="114">
        <f t="shared" si="3"/>
        <v>0.27272727272727271</v>
      </c>
      <c r="E95" s="115"/>
      <c r="F95" s="116" t="s">
        <v>114</v>
      </c>
      <c r="G95" s="117" t="s">
        <v>66</v>
      </c>
      <c r="H95" s="118">
        <f t="shared" si="5"/>
        <v>4</v>
      </c>
      <c r="I95" s="117">
        <f>IF(项目总工作量!B$6="交易类",H95*1.5/22,IF(项目总工作量!B$6="数据分析类",H95*1.5*0.9/22,IF(项目总工作量!B$6="流程管理类",H95*1.5*0.8/22,IF(项目总工作量!B$6="渠道类",H95*1.5*0.7/22,FALSE))))</f>
        <v>0.27272727272727271</v>
      </c>
      <c r="J95" s="117" t="s">
        <v>44</v>
      </c>
    </row>
    <row r="96" spans="1:10" s="119" customFormat="1" ht="14" x14ac:dyDescent="0.15">
      <c r="A96" s="120"/>
      <c r="B96" s="120"/>
      <c r="C96" s="122"/>
      <c r="D96" s="114">
        <f t="shared" si="3"/>
        <v>0.27272727272727271</v>
      </c>
      <c r="E96" s="115"/>
      <c r="F96" s="116" t="s">
        <v>115</v>
      </c>
      <c r="G96" s="117" t="s">
        <v>66</v>
      </c>
      <c r="H96" s="118">
        <f t="shared" si="5"/>
        <v>4</v>
      </c>
      <c r="I96" s="117">
        <f>IF(项目总工作量!B$6="交易类",H96*1.5/22,IF(项目总工作量!B$6="数据分析类",H96*1.5*0.9/22,IF(项目总工作量!B$6="流程管理类",H96*1.5*0.8/22,IF(项目总工作量!B$6="渠道类",H96*1.5*0.7/22,FALSE))))</f>
        <v>0.27272727272727271</v>
      </c>
      <c r="J96" s="117" t="s">
        <v>44</v>
      </c>
    </row>
    <row r="97" spans="1:10" s="119" customFormat="1" ht="14" x14ac:dyDescent="0.15">
      <c r="A97" s="120"/>
      <c r="B97" s="120"/>
      <c r="C97" s="122"/>
      <c r="D97" s="114">
        <f t="shared" si="3"/>
        <v>0.27272727272727271</v>
      </c>
      <c r="E97" s="115"/>
      <c r="F97" s="116" t="s">
        <v>116</v>
      </c>
      <c r="G97" s="117" t="s">
        <v>66</v>
      </c>
      <c r="H97" s="118">
        <f t="shared" si="5"/>
        <v>4</v>
      </c>
      <c r="I97" s="117">
        <f>IF(项目总工作量!B$6="交易类",H97*1.5/22,IF(项目总工作量!B$6="数据分析类",H97*1.5*0.9/22,IF(项目总工作量!B$6="流程管理类",H97*1.5*0.8/22,IF(项目总工作量!B$6="渠道类",H97*1.5*0.7/22,FALSE))))</f>
        <v>0.27272727272727271</v>
      </c>
      <c r="J97" s="117" t="s">
        <v>44</v>
      </c>
    </row>
    <row r="98" spans="1:10" s="119" customFormat="1" ht="14" x14ac:dyDescent="0.15">
      <c r="A98" s="120"/>
      <c r="B98" s="120"/>
      <c r="C98" s="122"/>
      <c r="D98" s="114">
        <f t="shared" si="3"/>
        <v>0.27272727272727271</v>
      </c>
      <c r="E98" s="115"/>
      <c r="F98" s="116" t="s">
        <v>117</v>
      </c>
      <c r="G98" s="117" t="s">
        <v>66</v>
      </c>
      <c r="H98" s="118">
        <f t="shared" si="5"/>
        <v>4</v>
      </c>
      <c r="I98" s="117">
        <f>IF(项目总工作量!B$6="交易类",H98*1.5/22,IF(项目总工作量!B$6="数据分析类",H98*1.5*0.9/22,IF(项目总工作量!B$6="流程管理类",H98*1.5*0.8/22,IF(项目总工作量!B$6="渠道类",H98*1.5*0.7/22,FALSE))))</f>
        <v>0.27272727272727271</v>
      </c>
      <c r="J98" s="117" t="s">
        <v>44</v>
      </c>
    </row>
    <row r="99" spans="1:10" s="119" customFormat="1" ht="14" x14ac:dyDescent="0.15">
      <c r="A99" s="120"/>
      <c r="B99" s="120"/>
      <c r="C99" s="122"/>
      <c r="D99" s="114">
        <f t="shared" si="3"/>
        <v>0.27272727272727271</v>
      </c>
      <c r="E99" s="115"/>
      <c r="F99" s="116" t="s">
        <v>118</v>
      </c>
      <c r="G99" s="117" t="s">
        <v>66</v>
      </c>
      <c r="H99" s="118">
        <f t="shared" si="5"/>
        <v>4</v>
      </c>
      <c r="I99" s="117">
        <f>IF(项目总工作量!B$6="交易类",H99*1.5/22,IF(项目总工作量!B$6="数据分析类",H99*1.5*0.9/22,IF(项目总工作量!B$6="流程管理类",H99*1.5*0.8/22,IF(项目总工作量!B$6="渠道类",H99*1.5*0.7/22,FALSE))))</f>
        <v>0.27272727272727271</v>
      </c>
      <c r="J99" s="117" t="s">
        <v>44</v>
      </c>
    </row>
    <row r="100" spans="1:10" s="119" customFormat="1" ht="14" x14ac:dyDescent="0.15">
      <c r="A100" s="120"/>
      <c r="B100" s="120"/>
      <c r="C100" s="122"/>
      <c r="D100" s="114">
        <f t="shared" si="3"/>
        <v>0.27272727272727271</v>
      </c>
      <c r="E100" s="115"/>
      <c r="F100" s="116" t="s">
        <v>119</v>
      </c>
      <c r="G100" s="117" t="s">
        <v>66</v>
      </c>
      <c r="H100" s="118">
        <f t="shared" si="5"/>
        <v>4</v>
      </c>
      <c r="I100" s="117">
        <f>IF(项目总工作量!B$6="交易类",H100*1.5/22,IF(项目总工作量!B$6="数据分析类",H100*1.5*0.9/22,IF(项目总工作量!B$6="流程管理类",H100*1.5*0.8/22,IF(项目总工作量!B$6="渠道类",H100*1.5*0.7/22,FALSE))))</f>
        <v>0.27272727272727271</v>
      </c>
      <c r="J100" s="117" t="s">
        <v>44</v>
      </c>
    </row>
    <row r="101" spans="1:10" s="119" customFormat="1" ht="14" x14ac:dyDescent="0.15">
      <c r="A101" s="120"/>
      <c r="B101" s="120"/>
      <c r="C101" s="122"/>
      <c r="D101" s="114">
        <f t="shared" ref="D101:D164" si="6">I101</f>
        <v>0.27272727272727271</v>
      </c>
      <c r="E101" s="115"/>
      <c r="F101" s="116" t="s">
        <v>97</v>
      </c>
      <c r="G101" s="117" t="s">
        <v>66</v>
      </c>
      <c r="H101" s="118">
        <f t="shared" si="5"/>
        <v>4</v>
      </c>
      <c r="I101" s="117">
        <f>IF(项目总工作量!B$6="交易类",H101*1.5/22,IF(项目总工作量!B$6="数据分析类",H101*1.5*0.9/22,IF(项目总工作量!B$6="流程管理类",H101*1.5*0.8/22,IF(项目总工作量!B$6="渠道类",H101*1.5*0.7/22,FALSE))))</f>
        <v>0.27272727272727271</v>
      </c>
      <c r="J101" s="117" t="s">
        <v>44</v>
      </c>
    </row>
    <row r="102" spans="1:10" s="119" customFormat="1" ht="14" x14ac:dyDescent="0.15">
      <c r="A102" s="120"/>
      <c r="B102" s="120"/>
      <c r="C102" s="122"/>
      <c r="D102" s="114">
        <f t="shared" si="6"/>
        <v>0.27272727272727271</v>
      </c>
      <c r="E102" s="115"/>
      <c r="F102" s="116" t="s">
        <v>94</v>
      </c>
      <c r="G102" s="117" t="s">
        <v>66</v>
      </c>
      <c r="H102" s="118">
        <f t="shared" si="5"/>
        <v>4</v>
      </c>
      <c r="I102" s="117">
        <f>IF(项目总工作量!B$6="交易类",H102*1.5/22,IF(项目总工作量!B$6="数据分析类",H102*1.5*0.9/22,IF(项目总工作量!B$6="流程管理类",H102*1.5*0.8/22,IF(项目总工作量!B$6="渠道类",H102*1.5*0.7/22,FALSE))))</f>
        <v>0.27272727272727271</v>
      </c>
      <c r="J102" s="117" t="s">
        <v>44</v>
      </c>
    </row>
    <row r="103" spans="1:10" s="119" customFormat="1" ht="14" x14ac:dyDescent="0.15">
      <c r="A103" s="120"/>
      <c r="B103" s="120"/>
      <c r="C103" s="122"/>
      <c r="D103" s="114">
        <f t="shared" si="6"/>
        <v>0.27272727272727271</v>
      </c>
      <c r="E103" s="115"/>
      <c r="F103" s="116" t="s">
        <v>120</v>
      </c>
      <c r="G103" s="117" t="s">
        <v>66</v>
      </c>
      <c r="H103" s="118">
        <f>IF(G103="EI",4,IF(G103="EO",5,IF(G103="EQ",4,0)))</f>
        <v>4</v>
      </c>
      <c r="I103" s="117">
        <f>IF(项目总工作量!B$6="交易类",H103*1.5/22,IF(项目总工作量!B$6="数据分析类",H103*1.5*0.9/22,IF(项目总工作量!B$6="流程管理类",H103*1.5*0.8/22,IF(项目总工作量!B$6="渠道类",H103*1.5*0.7/22,FALSE))))</f>
        <v>0.27272727272727271</v>
      </c>
      <c r="J103" s="117" t="s">
        <v>44</v>
      </c>
    </row>
    <row r="104" spans="1:10" s="119" customFormat="1" ht="14" x14ac:dyDescent="0.15">
      <c r="A104" s="120"/>
      <c r="B104" s="120"/>
      <c r="C104" s="122"/>
      <c r="D104" s="114">
        <f t="shared" si="6"/>
        <v>0.27272727272727271</v>
      </c>
      <c r="E104" s="115"/>
      <c r="F104" s="116" t="s">
        <v>121</v>
      </c>
      <c r="G104" s="117" t="s">
        <v>66</v>
      </c>
      <c r="H104" s="118">
        <f t="shared" si="5"/>
        <v>4</v>
      </c>
      <c r="I104" s="117">
        <f>IF(项目总工作量!B$6="交易类",H104*1.5/22,IF(项目总工作量!B$6="数据分析类",H104*1.5*0.9/22,IF(项目总工作量!B$6="流程管理类",H104*1.5*0.8/22,IF(项目总工作量!B$6="渠道类",H104*1.5*0.7/22,FALSE))))</f>
        <v>0.27272727272727271</v>
      </c>
      <c r="J104" s="117" t="s">
        <v>44</v>
      </c>
    </row>
    <row r="105" spans="1:10" s="119" customFormat="1" ht="14" x14ac:dyDescent="0.15">
      <c r="A105" s="120"/>
      <c r="B105" s="120"/>
      <c r="C105" s="122"/>
      <c r="D105" s="114">
        <f t="shared" si="6"/>
        <v>0.27272727272727271</v>
      </c>
      <c r="E105" s="115"/>
      <c r="F105" s="116" t="s">
        <v>95</v>
      </c>
      <c r="G105" s="117" t="s">
        <v>66</v>
      </c>
      <c r="H105" s="118">
        <f t="shared" si="5"/>
        <v>4</v>
      </c>
      <c r="I105" s="117">
        <f>IF(项目总工作量!B$6="交易类",H105*1.5/22,IF(项目总工作量!B$6="数据分析类",H105*1.5*0.9/22,IF(项目总工作量!B$6="流程管理类",H105*1.5*0.8/22,IF(项目总工作量!B$6="渠道类",H105*1.5*0.7/22,FALSE))))</f>
        <v>0.27272727272727271</v>
      </c>
      <c r="J105" s="117" t="s">
        <v>44</v>
      </c>
    </row>
    <row r="106" spans="1:10" s="119" customFormat="1" ht="14" x14ac:dyDescent="0.15">
      <c r="A106" s="120"/>
      <c r="B106" s="120"/>
      <c r="C106" s="122"/>
      <c r="D106" s="114">
        <f t="shared" si="6"/>
        <v>0.27272727272727271</v>
      </c>
      <c r="E106" s="115"/>
      <c r="F106" s="116" t="s">
        <v>96</v>
      </c>
      <c r="G106" s="117" t="s">
        <v>66</v>
      </c>
      <c r="H106" s="118">
        <f t="shared" si="5"/>
        <v>4</v>
      </c>
      <c r="I106" s="117">
        <f>IF(项目总工作量!B$6="交易类",H106*1.5/22,IF(项目总工作量!B$6="数据分析类",H106*1.5*0.9/22,IF(项目总工作量!B$6="流程管理类",H106*1.5*0.8/22,IF(项目总工作量!B$6="渠道类",H106*1.5*0.7/22,FALSE))))</f>
        <v>0.27272727272727271</v>
      </c>
      <c r="J106" s="117" t="s">
        <v>44</v>
      </c>
    </row>
    <row r="107" spans="1:10" s="119" customFormat="1" ht="14" x14ac:dyDescent="0.15">
      <c r="A107" s="120"/>
      <c r="B107" s="120"/>
      <c r="C107" s="122"/>
      <c r="D107" s="114">
        <f t="shared" si="6"/>
        <v>0.27272727272727271</v>
      </c>
      <c r="E107" s="115">
        <v>1</v>
      </c>
      <c r="F107" s="116" t="s">
        <v>86</v>
      </c>
      <c r="G107" s="117" t="s">
        <v>66</v>
      </c>
      <c r="H107" s="118">
        <f t="shared" si="5"/>
        <v>4</v>
      </c>
      <c r="I107" s="117">
        <f>IF(项目总工作量!B$6="交易类",H107*1.5/22,IF(项目总工作量!B$6="数据分析类",H107*1.5*0.9/22,IF(项目总工作量!B$6="流程管理类",H107*1.5*0.8/22,IF(项目总工作量!B$6="渠道类",H107*1.5*0.7/22,FALSE))))</f>
        <v>0.27272727272727271</v>
      </c>
      <c r="J107" s="117" t="s">
        <v>44</v>
      </c>
    </row>
    <row r="108" spans="1:10" s="119" customFormat="1" ht="14" x14ac:dyDescent="0.15">
      <c r="A108" s="120"/>
      <c r="B108" s="120"/>
      <c r="C108" s="122"/>
      <c r="D108" s="114">
        <f t="shared" si="6"/>
        <v>0.27272727272727271</v>
      </c>
      <c r="E108" s="115">
        <v>0.25</v>
      </c>
      <c r="F108" s="116" t="s">
        <v>98</v>
      </c>
      <c r="G108" s="117" t="s">
        <v>66</v>
      </c>
      <c r="H108" s="118">
        <f t="shared" si="5"/>
        <v>4</v>
      </c>
      <c r="I108" s="117">
        <f>IF(项目总工作量!B$6="交易类",H108*1.5/22,IF(项目总工作量!B$6="数据分析类",H108*1.5*0.9/22,IF(项目总工作量!B$6="流程管理类",H108*1.5*0.8/22,IF(项目总工作量!B$6="渠道类",H108*1.5*0.7/22,FALSE))))</f>
        <v>0.27272727272727271</v>
      </c>
      <c r="J108" s="117" t="s">
        <v>44</v>
      </c>
    </row>
    <row r="109" spans="1:10" s="119" customFormat="1" ht="14" x14ac:dyDescent="0.15">
      <c r="A109" s="120"/>
      <c r="B109" s="120"/>
      <c r="C109" s="122"/>
      <c r="D109" s="114">
        <f t="shared" si="6"/>
        <v>0.27272727272727271</v>
      </c>
      <c r="E109" s="115"/>
      <c r="F109" s="116" t="s">
        <v>100</v>
      </c>
      <c r="G109" s="117" t="s">
        <v>66</v>
      </c>
      <c r="H109" s="118">
        <f t="shared" si="5"/>
        <v>4</v>
      </c>
      <c r="I109" s="117">
        <f>IF(项目总工作量!B$6="交易类",H109*1.5/22,IF(项目总工作量!B$6="数据分析类",H109*1.5*0.9/22,IF(项目总工作量!B$6="流程管理类",H109*1.5*0.8/22,IF(项目总工作量!B$6="渠道类",H109*1.5*0.7/22,FALSE))))</f>
        <v>0.27272727272727271</v>
      </c>
      <c r="J109" s="117" t="s">
        <v>44</v>
      </c>
    </row>
    <row r="110" spans="1:10" s="119" customFormat="1" ht="14" x14ac:dyDescent="0.15">
      <c r="A110" s="120"/>
      <c r="B110" s="120"/>
      <c r="C110" s="122"/>
      <c r="D110" s="114">
        <f t="shared" si="6"/>
        <v>0.27272727272727271</v>
      </c>
      <c r="E110" s="115"/>
      <c r="F110" s="116" t="s">
        <v>101</v>
      </c>
      <c r="G110" s="117" t="s">
        <v>66</v>
      </c>
      <c r="H110" s="118">
        <f t="shared" si="5"/>
        <v>4</v>
      </c>
      <c r="I110" s="117">
        <f>IF(项目总工作量!B$6="交易类",H110*1.5/22,IF(项目总工作量!B$6="数据分析类",H110*1.5*0.9/22,IF(项目总工作量!B$6="流程管理类",H110*1.5*0.8/22,IF(项目总工作量!B$6="渠道类",H110*1.5*0.7/22,FALSE))))</f>
        <v>0.27272727272727271</v>
      </c>
      <c r="J110" s="117" t="s">
        <v>44</v>
      </c>
    </row>
    <row r="111" spans="1:10" s="119" customFormat="1" ht="14" x14ac:dyDescent="0.15">
      <c r="A111" s="120"/>
      <c r="B111" s="120"/>
      <c r="C111" s="122"/>
      <c r="D111" s="114">
        <f t="shared" si="6"/>
        <v>0.27272727272727271</v>
      </c>
      <c r="E111" s="115"/>
      <c r="F111" s="116" t="s">
        <v>102</v>
      </c>
      <c r="G111" s="117" t="s">
        <v>66</v>
      </c>
      <c r="H111" s="118">
        <f t="shared" si="5"/>
        <v>4</v>
      </c>
      <c r="I111" s="117">
        <f>IF(项目总工作量!B$6="交易类",H111*1.5/22,IF(项目总工作量!B$6="数据分析类",H111*1.5*0.9/22,IF(项目总工作量!B$6="流程管理类",H111*1.5*0.8/22,IF(项目总工作量!B$6="渠道类",H111*1.5*0.7/22,FALSE))))</f>
        <v>0.27272727272727271</v>
      </c>
      <c r="J111" s="117" t="s">
        <v>44</v>
      </c>
    </row>
    <row r="112" spans="1:10" s="119" customFormat="1" ht="14" x14ac:dyDescent="0.15">
      <c r="A112" s="120"/>
      <c r="B112" s="120"/>
      <c r="C112" s="122"/>
      <c r="D112" s="114">
        <f t="shared" si="6"/>
        <v>0.27272727272727271</v>
      </c>
      <c r="E112" s="115"/>
      <c r="F112" s="116" t="s">
        <v>103</v>
      </c>
      <c r="G112" s="117" t="s">
        <v>66</v>
      </c>
      <c r="H112" s="118">
        <f t="shared" si="5"/>
        <v>4</v>
      </c>
      <c r="I112" s="117">
        <f>IF(项目总工作量!B$6="交易类",H112*1.5/22,IF(项目总工作量!B$6="数据分析类",H112*1.5*0.9/22,IF(项目总工作量!B$6="流程管理类",H112*1.5*0.8/22,IF(项目总工作量!B$6="渠道类",H112*1.5*0.7/22,FALSE))))</f>
        <v>0.27272727272727271</v>
      </c>
      <c r="J112" s="117" t="s">
        <v>44</v>
      </c>
    </row>
    <row r="113" spans="1:10" s="119" customFormat="1" ht="14" x14ac:dyDescent="0.15">
      <c r="A113" s="120"/>
      <c r="B113" s="120"/>
      <c r="C113" s="122"/>
      <c r="D113" s="114">
        <f t="shared" si="6"/>
        <v>0.27272727272727271</v>
      </c>
      <c r="E113" s="115"/>
      <c r="F113" s="116" t="s">
        <v>104</v>
      </c>
      <c r="G113" s="117" t="s">
        <v>66</v>
      </c>
      <c r="H113" s="118">
        <f t="shared" si="5"/>
        <v>4</v>
      </c>
      <c r="I113" s="117">
        <f>IF(项目总工作量!B$6="交易类",H113*1.5/22,IF(项目总工作量!B$6="数据分析类",H113*1.5*0.9/22,IF(项目总工作量!B$6="流程管理类",H113*1.5*0.8/22,IF(项目总工作量!B$6="渠道类",H113*1.5*0.7/22,FALSE))))</f>
        <v>0.27272727272727271</v>
      </c>
      <c r="J113" s="117" t="s">
        <v>44</v>
      </c>
    </row>
    <row r="114" spans="1:10" s="119" customFormat="1" ht="14" x14ac:dyDescent="0.15">
      <c r="A114" s="120"/>
      <c r="B114" s="120"/>
      <c r="C114" s="122"/>
      <c r="D114" s="114">
        <f t="shared" si="6"/>
        <v>0.27272727272727271</v>
      </c>
      <c r="E114" s="115"/>
      <c r="F114" s="116" t="s">
        <v>99</v>
      </c>
      <c r="G114" s="117" t="s">
        <v>66</v>
      </c>
      <c r="H114" s="118">
        <f t="shared" ref="H114:H134" si="7">IF(G114="EI",4,IF(G114="EO",5,IF(G114="EQ",4,0)))</f>
        <v>4</v>
      </c>
      <c r="I114" s="117">
        <f>IF(项目总工作量!B$6="交易类",H114*1.5/22,IF(项目总工作量!B$6="数据分析类",H114*1.5*0.9/22,IF(项目总工作量!B$6="流程管理类",H114*1.5*0.8/22,IF(项目总工作量!B$6="渠道类",H114*1.5*0.7/22,FALSE))))</f>
        <v>0.27272727272727271</v>
      </c>
      <c r="J114" s="117" t="s">
        <v>44</v>
      </c>
    </row>
    <row r="115" spans="1:10" s="119" customFormat="1" ht="14" x14ac:dyDescent="0.15">
      <c r="A115" s="120"/>
      <c r="B115" s="120"/>
      <c r="C115" s="122"/>
      <c r="D115" s="114">
        <f t="shared" si="6"/>
        <v>0.27272727272727271</v>
      </c>
      <c r="E115" s="115"/>
      <c r="F115" s="116" t="s">
        <v>105</v>
      </c>
      <c r="G115" s="117" t="s">
        <v>66</v>
      </c>
      <c r="H115" s="118">
        <f t="shared" si="7"/>
        <v>4</v>
      </c>
      <c r="I115" s="117">
        <f>IF(项目总工作量!B$6="交易类",H115*1.5/22,IF(项目总工作量!B$6="数据分析类",H115*1.5*0.9/22,IF(项目总工作量!B$6="流程管理类",H115*1.5*0.8/22,IF(项目总工作量!B$6="渠道类",H115*1.5*0.7/22,FALSE))))</f>
        <v>0.27272727272727271</v>
      </c>
      <c r="J115" s="117" t="s">
        <v>44</v>
      </c>
    </row>
    <row r="116" spans="1:10" s="119" customFormat="1" ht="14" x14ac:dyDescent="0.15">
      <c r="A116" s="120"/>
      <c r="B116" s="120"/>
      <c r="C116" s="122"/>
      <c r="D116" s="114">
        <f t="shared" si="6"/>
        <v>0.27272727272727271</v>
      </c>
      <c r="E116" s="115"/>
      <c r="F116" s="116" t="s">
        <v>113</v>
      </c>
      <c r="G116" s="117" t="s">
        <v>66</v>
      </c>
      <c r="H116" s="118">
        <f t="shared" si="7"/>
        <v>4</v>
      </c>
      <c r="I116" s="117">
        <f>IF(项目总工作量!B$6="交易类",H116*1.5/22,IF(项目总工作量!B$6="数据分析类",H116*1.5*0.9/22,IF(项目总工作量!B$6="流程管理类",H116*1.5*0.8/22,IF(项目总工作量!B$6="渠道类",H116*1.5*0.7/22,FALSE))))</f>
        <v>0.27272727272727271</v>
      </c>
      <c r="J116" s="117" t="s">
        <v>44</v>
      </c>
    </row>
    <row r="117" spans="1:10" s="119" customFormat="1" ht="14" x14ac:dyDescent="0.15">
      <c r="A117" s="120"/>
      <c r="B117" s="120"/>
      <c r="C117" s="122"/>
      <c r="D117" s="114">
        <f t="shared" si="6"/>
        <v>0.27272727272727271</v>
      </c>
      <c r="E117" s="115"/>
      <c r="F117" s="116" t="s">
        <v>92</v>
      </c>
      <c r="G117" s="117" t="s">
        <v>66</v>
      </c>
      <c r="H117" s="118">
        <f t="shared" si="7"/>
        <v>4</v>
      </c>
      <c r="I117" s="117">
        <f>IF(项目总工作量!B$6="交易类",H117*1.5/22,IF(项目总工作量!B$6="数据分析类",H117*1.5*0.9/22,IF(项目总工作量!B$6="流程管理类",H117*1.5*0.8/22,IF(项目总工作量!B$6="渠道类",H117*1.5*0.7/22,FALSE))))</f>
        <v>0.27272727272727271</v>
      </c>
      <c r="J117" s="117" t="s">
        <v>44</v>
      </c>
    </row>
    <row r="118" spans="1:10" s="119" customFormat="1" ht="14" x14ac:dyDescent="0.15">
      <c r="A118" s="120"/>
      <c r="B118" s="120"/>
      <c r="C118" s="122"/>
      <c r="D118" s="114">
        <f t="shared" si="6"/>
        <v>0.27272727272727271</v>
      </c>
      <c r="E118" s="115"/>
      <c r="F118" s="116" t="s">
        <v>91</v>
      </c>
      <c r="G118" s="117" t="s">
        <v>66</v>
      </c>
      <c r="H118" s="118">
        <f t="shared" si="7"/>
        <v>4</v>
      </c>
      <c r="I118" s="117">
        <f>IF(项目总工作量!B$6="交易类",H118*1.5/22,IF(项目总工作量!B$6="数据分析类",H118*1.5*0.9/22,IF(项目总工作量!B$6="流程管理类",H118*1.5*0.8/22,IF(项目总工作量!B$6="渠道类",H118*1.5*0.7/22,FALSE))))</f>
        <v>0.27272727272727271</v>
      </c>
      <c r="J118" s="117" t="s">
        <v>44</v>
      </c>
    </row>
    <row r="119" spans="1:10" s="119" customFormat="1" ht="14" x14ac:dyDescent="0.15">
      <c r="A119" s="120"/>
      <c r="B119" s="120"/>
      <c r="C119" s="122"/>
      <c r="D119" s="114">
        <f t="shared" si="6"/>
        <v>0.27272727272727271</v>
      </c>
      <c r="E119" s="115"/>
      <c r="F119" s="116" t="s">
        <v>106</v>
      </c>
      <c r="G119" s="117" t="s">
        <v>66</v>
      </c>
      <c r="H119" s="118">
        <f t="shared" si="7"/>
        <v>4</v>
      </c>
      <c r="I119" s="117">
        <f>IF(项目总工作量!B$6="交易类",H119*1.5/22,IF(项目总工作量!B$6="数据分析类",H119*1.5*0.9/22,IF(项目总工作量!B$6="流程管理类",H119*1.5*0.8/22,IF(项目总工作量!B$6="渠道类",H119*1.5*0.7/22,FALSE))))</f>
        <v>0.27272727272727271</v>
      </c>
      <c r="J119" s="117" t="s">
        <v>44</v>
      </c>
    </row>
    <row r="120" spans="1:10" s="119" customFormat="1" ht="14" x14ac:dyDescent="0.15">
      <c r="A120" s="120"/>
      <c r="B120" s="120"/>
      <c r="C120" s="122"/>
      <c r="D120" s="114">
        <f t="shared" si="6"/>
        <v>0.27272727272727271</v>
      </c>
      <c r="E120" s="115"/>
      <c r="F120" s="116" t="s">
        <v>107</v>
      </c>
      <c r="G120" s="117" t="s">
        <v>66</v>
      </c>
      <c r="H120" s="118">
        <f t="shared" si="7"/>
        <v>4</v>
      </c>
      <c r="I120" s="117">
        <f>IF(项目总工作量!B$6="交易类",H120*1.5/22,IF(项目总工作量!B$6="数据分析类",H120*1.5*0.9/22,IF(项目总工作量!B$6="流程管理类",H120*1.5*0.8/22,IF(项目总工作量!B$6="渠道类",H120*1.5*0.7/22,FALSE))))</f>
        <v>0.27272727272727271</v>
      </c>
      <c r="J120" s="117" t="s">
        <v>44</v>
      </c>
    </row>
    <row r="121" spans="1:10" s="119" customFormat="1" ht="14" x14ac:dyDescent="0.15">
      <c r="A121" s="120"/>
      <c r="B121" s="120"/>
      <c r="C121" s="122"/>
      <c r="D121" s="114">
        <f t="shared" si="6"/>
        <v>0.27272727272727271</v>
      </c>
      <c r="E121" s="115"/>
      <c r="F121" s="116" t="s">
        <v>108</v>
      </c>
      <c r="G121" s="117" t="s">
        <v>66</v>
      </c>
      <c r="H121" s="118">
        <f t="shared" si="7"/>
        <v>4</v>
      </c>
      <c r="I121" s="117">
        <f>IF(项目总工作量!B$6="交易类",H121*1.5/22,IF(项目总工作量!B$6="数据分析类",H121*1.5*0.9/22,IF(项目总工作量!B$6="流程管理类",H121*1.5*0.8/22,IF(项目总工作量!B$6="渠道类",H121*1.5*0.7/22,FALSE))))</f>
        <v>0.27272727272727271</v>
      </c>
      <c r="J121" s="117" t="s">
        <v>44</v>
      </c>
    </row>
    <row r="122" spans="1:10" s="119" customFormat="1" ht="14" x14ac:dyDescent="0.15">
      <c r="A122" s="120"/>
      <c r="B122" s="120"/>
      <c r="C122" s="122"/>
      <c r="D122" s="114">
        <f t="shared" si="6"/>
        <v>0.27272727272727271</v>
      </c>
      <c r="E122" s="115">
        <v>1</v>
      </c>
      <c r="F122" s="116" t="s">
        <v>109</v>
      </c>
      <c r="G122" s="117" t="s">
        <v>66</v>
      </c>
      <c r="H122" s="118">
        <f t="shared" si="7"/>
        <v>4</v>
      </c>
      <c r="I122" s="117">
        <f>IF(项目总工作量!B$6="交易类",H122*1.5/22,IF(项目总工作量!B$6="数据分析类",H122*1.5*0.9/22,IF(项目总工作量!B$6="流程管理类",H122*1.5*0.8/22,IF(项目总工作量!B$6="渠道类",H122*1.5*0.7/22,FALSE))))</f>
        <v>0.27272727272727271</v>
      </c>
      <c r="J122" s="117" t="s">
        <v>44</v>
      </c>
    </row>
    <row r="123" spans="1:10" s="119" customFormat="1" ht="14" x14ac:dyDescent="0.15">
      <c r="A123" s="120"/>
      <c r="B123" s="120"/>
      <c r="C123" s="122"/>
      <c r="D123" s="114">
        <f t="shared" si="6"/>
        <v>0.27272727272727271</v>
      </c>
      <c r="E123" s="115"/>
      <c r="F123" s="116" t="s">
        <v>110</v>
      </c>
      <c r="G123" s="117" t="s">
        <v>66</v>
      </c>
      <c r="H123" s="118">
        <f t="shared" si="7"/>
        <v>4</v>
      </c>
      <c r="I123" s="117">
        <f>IF(项目总工作量!B$6="交易类",H123*1.5/22,IF(项目总工作量!B$6="数据分析类",H123*1.5*0.9/22,IF(项目总工作量!B$6="流程管理类",H123*1.5*0.8/22,IF(项目总工作量!B$6="渠道类",H123*1.5*0.7/22,FALSE))))</f>
        <v>0.27272727272727271</v>
      </c>
      <c r="J123" s="117" t="s">
        <v>44</v>
      </c>
    </row>
    <row r="124" spans="1:10" s="119" customFormat="1" ht="14" x14ac:dyDescent="0.15">
      <c r="A124" s="120"/>
      <c r="B124" s="120"/>
      <c r="C124" s="122"/>
      <c r="D124" s="114">
        <f t="shared" si="6"/>
        <v>0.27272727272727271</v>
      </c>
      <c r="E124" s="115"/>
      <c r="F124" s="116" t="s">
        <v>111</v>
      </c>
      <c r="G124" s="117" t="s">
        <v>66</v>
      </c>
      <c r="H124" s="118">
        <f t="shared" si="7"/>
        <v>4</v>
      </c>
      <c r="I124" s="117">
        <f>IF(项目总工作量!B$6="交易类",H124*1.5/22,IF(项目总工作量!B$6="数据分析类",H124*1.5*0.9/22,IF(项目总工作量!B$6="流程管理类",H124*1.5*0.8/22,IF(项目总工作量!B$6="渠道类",H124*1.5*0.7/22,FALSE))))</f>
        <v>0.27272727272727271</v>
      </c>
      <c r="J124" s="117" t="s">
        <v>44</v>
      </c>
    </row>
    <row r="125" spans="1:10" s="119" customFormat="1" ht="14" x14ac:dyDescent="0.15">
      <c r="A125" s="120"/>
      <c r="B125" s="120"/>
      <c r="C125" s="122"/>
      <c r="D125" s="114">
        <f t="shared" si="6"/>
        <v>0.27272727272727271</v>
      </c>
      <c r="E125" s="115"/>
      <c r="F125" s="116" t="s">
        <v>112</v>
      </c>
      <c r="G125" s="117" t="s">
        <v>66</v>
      </c>
      <c r="H125" s="118">
        <f t="shared" si="7"/>
        <v>4</v>
      </c>
      <c r="I125" s="117">
        <f>IF(项目总工作量!B$6="交易类",H125*1.5/22,IF(项目总工作量!B$6="数据分析类",H125*1.5*0.9/22,IF(项目总工作量!B$6="流程管理类",H125*1.5*0.8/22,IF(项目总工作量!B$6="渠道类",H125*1.5*0.7/22,FALSE))))</f>
        <v>0.27272727272727271</v>
      </c>
      <c r="J125" s="117" t="s">
        <v>44</v>
      </c>
    </row>
    <row r="126" spans="1:10" s="119" customFormat="1" ht="14" x14ac:dyDescent="0.15">
      <c r="A126" s="120"/>
      <c r="B126" s="120"/>
      <c r="C126" s="122"/>
      <c r="D126" s="114">
        <f t="shared" si="6"/>
        <v>0.27272727272727271</v>
      </c>
      <c r="E126" s="115"/>
      <c r="F126" s="116" t="s">
        <v>122</v>
      </c>
      <c r="G126" s="117" t="s">
        <v>66</v>
      </c>
      <c r="H126" s="118">
        <f t="shared" si="7"/>
        <v>4</v>
      </c>
      <c r="I126" s="117">
        <f>IF(项目总工作量!B$6="交易类",H126*1.5/22,IF(项目总工作量!B$6="数据分析类",H126*1.5*0.9/22,IF(项目总工作量!B$6="流程管理类",H126*1.5*0.8/22,IF(项目总工作量!B$6="渠道类",H126*1.5*0.7/22,FALSE))))</f>
        <v>0.27272727272727271</v>
      </c>
      <c r="J126" s="117" t="s">
        <v>44</v>
      </c>
    </row>
    <row r="127" spans="1:10" s="119" customFormat="1" ht="14" x14ac:dyDescent="0.15">
      <c r="A127" s="120"/>
      <c r="B127" s="120"/>
      <c r="C127" s="122"/>
      <c r="D127" s="114">
        <f t="shared" si="6"/>
        <v>0.27272727272727271</v>
      </c>
      <c r="E127" s="115"/>
      <c r="F127" s="116" t="s">
        <v>123</v>
      </c>
      <c r="G127" s="117" t="s">
        <v>66</v>
      </c>
      <c r="H127" s="118">
        <f t="shared" si="7"/>
        <v>4</v>
      </c>
      <c r="I127" s="117">
        <f>IF(项目总工作量!B$6="交易类",H127*1.5/22,IF(项目总工作量!B$6="数据分析类",H127*1.5*0.9/22,IF(项目总工作量!B$6="流程管理类",H127*1.5*0.8/22,IF(项目总工作量!B$6="渠道类",H127*1.5*0.7/22,FALSE))))</f>
        <v>0.27272727272727271</v>
      </c>
      <c r="J127" s="117" t="s">
        <v>44</v>
      </c>
    </row>
    <row r="128" spans="1:10" s="119" customFormat="1" ht="14" x14ac:dyDescent="0.15">
      <c r="A128" s="120"/>
      <c r="B128" s="120"/>
      <c r="C128" s="122"/>
      <c r="D128" s="114">
        <f t="shared" si="6"/>
        <v>0.27272727272727271</v>
      </c>
      <c r="E128" s="115"/>
      <c r="F128" s="116" t="s">
        <v>124</v>
      </c>
      <c r="G128" s="117" t="s">
        <v>66</v>
      </c>
      <c r="H128" s="118">
        <f t="shared" si="7"/>
        <v>4</v>
      </c>
      <c r="I128" s="117">
        <f>IF(项目总工作量!B$6="交易类",H128*1.5/22,IF(项目总工作量!B$6="数据分析类",H128*1.5*0.9/22,IF(项目总工作量!B$6="流程管理类",H128*1.5*0.8/22,IF(项目总工作量!B$6="渠道类",H128*1.5*0.7/22,FALSE))))</f>
        <v>0.27272727272727271</v>
      </c>
      <c r="J128" s="117" t="s">
        <v>44</v>
      </c>
    </row>
    <row r="129" spans="1:256" s="119" customFormat="1" ht="14" x14ac:dyDescent="0.15">
      <c r="A129" s="120"/>
      <c r="B129" s="120"/>
      <c r="C129" s="122"/>
      <c r="D129" s="114">
        <f t="shared" si="6"/>
        <v>0.27272727272727271</v>
      </c>
      <c r="E129" s="115"/>
      <c r="F129" s="116" t="s">
        <v>125</v>
      </c>
      <c r="G129" s="117" t="s">
        <v>66</v>
      </c>
      <c r="H129" s="118">
        <f t="shared" si="7"/>
        <v>4</v>
      </c>
      <c r="I129" s="117">
        <f>IF(项目总工作量!B$6="交易类",H129*1.5/22,IF(项目总工作量!B$6="数据分析类",H129*1.5*0.9/22,IF(项目总工作量!B$6="流程管理类",H129*1.5*0.8/22,IF(项目总工作量!B$6="渠道类",H129*1.5*0.7/22,FALSE))))</f>
        <v>0.27272727272727271</v>
      </c>
      <c r="J129" s="117" t="s">
        <v>44</v>
      </c>
    </row>
    <row r="130" spans="1:256" s="119" customFormat="1" ht="14" x14ac:dyDescent="0.15">
      <c r="A130" s="120"/>
      <c r="B130" s="120"/>
      <c r="C130" s="122"/>
      <c r="D130" s="114">
        <f t="shared" si="6"/>
        <v>0.27272727272727271</v>
      </c>
      <c r="E130" s="115"/>
      <c r="F130" s="116" t="s">
        <v>126</v>
      </c>
      <c r="G130" s="117" t="s">
        <v>66</v>
      </c>
      <c r="H130" s="118">
        <f t="shared" si="7"/>
        <v>4</v>
      </c>
      <c r="I130" s="117">
        <f>IF(项目总工作量!B$6="交易类",H130*1.5/22,IF(项目总工作量!B$6="数据分析类",H130*1.5*0.9/22,IF(项目总工作量!B$6="流程管理类",H130*1.5*0.8/22,IF(项目总工作量!B$6="渠道类",H130*1.5*0.7/22,FALSE))))</f>
        <v>0.27272727272727271</v>
      </c>
      <c r="J130" s="117" t="s">
        <v>44</v>
      </c>
    </row>
    <row r="131" spans="1:256" s="119" customFormat="1" ht="14" x14ac:dyDescent="0.15">
      <c r="A131" s="120"/>
      <c r="B131" s="120"/>
      <c r="C131" s="122"/>
      <c r="D131" s="114">
        <f t="shared" si="6"/>
        <v>0.27272727272727271</v>
      </c>
      <c r="E131" s="115"/>
      <c r="F131" s="116" t="s">
        <v>127</v>
      </c>
      <c r="G131" s="117" t="s">
        <v>66</v>
      </c>
      <c r="H131" s="118">
        <f t="shared" si="7"/>
        <v>4</v>
      </c>
      <c r="I131" s="117">
        <f>IF(项目总工作量!B$6="交易类",H131*1.5/22,IF(项目总工作量!B$6="数据分析类",H131*1.5*0.9/22,IF(项目总工作量!B$6="流程管理类",H131*1.5*0.8/22,IF(项目总工作量!B$6="渠道类",H131*1.5*0.7/22,FALSE))))</f>
        <v>0.27272727272727271</v>
      </c>
      <c r="J131" s="117" t="s">
        <v>44</v>
      </c>
    </row>
    <row r="132" spans="1:256" s="119" customFormat="1" ht="14" x14ac:dyDescent="0.15">
      <c r="A132" s="120"/>
      <c r="B132" s="120"/>
      <c r="C132" s="122"/>
      <c r="D132" s="114">
        <f t="shared" si="6"/>
        <v>0.27272727272727271</v>
      </c>
      <c r="E132" s="115"/>
      <c r="F132" s="116" t="s">
        <v>128</v>
      </c>
      <c r="G132" s="117" t="s">
        <v>66</v>
      </c>
      <c r="H132" s="118">
        <f t="shared" si="7"/>
        <v>4</v>
      </c>
      <c r="I132" s="117">
        <f>IF(项目总工作量!B$6="交易类",H132*1.5/22,IF(项目总工作量!B$6="数据分析类",H132*1.5*0.9/22,IF(项目总工作量!B$6="流程管理类",H132*1.5*0.8/22,IF(项目总工作量!B$6="渠道类",H132*1.5*0.7/22,FALSE))))</f>
        <v>0.27272727272727271</v>
      </c>
      <c r="J132" s="117" t="s">
        <v>44</v>
      </c>
    </row>
    <row r="133" spans="1:256" s="119" customFormat="1" ht="14" x14ac:dyDescent="0.15">
      <c r="A133" s="120"/>
      <c r="B133" s="120"/>
      <c r="C133" s="122"/>
      <c r="D133" s="114">
        <f t="shared" si="6"/>
        <v>0.27272727272727271</v>
      </c>
      <c r="E133" s="115"/>
      <c r="F133" s="116" t="s">
        <v>129</v>
      </c>
      <c r="G133" s="117" t="s">
        <v>66</v>
      </c>
      <c r="H133" s="118">
        <f t="shared" si="7"/>
        <v>4</v>
      </c>
      <c r="I133" s="117">
        <f>IF(项目总工作量!B$6="交易类",H133*1.5/22,IF(项目总工作量!B$6="数据分析类",H133*1.5*0.9/22,IF(项目总工作量!B$6="流程管理类",H133*1.5*0.8/22,IF(项目总工作量!B$6="渠道类",H133*1.5*0.7/22,FALSE))))</f>
        <v>0.27272727272727271</v>
      </c>
      <c r="J133" s="117" t="s">
        <v>44</v>
      </c>
    </row>
    <row r="134" spans="1:256" s="119" customFormat="1" ht="14" x14ac:dyDescent="0.15">
      <c r="A134" s="120"/>
      <c r="B134" s="120"/>
      <c r="C134" s="122"/>
      <c r="D134" s="114">
        <f t="shared" si="6"/>
        <v>0.27272727272727271</v>
      </c>
      <c r="E134" s="115"/>
      <c r="F134" s="116" t="s">
        <v>130</v>
      </c>
      <c r="G134" s="117" t="s">
        <v>66</v>
      </c>
      <c r="H134" s="118">
        <f t="shared" si="7"/>
        <v>4</v>
      </c>
      <c r="I134" s="117">
        <f>IF(项目总工作量!B$6="交易类",H134*1.5/22,IF(项目总工作量!B$6="数据分析类",H134*1.5*0.9/22,IF(项目总工作量!B$6="流程管理类",H134*1.5*0.8/22,IF(项目总工作量!B$6="渠道类",H134*1.5*0.7/22,FALSE))))</f>
        <v>0.27272727272727271</v>
      </c>
      <c r="J134" s="117" t="s">
        <v>44</v>
      </c>
    </row>
    <row r="135" spans="1:256" s="124" customFormat="1" ht="15.5" customHeight="1" x14ac:dyDescent="0.15">
      <c r="A135" s="128">
        <v>4</v>
      </c>
      <c r="B135" s="129" t="s">
        <v>398</v>
      </c>
      <c r="C135" s="130" t="s">
        <v>399</v>
      </c>
      <c r="D135" s="114">
        <f t="shared" si="6"/>
        <v>0.27272727272727271</v>
      </c>
      <c r="E135" s="131"/>
      <c r="F135" s="132" t="s">
        <v>400</v>
      </c>
      <c r="G135" s="117" t="s">
        <v>66</v>
      </c>
      <c r="H135" s="133">
        <f t="shared" ref="H135:H198" si="8">IF(G135="EI",4,IF(G135="EO",5,IF(G135="EQ",4,0)))</f>
        <v>4</v>
      </c>
      <c r="I135" s="134">
        <f>IF([2]项目总工作量!B$6="交易类",H135*1.5/22,IF([2]项目总工作量!B$6="数据分析类",H135*1.5*0.9/22,IF([2]项目总工作量!B$6="流程管理类",H135*1.5*0.8/22,IF([2]项目总工作量!B$6="渠道类",H135*1.5*0.7/22,FALSE))))</f>
        <v>0.27272727272727271</v>
      </c>
      <c r="J135" s="117" t="s">
        <v>44</v>
      </c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  <c r="IG135" s="123"/>
      <c r="IH135" s="123"/>
      <c r="II135" s="123"/>
      <c r="IJ135" s="123"/>
      <c r="IK135" s="123"/>
      <c r="IL135" s="123"/>
      <c r="IM135" s="123"/>
      <c r="IN135" s="123"/>
      <c r="IO135" s="123"/>
      <c r="IP135" s="123"/>
      <c r="IQ135" s="123"/>
      <c r="IR135" s="123"/>
      <c r="IS135" s="123"/>
      <c r="IT135" s="123"/>
      <c r="IU135" s="123"/>
      <c r="IV135" s="123"/>
    </row>
    <row r="136" spans="1:256" s="124" customFormat="1" ht="16" customHeight="1" x14ac:dyDescent="0.15">
      <c r="A136" s="135"/>
      <c r="B136" s="136"/>
      <c r="C136" s="137"/>
      <c r="D136" s="114">
        <f t="shared" si="6"/>
        <v>0.27272727272727271</v>
      </c>
      <c r="E136" s="131"/>
      <c r="F136" s="132" t="s">
        <v>401</v>
      </c>
      <c r="G136" s="117" t="s">
        <v>66</v>
      </c>
      <c r="H136" s="133">
        <f t="shared" si="8"/>
        <v>4</v>
      </c>
      <c r="I136" s="134">
        <f>IF([2]项目总工作量!B$6="交易类",H136*1.5/22,IF([2]项目总工作量!B$6="数据分析类",H136*1.5*0.9/22,IF([2]项目总工作量!B$6="流程管理类",H136*1.5*0.8/22,IF([2]项目总工作量!B$6="渠道类",H136*1.5*0.7/22,FALSE))))</f>
        <v>0.27272727272727271</v>
      </c>
      <c r="J136" s="117" t="s">
        <v>44</v>
      </c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  <c r="IG136" s="123"/>
      <c r="IH136" s="123"/>
      <c r="II136" s="123"/>
      <c r="IJ136" s="123"/>
      <c r="IK136" s="123"/>
      <c r="IL136" s="123"/>
      <c r="IM136" s="123"/>
      <c r="IN136" s="123"/>
      <c r="IO136" s="123"/>
      <c r="IP136" s="123"/>
      <c r="IQ136" s="123"/>
      <c r="IR136" s="123"/>
      <c r="IS136" s="123"/>
      <c r="IT136" s="123"/>
      <c r="IU136" s="123"/>
      <c r="IV136" s="123"/>
    </row>
    <row r="137" spans="1:256" s="124" customFormat="1" ht="17" customHeight="1" x14ac:dyDescent="0.15">
      <c r="A137" s="135"/>
      <c r="B137" s="135"/>
      <c r="C137" s="137"/>
      <c r="D137" s="114">
        <f t="shared" si="6"/>
        <v>0.27272727272727271</v>
      </c>
      <c r="E137" s="131"/>
      <c r="F137" s="132" t="s">
        <v>402</v>
      </c>
      <c r="G137" s="117" t="s">
        <v>66</v>
      </c>
      <c r="H137" s="133">
        <f t="shared" si="8"/>
        <v>4</v>
      </c>
      <c r="I137" s="134">
        <f>IF([2]项目总工作量!B$6="交易类",H137*1.5/22,IF([2]项目总工作量!B$6="数据分析类",H137*1.5*0.9/22,IF([2]项目总工作量!B$6="流程管理类",H137*1.5*0.8/22,IF([2]项目总工作量!B$6="渠道类",H137*1.5*0.7/22,FALSE))))</f>
        <v>0.27272727272727271</v>
      </c>
      <c r="J137" s="117" t="s">
        <v>44</v>
      </c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  <c r="IG137" s="123"/>
      <c r="IH137" s="123"/>
      <c r="II137" s="123"/>
      <c r="IJ137" s="123"/>
      <c r="IK137" s="123"/>
      <c r="IL137" s="123"/>
      <c r="IM137" s="123"/>
      <c r="IN137" s="123"/>
      <c r="IO137" s="123"/>
      <c r="IP137" s="123"/>
      <c r="IQ137" s="123"/>
      <c r="IR137" s="123"/>
      <c r="IS137" s="123"/>
      <c r="IT137" s="123"/>
      <c r="IU137" s="123"/>
      <c r="IV137" s="123"/>
    </row>
    <row r="138" spans="1:256" s="124" customFormat="1" ht="17" customHeight="1" x14ac:dyDescent="0.15">
      <c r="A138" s="135"/>
      <c r="B138" s="135"/>
      <c r="C138" s="137"/>
      <c r="D138" s="114">
        <f t="shared" si="6"/>
        <v>0.27272727272727271</v>
      </c>
      <c r="E138" s="131"/>
      <c r="F138" s="138" t="s">
        <v>403</v>
      </c>
      <c r="G138" s="117" t="s">
        <v>66</v>
      </c>
      <c r="H138" s="133">
        <f t="shared" si="8"/>
        <v>4</v>
      </c>
      <c r="I138" s="134">
        <f>IF([2]项目总工作量!B$6="交易类",H138*1.5/22,IF([2]项目总工作量!B$6="数据分析类",H138*1.5*0.9/22,IF([2]项目总工作量!B$6="流程管理类",H138*1.5*0.8/22,IF([2]项目总工作量!B$6="渠道类",H138*1.5*0.7/22,FALSE))))</f>
        <v>0.27272727272727271</v>
      </c>
      <c r="J138" s="117" t="s">
        <v>44</v>
      </c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  <c r="IG138" s="123"/>
      <c r="IH138" s="123"/>
      <c r="II138" s="123"/>
      <c r="IJ138" s="123"/>
      <c r="IK138" s="123"/>
      <c r="IL138" s="123"/>
      <c r="IM138" s="123"/>
      <c r="IN138" s="123"/>
      <c r="IO138" s="123"/>
      <c r="IP138" s="123"/>
      <c r="IQ138" s="123"/>
      <c r="IR138" s="123"/>
      <c r="IS138" s="123"/>
      <c r="IT138" s="123"/>
      <c r="IU138" s="123"/>
      <c r="IV138" s="123"/>
    </row>
    <row r="139" spans="1:256" s="124" customFormat="1" ht="17" customHeight="1" x14ac:dyDescent="0.15">
      <c r="A139" s="135"/>
      <c r="B139" s="135"/>
      <c r="C139" s="137"/>
      <c r="D139" s="114">
        <f t="shared" si="6"/>
        <v>0.27272727272727271</v>
      </c>
      <c r="E139" s="131"/>
      <c r="F139" s="132" t="s">
        <v>404</v>
      </c>
      <c r="G139" s="117" t="s">
        <v>66</v>
      </c>
      <c r="H139" s="133">
        <f t="shared" si="8"/>
        <v>4</v>
      </c>
      <c r="I139" s="134">
        <f>IF([2]项目总工作量!B$6="交易类",H139*1.5/22,IF([2]项目总工作量!B$6="数据分析类",H139*1.5*0.9/22,IF([2]项目总工作量!B$6="流程管理类",H139*1.5*0.8/22,IF([2]项目总工作量!B$6="渠道类",H139*1.5*0.7/22,FALSE))))</f>
        <v>0.27272727272727271</v>
      </c>
      <c r="J139" s="117" t="s">
        <v>44</v>
      </c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  <c r="IG139" s="123"/>
      <c r="IH139" s="123"/>
      <c r="II139" s="123"/>
      <c r="IJ139" s="123"/>
      <c r="IK139" s="123"/>
      <c r="IL139" s="123"/>
      <c r="IM139" s="123"/>
      <c r="IN139" s="123"/>
      <c r="IO139" s="123"/>
      <c r="IP139" s="123"/>
      <c r="IQ139" s="123"/>
      <c r="IR139" s="123"/>
      <c r="IS139" s="123"/>
      <c r="IT139" s="123"/>
      <c r="IU139" s="123"/>
      <c r="IV139" s="123"/>
    </row>
    <row r="140" spans="1:256" s="124" customFormat="1" ht="17" customHeight="1" x14ac:dyDescent="0.15">
      <c r="A140" s="135"/>
      <c r="B140" s="135"/>
      <c r="C140" s="137"/>
      <c r="D140" s="114">
        <f t="shared" si="6"/>
        <v>0.27272727272727271</v>
      </c>
      <c r="E140" s="131"/>
      <c r="F140" s="132" t="s">
        <v>405</v>
      </c>
      <c r="G140" s="117" t="s">
        <v>66</v>
      </c>
      <c r="H140" s="133">
        <f t="shared" si="8"/>
        <v>4</v>
      </c>
      <c r="I140" s="134">
        <f>IF([2]项目总工作量!B$6="交易类",H140*1.5/22,IF([2]项目总工作量!B$6="数据分析类",H140*1.5*0.9/22,IF([2]项目总工作量!B$6="流程管理类",H140*1.5*0.8/22,IF([2]项目总工作量!B$6="渠道类",H140*1.5*0.7/22,FALSE))))</f>
        <v>0.27272727272727271</v>
      </c>
      <c r="J140" s="117" t="s">
        <v>44</v>
      </c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</row>
    <row r="141" spans="1:256" s="124" customFormat="1" ht="17" customHeight="1" x14ac:dyDescent="0.15">
      <c r="A141" s="135"/>
      <c r="B141" s="135"/>
      <c r="C141" s="137"/>
      <c r="D141" s="114">
        <f t="shared" si="6"/>
        <v>0.27272727272727271</v>
      </c>
      <c r="E141" s="131"/>
      <c r="F141" s="132" t="s">
        <v>406</v>
      </c>
      <c r="G141" s="117" t="s">
        <v>66</v>
      </c>
      <c r="H141" s="133">
        <f t="shared" si="8"/>
        <v>4</v>
      </c>
      <c r="I141" s="134">
        <f>IF([2]项目总工作量!B$6="交易类",H141*1.5/22,IF([2]项目总工作量!B$6="数据分析类",H141*1.5*0.9/22,IF([2]项目总工作量!B$6="流程管理类",H141*1.5*0.8/22,IF([2]项目总工作量!B$6="渠道类",H141*1.5*0.7/22,FALSE))))</f>
        <v>0.27272727272727271</v>
      </c>
      <c r="J141" s="117" t="s">
        <v>44</v>
      </c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  <c r="IG141" s="123"/>
      <c r="IH141" s="123"/>
      <c r="II141" s="123"/>
      <c r="IJ141" s="123"/>
      <c r="IK141" s="123"/>
      <c r="IL141" s="123"/>
      <c r="IM141" s="123"/>
      <c r="IN141" s="123"/>
      <c r="IO141" s="123"/>
      <c r="IP141" s="123"/>
      <c r="IQ141" s="123"/>
      <c r="IR141" s="123"/>
      <c r="IS141" s="123"/>
      <c r="IT141" s="123"/>
      <c r="IU141" s="123"/>
      <c r="IV141" s="123"/>
    </row>
    <row r="142" spans="1:256" s="124" customFormat="1" ht="17" customHeight="1" x14ac:dyDescent="0.15">
      <c r="A142" s="135"/>
      <c r="B142" s="135"/>
      <c r="C142" s="137"/>
      <c r="D142" s="114">
        <f t="shared" si="6"/>
        <v>0.27272727272727271</v>
      </c>
      <c r="E142" s="131"/>
      <c r="F142" s="132" t="s">
        <v>407</v>
      </c>
      <c r="G142" s="117" t="s">
        <v>66</v>
      </c>
      <c r="H142" s="133">
        <f t="shared" si="8"/>
        <v>4</v>
      </c>
      <c r="I142" s="134">
        <f>IF([2]项目总工作量!B$6="交易类",H142*1.5/22,IF([2]项目总工作量!B$6="数据分析类",H142*1.5*0.9/22,IF([2]项目总工作量!B$6="流程管理类",H142*1.5*0.8/22,IF([2]项目总工作量!B$6="渠道类",H142*1.5*0.7/22,FALSE))))</f>
        <v>0.27272727272727271</v>
      </c>
      <c r="J142" s="117" t="s">
        <v>44</v>
      </c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  <c r="IG142" s="123"/>
      <c r="IH142" s="123"/>
      <c r="II142" s="123"/>
      <c r="IJ142" s="123"/>
      <c r="IK142" s="123"/>
      <c r="IL142" s="123"/>
      <c r="IM142" s="123"/>
      <c r="IN142" s="123"/>
      <c r="IO142" s="123"/>
      <c r="IP142" s="123"/>
      <c r="IQ142" s="123"/>
      <c r="IR142" s="123"/>
      <c r="IS142" s="123"/>
      <c r="IT142" s="123"/>
      <c r="IU142" s="123"/>
      <c r="IV142" s="123"/>
    </row>
    <row r="143" spans="1:256" s="124" customFormat="1" ht="17" customHeight="1" x14ac:dyDescent="0.15">
      <c r="A143" s="135"/>
      <c r="B143" s="135"/>
      <c r="C143" s="137"/>
      <c r="D143" s="114">
        <f t="shared" si="6"/>
        <v>0.27272727272727271</v>
      </c>
      <c r="E143" s="131"/>
      <c r="F143" s="132" t="s">
        <v>408</v>
      </c>
      <c r="G143" s="117" t="s">
        <v>66</v>
      </c>
      <c r="H143" s="133">
        <f t="shared" si="8"/>
        <v>4</v>
      </c>
      <c r="I143" s="134">
        <f>IF([2]项目总工作量!B$6="交易类",H143*1.5/22,IF([2]项目总工作量!B$6="数据分析类",H143*1.5*0.9/22,IF([2]项目总工作量!B$6="流程管理类",H143*1.5*0.8/22,IF([2]项目总工作量!B$6="渠道类",H143*1.5*0.7/22,FALSE))))</f>
        <v>0.27272727272727271</v>
      </c>
      <c r="J143" s="117" t="s">
        <v>44</v>
      </c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  <c r="IG143" s="123"/>
      <c r="IH143" s="123"/>
      <c r="II143" s="123"/>
      <c r="IJ143" s="123"/>
      <c r="IK143" s="123"/>
      <c r="IL143" s="123"/>
      <c r="IM143" s="123"/>
      <c r="IN143" s="123"/>
      <c r="IO143" s="123"/>
      <c r="IP143" s="123"/>
      <c r="IQ143" s="123"/>
      <c r="IR143" s="123"/>
      <c r="IS143" s="123"/>
      <c r="IT143" s="123"/>
      <c r="IU143" s="123"/>
      <c r="IV143" s="123"/>
    </row>
    <row r="144" spans="1:256" s="124" customFormat="1" ht="17" customHeight="1" x14ac:dyDescent="0.15">
      <c r="A144" s="135"/>
      <c r="B144" s="135"/>
      <c r="C144" s="137"/>
      <c r="D144" s="114">
        <f t="shared" si="6"/>
        <v>0.27272727272727271</v>
      </c>
      <c r="E144" s="131"/>
      <c r="F144" s="132" t="s">
        <v>409</v>
      </c>
      <c r="G144" s="117" t="s">
        <v>66</v>
      </c>
      <c r="H144" s="133">
        <f t="shared" si="8"/>
        <v>4</v>
      </c>
      <c r="I144" s="134">
        <f>IF([2]项目总工作量!B$6="交易类",H144*1.5/22,IF([2]项目总工作量!B$6="数据分析类",H144*1.5*0.9/22,IF([2]项目总工作量!B$6="流程管理类",H144*1.5*0.8/22,IF([2]项目总工作量!B$6="渠道类",H144*1.5*0.7/22,FALSE))))</f>
        <v>0.27272727272727271</v>
      </c>
      <c r="J144" s="117" t="s">
        <v>44</v>
      </c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  <c r="IG144" s="123"/>
      <c r="IH144" s="123"/>
      <c r="II144" s="123"/>
      <c r="IJ144" s="123"/>
      <c r="IK144" s="123"/>
      <c r="IL144" s="123"/>
      <c r="IM144" s="123"/>
      <c r="IN144" s="123"/>
      <c r="IO144" s="123"/>
      <c r="IP144" s="123"/>
      <c r="IQ144" s="123"/>
      <c r="IR144" s="123"/>
      <c r="IS144" s="123"/>
      <c r="IT144" s="123"/>
      <c r="IU144" s="123"/>
      <c r="IV144" s="123"/>
    </row>
    <row r="145" spans="1:256" s="124" customFormat="1" ht="17" customHeight="1" x14ac:dyDescent="0.15">
      <c r="A145" s="135"/>
      <c r="B145" s="135"/>
      <c r="C145" s="137"/>
      <c r="D145" s="114">
        <f t="shared" si="6"/>
        <v>0.27272727272727271</v>
      </c>
      <c r="E145" s="131"/>
      <c r="F145" s="132" t="s">
        <v>410</v>
      </c>
      <c r="G145" s="117" t="s">
        <v>66</v>
      </c>
      <c r="H145" s="133">
        <f t="shared" si="8"/>
        <v>4</v>
      </c>
      <c r="I145" s="134">
        <f>IF([2]项目总工作量!B$6="交易类",H145*1.5/22,IF([2]项目总工作量!B$6="数据分析类",H145*1.5*0.9/22,IF([2]项目总工作量!B$6="流程管理类",H145*1.5*0.8/22,IF([2]项目总工作量!B$6="渠道类",H145*1.5*0.7/22,FALSE))))</f>
        <v>0.27272727272727271</v>
      </c>
      <c r="J145" s="117" t="s">
        <v>44</v>
      </c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  <c r="IG145" s="123"/>
      <c r="IH145" s="123"/>
      <c r="II145" s="123"/>
      <c r="IJ145" s="123"/>
      <c r="IK145" s="123"/>
      <c r="IL145" s="123"/>
      <c r="IM145" s="123"/>
      <c r="IN145" s="123"/>
      <c r="IO145" s="123"/>
      <c r="IP145" s="123"/>
      <c r="IQ145" s="123"/>
      <c r="IR145" s="123"/>
      <c r="IS145" s="123"/>
      <c r="IT145" s="123"/>
      <c r="IU145" s="123"/>
      <c r="IV145" s="123"/>
    </row>
    <row r="146" spans="1:256" s="124" customFormat="1" ht="17" customHeight="1" x14ac:dyDescent="0.15">
      <c r="A146" s="135"/>
      <c r="B146" s="135"/>
      <c r="C146" s="137"/>
      <c r="D146" s="114">
        <f t="shared" si="6"/>
        <v>0.27272727272727271</v>
      </c>
      <c r="E146" s="131"/>
      <c r="F146" s="132" t="s">
        <v>411</v>
      </c>
      <c r="G146" s="117" t="s">
        <v>66</v>
      </c>
      <c r="H146" s="133">
        <f t="shared" si="8"/>
        <v>4</v>
      </c>
      <c r="I146" s="134">
        <f>IF([2]项目总工作量!B$6="交易类",H146*1.5/22,IF([2]项目总工作量!B$6="数据分析类",H146*1.5*0.9/22,IF([2]项目总工作量!B$6="流程管理类",H146*1.5*0.8/22,IF([2]项目总工作量!B$6="渠道类",H146*1.5*0.7/22,FALSE))))</f>
        <v>0.27272727272727271</v>
      </c>
      <c r="J146" s="117" t="s">
        <v>44</v>
      </c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  <c r="IG146" s="123"/>
      <c r="IH146" s="123"/>
      <c r="II146" s="123"/>
      <c r="IJ146" s="123"/>
      <c r="IK146" s="123"/>
      <c r="IL146" s="123"/>
      <c r="IM146" s="123"/>
      <c r="IN146" s="123"/>
      <c r="IO146" s="123"/>
      <c r="IP146" s="123"/>
      <c r="IQ146" s="123"/>
      <c r="IR146" s="123"/>
      <c r="IS146" s="123"/>
      <c r="IT146" s="123"/>
      <c r="IU146" s="123"/>
      <c r="IV146" s="123"/>
    </row>
    <row r="147" spans="1:256" s="124" customFormat="1" ht="17" customHeight="1" x14ac:dyDescent="0.15">
      <c r="A147" s="135"/>
      <c r="B147" s="135"/>
      <c r="C147" s="137"/>
      <c r="D147" s="114">
        <f t="shared" si="6"/>
        <v>0.27272727272727271</v>
      </c>
      <c r="E147" s="131"/>
      <c r="F147" s="132" t="s">
        <v>412</v>
      </c>
      <c r="G147" s="117" t="s">
        <v>66</v>
      </c>
      <c r="H147" s="133">
        <f t="shared" si="8"/>
        <v>4</v>
      </c>
      <c r="I147" s="134">
        <f>IF([2]项目总工作量!B$6="交易类",H147*1.5/22,IF([2]项目总工作量!B$6="数据分析类",H147*1.5*0.9/22,IF([2]项目总工作量!B$6="流程管理类",H147*1.5*0.8/22,IF([2]项目总工作量!B$6="渠道类",H147*1.5*0.7/22,FALSE))))</f>
        <v>0.27272727272727271</v>
      </c>
      <c r="J147" s="117" t="s">
        <v>44</v>
      </c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  <c r="IG147" s="123"/>
      <c r="IH147" s="123"/>
      <c r="II147" s="123"/>
      <c r="IJ147" s="123"/>
      <c r="IK147" s="123"/>
      <c r="IL147" s="123"/>
      <c r="IM147" s="123"/>
      <c r="IN147" s="123"/>
      <c r="IO147" s="123"/>
      <c r="IP147" s="123"/>
      <c r="IQ147" s="123"/>
      <c r="IR147" s="123"/>
      <c r="IS147" s="123"/>
      <c r="IT147" s="123"/>
      <c r="IU147" s="123"/>
      <c r="IV147" s="123"/>
    </row>
    <row r="148" spans="1:256" s="124" customFormat="1" ht="17" customHeight="1" x14ac:dyDescent="0.15">
      <c r="A148" s="135"/>
      <c r="B148" s="135"/>
      <c r="C148" s="137"/>
      <c r="D148" s="114">
        <f t="shared" si="6"/>
        <v>0.27272727272727271</v>
      </c>
      <c r="E148" s="131"/>
      <c r="F148" s="132" t="s">
        <v>413</v>
      </c>
      <c r="G148" s="117" t="s">
        <v>66</v>
      </c>
      <c r="H148" s="133">
        <f t="shared" si="8"/>
        <v>4</v>
      </c>
      <c r="I148" s="134">
        <f>IF([2]项目总工作量!B$6="交易类",H148*1.5/22,IF([2]项目总工作量!B$6="数据分析类",H148*1.5*0.9/22,IF([2]项目总工作量!B$6="流程管理类",H148*1.5*0.8/22,IF([2]项目总工作量!B$6="渠道类",H148*1.5*0.7/22,FALSE))))</f>
        <v>0.27272727272727271</v>
      </c>
      <c r="J148" s="117" t="s">
        <v>44</v>
      </c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  <c r="IG148" s="123"/>
      <c r="IH148" s="123"/>
      <c r="II148" s="123"/>
      <c r="IJ148" s="123"/>
      <c r="IK148" s="123"/>
      <c r="IL148" s="123"/>
      <c r="IM148" s="123"/>
      <c r="IN148" s="123"/>
      <c r="IO148" s="123"/>
      <c r="IP148" s="123"/>
      <c r="IQ148" s="123"/>
      <c r="IR148" s="123"/>
      <c r="IS148" s="123"/>
      <c r="IT148" s="123"/>
      <c r="IU148" s="123"/>
      <c r="IV148" s="123"/>
    </row>
    <row r="149" spans="1:256" s="124" customFormat="1" ht="17" customHeight="1" x14ac:dyDescent="0.15">
      <c r="A149" s="135"/>
      <c r="B149" s="135"/>
      <c r="C149" s="137"/>
      <c r="D149" s="114">
        <f t="shared" si="6"/>
        <v>0.27272727272727271</v>
      </c>
      <c r="E149" s="131"/>
      <c r="F149" s="132" t="s">
        <v>414</v>
      </c>
      <c r="G149" s="117" t="s">
        <v>66</v>
      </c>
      <c r="H149" s="133">
        <f t="shared" si="8"/>
        <v>4</v>
      </c>
      <c r="I149" s="134">
        <f>IF([2]项目总工作量!B$6="交易类",H149*1.5/22,IF([2]项目总工作量!B$6="数据分析类",H149*1.5*0.9/22,IF([2]项目总工作量!B$6="流程管理类",H149*1.5*0.8/22,IF([2]项目总工作量!B$6="渠道类",H149*1.5*0.7/22,FALSE))))</f>
        <v>0.27272727272727271</v>
      </c>
      <c r="J149" s="117" t="s">
        <v>44</v>
      </c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  <c r="IG149" s="123"/>
      <c r="IH149" s="123"/>
      <c r="II149" s="123"/>
      <c r="IJ149" s="123"/>
      <c r="IK149" s="123"/>
      <c r="IL149" s="123"/>
      <c r="IM149" s="123"/>
      <c r="IN149" s="123"/>
      <c r="IO149" s="123"/>
      <c r="IP149" s="123"/>
      <c r="IQ149" s="123"/>
      <c r="IR149" s="123"/>
      <c r="IS149" s="123"/>
      <c r="IT149" s="123"/>
      <c r="IU149" s="123"/>
      <c r="IV149" s="123"/>
    </row>
    <row r="150" spans="1:256" s="124" customFormat="1" ht="16" customHeight="1" x14ac:dyDescent="0.15">
      <c r="A150" s="135"/>
      <c r="B150" s="135"/>
      <c r="C150" s="130" t="s">
        <v>415</v>
      </c>
      <c r="D150" s="114">
        <f t="shared" si="6"/>
        <v>0.27272727272727271</v>
      </c>
      <c r="E150" s="131"/>
      <c r="F150" s="132" t="s">
        <v>416</v>
      </c>
      <c r="G150" s="117" t="s">
        <v>66</v>
      </c>
      <c r="H150" s="133">
        <f t="shared" si="8"/>
        <v>4</v>
      </c>
      <c r="I150" s="134">
        <f>IF([2]项目总工作量!B$6="交易类",H150*1.5/22,IF([2]项目总工作量!B$6="数据分析类",H150*1.5*0.9/22,IF([2]项目总工作量!B$6="流程管理类",H150*1.5*0.8/22,IF([2]项目总工作量!B$6="渠道类",H150*1.5*0.7/22,FALSE))))</f>
        <v>0.27272727272727271</v>
      </c>
      <c r="J150" s="117" t="s">
        <v>44</v>
      </c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  <c r="IG150" s="123"/>
      <c r="IH150" s="123"/>
      <c r="II150" s="123"/>
      <c r="IJ150" s="123"/>
      <c r="IK150" s="123"/>
      <c r="IL150" s="123"/>
      <c r="IM150" s="123"/>
      <c r="IN150" s="123"/>
      <c r="IO150" s="123"/>
      <c r="IP150" s="123"/>
      <c r="IQ150" s="123"/>
      <c r="IR150" s="123"/>
      <c r="IS150" s="123"/>
      <c r="IT150" s="123"/>
      <c r="IU150" s="123"/>
      <c r="IV150" s="123"/>
    </row>
    <row r="151" spans="1:256" s="124" customFormat="1" ht="17" customHeight="1" x14ac:dyDescent="0.15">
      <c r="A151" s="135"/>
      <c r="B151" s="135"/>
      <c r="C151" s="137"/>
      <c r="D151" s="114">
        <f t="shared" si="6"/>
        <v>0.27272727272727271</v>
      </c>
      <c r="E151" s="131"/>
      <c r="F151" s="132" t="s">
        <v>417</v>
      </c>
      <c r="G151" s="117" t="s">
        <v>66</v>
      </c>
      <c r="H151" s="133">
        <f t="shared" si="8"/>
        <v>4</v>
      </c>
      <c r="I151" s="134">
        <f>IF([2]项目总工作量!B$6="交易类",H151*1.5/22,IF([2]项目总工作量!B$6="数据分析类",H151*1.5*0.9/22,IF([2]项目总工作量!B$6="流程管理类",H151*1.5*0.8/22,IF([2]项目总工作量!B$6="渠道类",H151*1.5*0.7/22,FALSE))))</f>
        <v>0.27272727272727271</v>
      </c>
      <c r="J151" s="117" t="s">
        <v>44</v>
      </c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  <c r="IG151" s="123"/>
      <c r="IH151" s="123"/>
      <c r="II151" s="123"/>
      <c r="IJ151" s="123"/>
      <c r="IK151" s="123"/>
      <c r="IL151" s="123"/>
      <c r="IM151" s="123"/>
      <c r="IN151" s="123"/>
      <c r="IO151" s="123"/>
      <c r="IP151" s="123"/>
      <c r="IQ151" s="123"/>
      <c r="IR151" s="123"/>
      <c r="IS151" s="123"/>
      <c r="IT151" s="123"/>
      <c r="IU151" s="123"/>
      <c r="IV151" s="123"/>
    </row>
    <row r="152" spans="1:256" s="124" customFormat="1" ht="16" customHeight="1" x14ac:dyDescent="0.15">
      <c r="A152" s="135"/>
      <c r="B152" s="135"/>
      <c r="C152" s="137"/>
      <c r="D152" s="114">
        <f t="shared" si="6"/>
        <v>0.27272727272727271</v>
      </c>
      <c r="E152" s="131"/>
      <c r="F152" s="132" t="s">
        <v>418</v>
      </c>
      <c r="G152" s="117" t="s">
        <v>66</v>
      </c>
      <c r="H152" s="133">
        <f t="shared" si="8"/>
        <v>4</v>
      </c>
      <c r="I152" s="134">
        <f>IF([2]项目总工作量!B$6="交易类",H152*1.5/22,IF([2]项目总工作量!B$6="数据分析类",H152*1.5*0.9/22,IF([2]项目总工作量!B$6="流程管理类",H152*1.5*0.8/22,IF([2]项目总工作量!B$6="渠道类",H152*1.5*0.7/22,FALSE))))</f>
        <v>0.27272727272727271</v>
      </c>
      <c r="J152" s="117" t="s">
        <v>44</v>
      </c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  <c r="IG152" s="123"/>
      <c r="IH152" s="123"/>
      <c r="II152" s="123"/>
      <c r="IJ152" s="123"/>
      <c r="IK152" s="123"/>
      <c r="IL152" s="123"/>
      <c r="IM152" s="123"/>
      <c r="IN152" s="123"/>
      <c r="IO152" s="123"/>
      <c r="IP152" s="123"/>
      <c r="IQ152" s="123"/>
      <c r="IR152" s="123"/>
      <c r="IS152" s="123"/>
      <c r="IT152" s="123"/>
      <c r="IU152" s="123"/>
      <c r="IV152" s="123"/>
    </row>
    <row r="153" spans="1:256" s="124" customFormat="1" ht="16" customHeight="1" x14ac:dyDescent="0.15">
      <c r="A153" s="135"/>
      <c r="B153" s="136"/>
      <c r="C153" s="137"/>
      <c r="D153" s="114">
        <f t="shared" si="6"/>
        <v>0.27272727272727271</v>
      </c>
      <c r="E153" s="131"/>
      <c r="F153" s="132" t="s">
        <v>419</v>
      </c>
      <c r="G153" s="117" t="s">
        <v>66</v>
      </c>
      <c r="H153" s="133">
        <f t="shared" si="8"/>
        <v>4</v>
      </c>
      <c r="I153" s="134">
        <f>IF([2]项目总工作量!B$6="交易类",H153*1.5/22,IF([2]项目总工作量!B$6="数据分析类",H153*1.5*0.9/22,IF([2]项目总工作量!B$6="流程管理类",H153*1.5*0.8/22,IF([2]项目总工作量!B$6="渠道类",H153*1.5*0.7/22,FALSE))))</f>
        <v>0.27272727272727271</v>
      </c>
      <c r="J153" s="117" t="s">
        <v>44</v>
      </c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  <c r="IG153" s="123"/>
      <c r="IH153" s="123"/>
      <c r="II153" s="123"/>
      <c r="IJ153" s="123"/>
      <c r="IK153" s="123"/>
      <c r="IL153" s="123"/>
      <c r="IM153" s="123"/>
      <c r="IN153" s="123"/>
      <c r="IO153" s="123"/>
      <c r="IP153" s="123"/>
      <c r="IQ153" s="123"/>
      <c r="IR153" s="123"/>
      <c r="IS153" s="123"/>
      <c r="IT153" s="123"/>
      <c r="IU153" s="123"/>
      <c r="IV153" s="123"/>
    </row>
    <row r="154" spans="1:256" s="124" customFormat="1" ht="16" customHeight="1" x14ac:dyDescent="0.15">
      <c r="A154" s="135"/>
      <c r="B154" s="136"/>
      <c r="C154" s="137"/>
      <c r="D154" s="114">
        <f t="shared" si="6"/>
        <v>0.27272727272727271</v>
      </c>
      <c r="E154" s="131"/>
      <c r="F154" s="132" t="s">
        <v>420</v>
      </c>
      <c r="G154" s="117" t="s">
        <v>66</v>
      </c>
      <c r="H154" s="133">
        <f t="shared" si="8"/>
        <v>4</v>
      </c>
      <c r="I154" s="134">
        <f>IF([2]项目总工作量!B$6="交易类",H154*1.5/22,IF([2]项目总工作量!B$6="数据分析类",H154*1.5*0.9/22,IF([2]项目总工作量!B$6="流程管理类",H154*1.5*0.8/22,IF([2]项目总工作量!B$6="渠道类",H154*1.5*0.7/22,FALSE))))</f>
        <v>0.27272727272727271</v>
      </c>
      <c r="J154" s="117" t="s">
        <v>44</v>
      </c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  <c r="IG154" s="123"/>
      <c r="IH154" s="123"/>
      <c r="II154" s="123"/>
      <c r="IJ154" s="123"/>
      <c r="IK154" s="123"/>
      <c r="IL154" s="123"/>
      <c r="IM154" s="123"/>
      <c r="IN154" s="123"/>
      <c r="IO154" s="123"/>
      <c r="IP154" s="123"/>
      <c r="IQ154" s="123"/>
      <c r="IR154" s="123"/>
      <c r="IS154" s="123"/>
      <c r="IT154" s="123"/>
      <c r="IU154" s="123"/>
      <c r="IV154" s="123"/>
    </row>
    <row r="155" spans="1:256" s="124" customFormat="1" ht="16" customHeight="1" x14ac:dyDescent="0.15">
      <c r="A155" s="135"/>
      <c r="B155" s="136"/>
      <c r="C155" s="137"/>
      <c r="D155" s="114">
        <f t="shared" si="6"/>
        <v>0.27272727272727271</v>
      </c>
      <c r="E155" s="131"/>
      <c r="F155" s="132" t="s">
        <v>421</v>
      </c>
      <c r="G155" s="117" t="s">
        <v>66</v>
      </c>
      <c r="H155" s="133">
        <f t="shared" si="8"/>
        <v>4</v>
      </c>
      <c r="I155" s="134">
        <f>IF([2]项目总工作量!B$6="交易类",H155*1.5/22,IF([2]项目总工作量!B$6="数据分析类",H155*1.5*0.9/22,IF([2]项目总工作量!B$6="流程管理类",H155*1.5*0.8/22,IF([2]项目总工作量!B$6="渠道类",H155*1.5*0.7/22,FALSE))))</f>
        <v>0.27272727272727271</v>
      </c>
      <c r="J155" s="117" t="s">
        <v>44</v>
      </c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  <c r="IG155" s="123"/>
      <c r="IH155" s="123"/>
      <c r="II155" s="123"/>
      <c r="IJ155" s="123"/>
      <c r="IK155" s="123"/>
      <c r="IL155" s="123"/>
      <c r="IM155" s="123"/>
      <c r="IN155" s="123"/>
      <c r="IO155" s="123"/>
      <c r="IP155" s="123"/>
      <c r="IQ155" s="123"/>
      <c r="IR155" s="123"/>
      <c r="IS155" s="123"/>
      <c r="IT155" s="123"/>
      <c r="IU155" s="123"/>
      <c r="IV155" s="123"/>
    </row>
    <row r="156" spans="1:256" s="124" customFormat="1" ht="16" customHeight="1" x14ac:dyDescent="0.15">
      <c r="A156" s="135"/>
      <c r="B156" s="136"/>
      <c r="C156" s="137"/>
      <c r="D156" s="114">
        <f t="shared" si="6"/>
        <v>0.27272727272727271</v>
      </c>
      <c r="E156" s="131"/>
      <c r="F156" s="132" t="s">
        <v>422</v>
      </c>
      <c r="G156" s="117" t="s">
        <v>66</v>
      </c>
      <c r="H156" s="133">
        <f t="shared" si="8"/>
        <v>4</v>
      </c>
      <c r="I156" s="134">
        <f>IF([2]项目总工作量!B$6="交易类",H156*1.5/22,IF([2]项目总工作量!B$6="数据分析类",H156*1.5*0.9/22,IF([2]项目总工作量!B$6="流程管理类",H156*1.5*0.8/22,IF([2]项目总工作量!B$6="渠道类",H156*1.5*0.7/22,FALSE))))</f>
        <v>0.27272727272727271</v>
      </c>
      <c r="J156" s="117" t="s">
        <v>44</v>
      </c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  <c r="IG156" s="123"/>
      <c r="IH156" s="123"/>
      <c r="II156" s="123"/>
      <c r="IJ156" s="123"/>
      <c r="IK156" s="123"/>
      <c r="IL156" s="123"/>
      <c r="IM156" s="123"/>
      <c r="IN156" s="123"/>
      <c r="IO156" s="123"/>
      <c r="IP156" s="123"/>
      <c r="IQ156" s="123"/>
      <c r="IR156" s="123"/>
      <c r="IS156" s="123"/>
      <c r="IT156" s="123"/>
      <c r="IU156" s="123"/>
      <c r="IV156" s="123"/>
    </row>
    <row r="157" spans="1:256" s="124" customFormat="1" ht="16" customHeight="1" x14ac:dyDescent="0.15">
      <c r="A157" s="135"/>
      <c r="B157" s="136"/>
      <c r="C157" s="137"/>
      <c r="D157" s="114">
        <f t="shared" si="6"/>
        <v>0.27272727272727271</v>
      </c>
      <c r="E157" s="131"/>
      <c r="F157" s="132" t="s">
        <v>423</v>
      </c>
      <c r="G157" s="117" t="s">
        <v>66</v>
      </c>
      <c r="H157" s="133">
        <f t="shared" si="8"/>
        <v>4</v>
      </c>
      <c r="I157" s="134">
        <f>IF([2]项目总工作量!B$6="交易类",H157*1.5/22,IF([2]项目总工作量!B$6="数据分析类",H157*1.5*0.9/22,IF([2]项目总工作量!B$6="流程管理类",H157*1.5*0.8/22,IF([2]项目总工作量!B$6="渠道类",H157*1.5*0.7/22,FALSE))))</f>
        <v>0.27272727272727271</v>
      </c>
      <c r="J157" s="117" t="s">
        <v>44</v>
      </c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  <c r="IG157" s="123"/>
      <c r="IH157" s="123"/>
      <c r="II157" s="123"/>
      <c r="IJ157" s="123"/>
      <c r="IK157" s="123"/>
      <c r="IL157" s="123"/>
      <c r="IM157" s="123"/>
      <c r="IN157" s="123"/>
      <c r="IO157" s="123"/>
      <c r="IP157" s="123"/>
      <c r="IQ157" s="123"/>
      <c r="IR157" s="123"/>
      <c r="IS157" s="123"/>
      <c r="IT157" s="123"/>
      <c r="IU157" s="123"/>
      <c r="IV157" s="123"/>
    </row>
    <row r="158" spans="1:256" s="124" customFormat="1" ht="16" customHeight="1" x14ac:dyDescent="0.15">
      <c r="A158" s="135"/>
      <c r="B158" s="136"/>
      <c r="C158" s="137"/>
      <c r="D158" s="114">
        <f t="shared" si="6"/>
        <v>0.27272727272727271</v>
      </c>
      <c r="E158" s="131"/>
      <c r="F158" s="132" t="s">
        <v>424</v>
      </c>
      <c r="G158" s="117" t="s">
        <v>66</v>
      </c>
      <c r="H158" s="133">
        <f t="shared" si="8"/>
        <v>4</v>
      </c>
      <c r="I158" s="134">
        <f>IF([2]项目总工作量!B$6="交易类",H158*1.5/22,IF([2]项目总工作量!B$6="数据分析类",H158*1.5*0.9/22,IF([2]项目总工作量!B$6="流程管理类",H158*1.5*0.8/22,IF([2]项目总工作量!B$6="渠道类",H158*1.5*0.7/22,FALSE))))</f>
        <v>0.27272727272727271</v>
      </c>
      <c r="J158" s="117" t="s">
        <v>44</v>
      </c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  <c r="IG158" s="123"/>
      <c r="IH158" s="123"/>
      <c r="II158" s="123"/>
      <c r="IJ158" s="123"/>
      <c r="IK158" s="123"/>
      <c r="IL158" s="123"/>
      <c r="IM158" s="123"/>
      <c r="IN158" s="123"/>
      <c r="IO158" s="123"/>
      <c r="IP158" s="123"/>
      <c r="IQ158" s="123"/>
      <c r="IR158" s="123"/>
      <c r="IS158" s="123"/>
      <c r="IT158" s="123"/>
      <c r="IU158" s="123"/>
      <c r="IV158" s="123"/>
    </row>
    <row r="159" spans="1:256" s="124" customFormat="1" ht="17" customHeight="1" x14ac:dyDescent="0.15">
      <c r="A159" s="135"/>
      <c r="B159" s="135"/>
      <c r="C159" s="137"/>
      <c r="D159" s="114">
        <f t="shared" si="6"/>
        <v>0.27272727272727271</v>
      </c>
      <c r="E159" s="131"/>
      <c r="F159" s="132" t="s">
        <v>425</v>
      </c>
      <c r="G159" s="117" t="s">
        <v>66</v>
      </c>
      <c r="H159" s="133">
        <f t="shared" si="8"/>
        <v>4</v>
      </c>
      <c r="I159" s="134">
        <f>IF([2]项目总工作量!B$6="交易类",H159*1.5/22,IF([2]项目总工作量!B$6="数据分析类",H159*1.5*0.9/22,IF([2]项目总工作量!B$6="流程管理类",H159*1.5*0.8/22,IF([2]项目总工作量!B$6="渠道类",H159*1.5*0.7/22,FALSE))))</f>
        <v>0.27272727272727271</v>
      </c>
      <c r="J159" s="117" t="s">
        <v>44</v>
      </c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  <c r="IG159" s="123"/>
      <c r="IH159" s="123"/>
      <c r="II159" s="123"/>
      <c r="IJ159" s="123"/>
      <c r="IK159" s="123"/>
      <c r="IL159" s="123"/>
      <c r="IM159" s="123"/>
      <c r="IN159" s="123"/>
      <c r="IO159" s="123"/>
      <c r="IP159" s="123"/>
      <c r="IQ159" s="123"/>
      <c r="IR159" s="123"/>
      <c r="IS159" s="123"/>
      <c r="IT159" s="123"/>
      <c r="IU159" s="123"/>
      <c r="IV159" s="123"/>
    </row>
    <row r="160" spans="1:256" s="124" customFormat="1" ht="17" customHeight="1" x14ac:dyDescent="0.15">
      <c r="A160" s="135"/>
      <c r="B160" s="135"/>
      <c r="C160" s="137"/>
      <c r="D160" s="114">
        <f t="shared" si="6"/>
        <v>0.27272727272727271</v>
      </c>
      <c r="E160" s="131"/>
      <c r="F160" s="132" t="s">
        <v>426</v>
      </c>
      <c r="G160" s="117" t="s">
        <v>66</v>
      </c>
      <c r="H160" s="133">
        <f t="shared" si="8"/>
        <v>4</v>
      </c>
      <c r="I160" s="134">
        <f>IF([2]项目总工作量!B$6="交易类",H160*1.5/22,IF([2]项目总工作量!B$6="数据分析类",H160*1.5*0.9/22,IF([2]项目总工作量!B$6="流程管理类",H160*1.5*0.8/22,IF([2]项目总工作量!B$6="渠道类",H160*1.5*0.7/22,FALSE))))</f>
        <v>0.27272727272727271</v>
      </c>
      <c r="J160" s="117" t="s">
        <v>44</v>
      </c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  <c r="IG160" s="123"/>
      <c r="IH160" s="123"/>
      <c r="II160" s="123"/>
      <c r="IJ160" s="123"/>
      <c r="IK160" s="123"/>
      <c r="IL160" s="123"/>
      <c r="IM160" s="123"/>
      <c r="IN160" s="123"/>
      <c r="IO160" s="123"/>
      <c r="IP160" s="123"/>
      <c r="IQ160" s="123"/>
      <c r="IR160" s="123"/>
      <c r="IS160" s="123"/>
      <c r="IT160" s="123"/>
      <c r="IU160" s="123"/>
      <c r="IV160" s="123"/>
    </row>
    <row r="161" spans="1:256" s="124" customFormat="1" ht="17" customHeight="1" x14ac:dyDescent="0.15">
      <c r="A161" s="135"/>
      <c r="B161" s="135"/>
      <c r="C161" s="137"/>
      <c r="D161" s="114">
        <f t="shared" si="6"/>
        <v>0.27272727272727271</v>
      </c>
      <c r="E161" s="131"/>
      <c r="F161" s="132" t="s">
        <v>427</v>
      </c>
      <c r="G161" s="117" t="s">
        <v>66</v>
      </c>
      <c r="H161" s="133">
        <f t="shared" si="8"/>
        <v>4</v>
      </c>
      <c r="I161" s="134">
        <f>IF([2]项目总工作量!B$6="交易类",H161*1.5/22,IF([2]项目总工作量!B$6="数据分析类",H161*1.5*0.9/22,IF([2]项目总工作量!B$6="流程管理类",H161*1.5*0.8/22,IF([2]项目总工作量!B$6="渠道类",H161*1.5*0.7/22,FALSE))))</f>
        <v>0.27272727272727271</v>
      </c>
      <c r="J161" s="117" t="s">
        <v>44</v>
      </c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  <c r="IG161" s="123"/>
      <c r="IH161" s="123"/>
      <c r="II161" s="123"/>
      <c r="IJ161" s="123"/>
      <c r="IK161" s="123"/>
      <c r="IL161" s="123"/>
      <c r="IM161" s="123"/>
      <c r="IN161" s="123"/>
      <c r="IO161" s="123"/>
      <c r="IP161" s="123"/>
      <c r="IQ161" s="123"/>
      <c r="IR161" s="123"/>
      <c r="IS161" s="123"/>
      <c r="IT161" s="123"/>
      <c r="IU161" s="123"/>
      <c r="IV161" s="123"/>
    </row>
    <row r="162" spans="1:256" s="124" customFormat="1" ht="17" customHeight="1" x14ac:dyDescent="0.15">
      <c r="A162" s="135"/>
      <c r="B162" s="135"/>
      <c r="C162" s="137"/>
      <c r="D162" s="114">
        <f t="shared" si="6"/>
        <v>0.27272727272727271</v>
      </c>
      <c r="E162" s="131"/>
      <c r="F162" s="132" t="s">
        <v>428</v>
      </c>
      <c r="G162" s="117" t="s">
        <v>66</v>
      </c>
      <c r="H162" s="133">
        <f t="shared" si="8"/>
        <v>4</v>
      </c>
      <c r="I162" s="134">
        <f>IF([2]项目总工作量!B$6="交易类",H162*1.5/22,IF([2]项目总工作量!B$6="数据分析类",H162*1.5*0.9/22,IF([2]项目总工作量!B$6="流程管理类",H162*1.5*0.8/22,IF([2]项目总工作量!B$6="渠道类",H162*1.5*0.7/22,FALSE))))</f>
        <v>0.27272727272727271</v>
      </c>
      <c r="J162" s="117" t="s">
        <v>44</v>
      </c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  <c r="IG162" s="123"/>
      <c r="IH162" s="123"/>
      <c r="II162" s="123"/>
      <c r="IJ162" s="123"/>
      <c r="IK162" s="123"/>
      <c r="IL162" s="123"/>
      <c r="IM162" s="123"/>
      <c r="IN162" s="123"/>
      <c r="IO162" s="123"/>
      <c r="IP162" s="123"/>
      <c r="IQ162" s="123"/>
      <c r="IR162" s="123"/>
      <c r="IS162" s="123"/>
      <c r="IT162" s="123"/>
      <c r="IU162" s="123"/>
      <c r="IV162" s="123"/>
    </row>
    <row r="163" spans="1:256" s="124" customFormat="1" ht="17" customHeight="1" x14ac:dyDescent="0.15">
      <c r="A163" s="135"/>
      <c r="B163" s="135"/>
      <c r="C163" s="137"/>
      <c r="D163" s="114">
        <f t="shared" si="6"/>
        <v>0.27272727272727271</v>
      </c>
      <c r="E163" s="131"/>
      <c r="F163" s="132" t="s">
        <v>429</v>
      </c>
      <c r="G163" s="117" t="s">
        <v>66</v>
      </c>
      <c r="H163" s="133">
        <f t="shared" si="8"/>
        <v>4</v>
      </c>
      <c r="I163" s="134">
        <f>IF([2]项目总工作量!B$6="交易类",H163*1.5/22,IF([2]项目总工作量!B$6="数据分析类",H163*1.5*0.9/22,IF([2]项目总工作量!B$6="流程管理类",H163*1.5*0.8/22,IF([2]项目总工作量!B$6="渠道类",H163*1.5*0.7/22,FALSE))))</f>
        <v>0.27272727272727271</v>
      </c>
      <c r="J163" s="117" t="s">
        <v>44</v>
      </c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  <c r="IG163" s="123"/>
      <c r="IH163" s="123"/>
      <c r="II163" s="123"/>
      <c r="IJ163" s="123"/>
      <c r="IK163" s="123"/>
      <c r="IL163" s="123"/>
      <c r="IM163" s="123"/>
      <c r="IN163" s="123"/>
      <c r="IO163" s="123"/>
      <c r="IP163" s="123"/>
      <c r="IQ163" s="123"/>
      <c r="IR163" s="123"/>
      <c r="IS163" s="123"/>
      <c r="IT163" s="123"/>
      <c r="IU163" s="123"/>
      <c r="IV163" s="123"/>
    </row>
    <row r="164" spans="1:256" s="124" customFormat="1" ht="17" customHeight="1" x14ac:dyDescent="0.15">
      <c r="A164" s="135"/>
      <c r="B164" s="135"/>
      <c r="C164" s="137"/>
      <c r="D164" s="114">
        <f t="shared" si="6"/>
        <v>0.27272727272727271</v>
      </c>
      <c r="E164" s="131"/>
      <c r="F164" s="132" t="s">
        <v>430</v>
      </c>
      <c r="G164" s="117" t="s">
        <v>66</v>
      </c>
      <c r="H164" s="133">
        <f t="shared" si="8"/>
        <v>4</v>
      </c>
      <c r="I164" s="134">
        <f>IF([2]项目总工作量!B$6="交易类",H164*1.5/22,IF([2]项目总工作量!B$6="数据分析类",H164*1.5*0.9/22,IF([2]项目总工作量!B$6="流程管理类",H164*1.5*0.8/22,IF([2]项目总工作量!B$6="渠道类",H164*1.5*0.7/22,FALSE))))</f>
        <v>0.27272727272727271</v>
      </c>
      <c r="J164" s="117" t="s">
        <v>44</v>
      </c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  <c r="IG164" s="123"/>
      <c r="IH164" s="123"/>
      <c r="II164" s="123"/>
      <c r="IJ164" s="123"/>
      <c r="IK164" s="123"/>
      <c r="IL164" s="123"/>
      <c r="IM164" s="123"/>
      <c r="IN164" s="123"/>
      <c r="IO164" s="123"/>
      <c r="IP164" s="123"/>
      <c r="IQ164" s="123"/>
      <c r="IR164" s="123"/>
      <c r="IS164" s="123"/>
      <c r="IT164" s="123"/>
      <c r="IU164" s="123"/>
      <c r="IV164" s="123"/>
    </row>
    <row r="165" spans="1:256" s="124" customFormat="1" ht="17" customHeight="1" x14ac:dyDescent="0.15">
      <c r="A165" s="135"/>
      <c r="B165" s="135"/>
      <c r="C165" s="137"/>
      <c r="D165" s="114">
        <f t="shared" ref="D165:D228" si="9">I165</f>
        <v>0.27272727272727271</v>
      </c>
      <c r="E165" s="131"/>
      <c r="F165" s="132" t="s">
        <v>431</v>
      </c>
      <c r="G165" s="117" t="s">
        <v>66</v>
      </c>
      <c r="H165" s="133">
        <f t="shared" si="8"/>
        <v>4</v>
      </c>
      <c r="I165" s="134">
        <f>IF([2]项目总工作量!B$6="交易类",H165*1.5/22,IF([2]项目总工作量!B$6="数据分析类",H165*1.5*0.9/22,IF([2]项目总工作量!B$6="流程管理类",H165*1.5*0.8/22,IF([2]项目总工作量!B$6="渠道类",H165*1.5*0.7/22,FALSE))))</f>
        <v>0.27272727272727271</v>
      </c>
      <c r="J165" s="117" t="s">
        <v>44</v>
      </c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  <c r="IG165" s="123"/>
      <c r="IH165" s="123"/>
      <c r="II165" s="123"/>
      <c r="IJ165" s="123"/>
      <c r="IK165" s="123"/>
      <c r="IL165" s="123"/>
      <c r="IM165" s="123"/>
      <c r="IN165" s="123"/>
      <c r="IO165" s="123"/>
      <c r="IP165" s="123"/>
      <c r="IQ165" s="123"/>
      <c r="IR165" s="123"/>
      <c r="IS165" s="123"/>
      <c r="IT165" s="123"/>
      <c r="IU165" s="123"/>
      <c r="IV165" s="123"/>
    </row>
    <row r="166" spans="1:256" s="124" customFormat="1" ht="17" customHeight="1" x14ac:dyDescent="0.15">
      <c r="A166" s="135"/>
      <c r="B166" s="135"/>
      <c r="C166" s="137"/>
      <c r="D166" s="114">
        <f t="shared" si="9"/>
        <v>0.27272727272727271</v>
      </c>
      <c r="E166" s="131"/>
      <c r="F166" s="132" t="s">
        <v>432</v>
      </c>
      <c r="G166" s="117" t="s">
        <v>66</v>
      </c>
      <c r="H166" s="133">
        <f t="shared" si="8"/>
        <v>4</v>
      </c>
      <c r="I166" s="134">
        <f>IF([2]项目总工作量!B$6="交易类",H166*1.5/22,IF([2]项目总工作量!B$6="数据分析类",H166*1.5*0.9/22,IF([2]项目总工作量!B$6="流程管理类",H166*1.5*0.8/22,IF([2]项目总工作量!B$6="渠道类",H166*1.5*0.7/22,FALSE))))</f>
        <v>0.27272727272727271</v>
      </c>
      <c r="J166" s="117" t="s">
        <v>44</v>
      </c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  <c r="IG166" s="123"/>
      <c r="IH166" s="123"/>
      <c r="II166" s="123"/>
      <c r="IJ166" s="123"/>
      <c r="IK166" s="123"/>
      <c r="IL166" s="123"/>
      <c r="IM166" s="123"/>
      <c r="IN166" s="123"/>
      <c r="IO166" s="123"/>
      <c r="IP166" s="123"/>
      <c r="IQ166" s="123"/>
      <c r="IR166" s="123"/>
      <c r="IS166" s="123"/>
      <c r="IT166" s="123"/>
      <c r="IU166" s="123"/>
      <c r="IV166" s="123"/>
    </row>
    <row r="167" spans="1:256" s="124" customFormat="1" ht="17" customHeight="1" x14ac:dyDescent="0.15">
      <c r="A167" s="135"/>
      <c r="B167" s="135"/>
      <c r="C167" s="137"/>
      <c r="D167" s="114">
        <f t="shared" si="9"/>
        <v>0.27272727272727271</v>
      </c>
      <c r="E167" s="131"/>
      <c r="F167" s="132" t="s">
        <v>433</v>
      </c>
      <c r="G167" s="117" t="s">
        <v>66</v>
      </c>
      <c r="H167" s="133">
        <f t="shared" si="8"/>
        <v>4</v>
      </c>
      <c r="I167" s="134">
        <f>IF([2]项目总工作量!B$6="交易类",H167*1.5/22,IF([2]项目总工作量!B$6="数据分析类",H167*1.5*0.9/22,IF([2]项目总工作量!B$6="流程管理类",H167*1.5*0.8/22,IF([2]项目总工作量!B$6="渠道类",H167*1.5*0.7/22,FALSE))))</f>
        <v>0.27272727272727271</v>
      </c>
      <c r="J167" s="117" t="s">
        <v>44</v>
      </c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  <c r="IG167" s="123"/>
      <c r="IH167" s="123"/>
      <c r="II167" s="123"/>
      <c r="IJ167" s="123"/>
      <c r="IK167" s="123"/>
      <c r="IL167" s="123"/>
      <c r="IM167" s="123"/>
      <c r="IN167" s="123"/>
      <c r="IO167" s="123"/>
      <c r="IP167" s="123"/>
      <c r="IQ167" s="123"/>
      <c r="IR167" s="123"/>
      <c r="IS167" s="123"/>
      <c r="IT167" s="123"/>
      <c r="IU167" s="123"/>
      <c r="IV167" s="123"/>
    </row>
    <row r="168" spans="1:256" s="124" customFormat="1" ht="17" customHeight="1" x14ac:dyDescent="0.15">
      <c r="A168" s="135"/>
      <c r="B168" s="135"/>
      <c r="C168" s="137"/>
      <c r="D168" s="114">
        <f t="shared" si="9"/>
        <v>0.27272727272727271</v>
      </c>
      <c r="E168" s="131"/>
      <c r="F168" s="132" t="s">
        <v>434</v>
      </c>
      <c r="G168" s="117" t="s">
        <v>66</v>
      </c>
      <c r="H168" s="133">
        <f t="shared" si="8"/>
        <v>4</v>
      </c>
      <c r="I168" s="134">
        <f>IF([2]项目总工作量!B$6="交易类",H168*1.5/22,IF([2]项目总工作量!B$6="数据分析类",H168*1.5*0.9/22,IF([2]项目总工作量!B$6="流程管理类",H168*1.5*0.8/22,IF([2]项目总工作量!B$6="渠道类",H168*1.5*0.7/22,FALSE))))</f>
        <v>0.27272727272727271</v>
      </c>
      <c r="J168" s="117" t="s">
        <v>44</v>
      </c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  <c r="IG168" s="123"/>
      <c r="IH168" s="123"/>
      <c r="II168" s="123"/>
      <c r="IJ168" s="123"/>
      <c r="IK168" s="123"/>
      <c r="IL168" s="123"/>
      <c r="IM168" s="123"/>
      <c r="IN168" s="123"/>
      <c r="IO168" s="123"/>
      <c r="IP168" s="123"/>
      <c r="IQ168" s="123"/>
      <c r="IR168" s="123"/>
      <c r="IS168" s="123"/>
      <c r="IT168" s="123"/>
      <c r="IU168" s="123"/>
      <c r="IV168" s="123"/>
    </row>
    <row r="169" spans="1:256" s="124" customFormat="1" ht="17" customHeight="1" x14ac:dyDescent="0.15">
      <c r="A169" s="135"/>
      <c r="B169" s="135"/>
      <c r="C169" s="137"/>
      <c r="D169" s="114">
        <f t="shared" si="9"/>
        <v>0.27272727272727271</v>
      </c>
      <c r="E169" s="131"/>
      <c r="F169" s="132" t="s">
        <v>435</v>
      </c>
      <c r="G169" s="117" t="s">
        <v>66</v>
      </c>
      <c r="H169" s="133">
        <f t="shared" si="8"/>
        <v>4</v>
      </c>
      <c r="I169" s="134">
        <f>IF([2]项目总工作量!B$6="交易类",H169*1.5/22,IF([2]项目总工作量!B$6="数据分析类",H169*1.5*0.9/22,IF([2]项目总工作量!B$6="流程管理类",H169*1.5*0.8/22,IF([2]项目总工作量!B$6="渠道类",H169*1.5*0.7/22,FALSE))))</f>
        <v>0.27272727272727271</v>
      </c>
      <c r="J169" s="117" t="s">
        <v>44</v>
      </c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  <c r="IG169" s="123"/>
      <c r="IH169" s="123"/>
      <c r="II169" s="123"/>
      <c r="IJ169" s="123"/>
      <c r="IK169" s="123"/>
      <c r="IL169" s="123"/>
      <c r="IM169" s="123"/>
      <c r="IN169" s="123"/>
      <c r="IO169" s="123"/>
      <c r="IP169" s="123"/>
      <c r="IQ169" s="123"/>
      <c r="IR169" s="123"/>
      <c r="IS169" s="123"/>
      <c r="IT169" s="123"/>
      <c r="IU169" s="123"/>
      <c r="IV169" s="123"/>
    </row>
    <row r="170" spans="1:256" s="124" customFormat="1" ht="17" customHeight="1" x14ac:dyDescent="0.15">
      <c r="A170" s="135"/>
      <c r="B170" s="135"/>
      <c r="C170" s="137"/>
      <c r="D170" s="114">
        <f t="shared" si="9"/>
        <v>0.27272727272727271</v>
      </c>
      <c r="E170" s="131"/>
      <c r="F170" s="132" t="s">
        <v>436</v>
      </c>
      <c r="G170" s="117" t="s">
        <v>66</v>
      </c>
      <c r="H170" s="133">
        <f t="shared" si="8"/>
        <v>4</v>
      </c>
      <c r="I170" s="134">
        <f>IF([2]项目总工作量!B$6="交易类",H170*1.5/22,IF([2]项目总工作量!B$6="数据分析类",H170*1.5*0.9/22,IF([2]项目总工作量!B$6="流程管理类",H170*1.5*0.8/22,IF([2]项目总工作量!B$6="渠道类",H170*1.5*0.7/22,FALSE))))</f>
        <v>0.27272727272727271</v>
      </c>
      <c r="J170" s="117" t="s">
        <v>44</v>
      </c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  <c r="IG170" s="123"/>
      <c r="IH170" s="123"/>
      <c r="II170" s="123"/>
      <c r="IJ170" s="123"/>
      <c r="IK170" s="123"/>
      <c r="IL170" s="123"/>
      <c r="IM170" s="123"/>
      <c r="IN170" s="123"/>
      <c r="IO170" s="123"/>
      <c r="IP170" s="123"/>
      <c r="IQ170" s="123"/>
      <c r="IR170" s="123"/>
      <c r="IS170" s="123"/>
      <c r="IT170" s="123"/>
      <c r="IU170" s="123"/>
      <c r="IV170" s="123"/>
    </row>
    <row r="171" spans="1:256" s="124" customFormat="1" ht="17" customHeight="1" x14ac:dyDescent="0.15">
      <c r="A171" s="135"/>
      <c r="B171" s="135"/>
      <c r="C171" s="137"/>
      <c r="D171" s="114">
        <f t="shared" si="9"/>
        <v>0.27272727272727271</v>
      </c>
      <c r="E171" s="131"/>
      <c r="F171" s="132" t="s">
        <v>437</v>
      </c>
      <c r="G171" s="117" t="s">
        <v>66</v>
      </c>
      <c r="H171" s="133">
        <f t="shared" si="8"/>
        <v>4</v>
      </c>
      <c r="I171" s="134">
        <f>IF([2]项目总工作量!B$6="交易类",H171*1.5/22,IF([2]项目总工作量!B$6="数据分析类",H171*1.5*0.9/22,IF([2]项目总工作量!B$6="流程管理类",H171*1.5*0.8/22,IF([2]项目总工作量!B$6="渠道类",H171*1.5*0.7/22,FALSE))))</f>
        <v>0.27272727272727271</v>
      </c>
      <c r="J171" s="117" t="s">
        <v>44</v>
      </c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  <c r="IG171" s="123"/>
      <c r="IH171" s="123"/>
      <c r="II171" s="123"/>
      <c r="IJ171" s="123"/>
      <c r="IK171" s="123"/>
      <c r="IL171" s="123"/>
      <c r="IM171" s="123"/>
      <c r="IN171" s="123"/>
      <c r="IO171" s="123"/>
      <c r="IP171" s="123"/>
      <c r="IQ171" s="123"/>
      <c r="IR171" s="123"/>
      <c r="IS171" s="123"/>
      <c r="IT171" s="123"/>
      <c r="IU171" s="123"/>
      <c r="IV171" s="123"/>
    </row>
    <row r="172" spans="1:256" s="124" customFormat="1" ht="17" customHeight="1" x14ac:dyDescent="0.15">
      <c r="A172" s="135"/>
      <c r="B172" s="135"/>
      <c r="C172" s="137"/>
      <c r="D172" s="114">
        <f t="shared" si="9"/>
        <v>0.27272727272727271</v>
      </c>
      <c r="E172" s="131"/>
      <c r="F172" s="132" t="s">
        <v>438</v>
      </c>
      <c r="G172" s="117" t="s">
        <v>66</v>
      </c>
      <c r="H172" s="133">
        <f t="shared" si="8"/>
        <v>4</v>
      </c>
      <c r="I172" s="134">
        <f>IF([2]项目总工作量!B$6="交易类",H172*1.5/22,IF([2]项目总工作量!B$6="数据分析类",H172*1.5*0.9/22,IF([2]项目总工作量!B$6="流程管理类",H172*1.5*0.8/22,IF([2]项目总工作量!B$6="渠道类",H172*1.5*0.7/22,FALSE))))</f>
        <v>0.27272727272727271</v>
      </c>
      <c r="J172" s="117" t="s">
        <v>44</v>
      </c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  <c r="IG172" s="123"/>
      <c r="IH172" s="123"/>
      <c r="II172" s="123"/>
      <c r="IJ172" s="123"/>
      <c r="IK172" s="123"/>
      <c r="IL172" s="123"/>
      <c r="IM172" s="123"/>
      <c r="IN172" s="123"/>
      <c r="IO172" s="123"/>
      <c r="IP172" s="123"/>
      <c r="IQ172" s="123"/>
      <c r="IR172" s="123"/>
      <c r="IS172" s="123"/>
      <c r="IT172" s="123"/>
      <c r="IU172" s="123"/>
      <c r="IV172" s="123"/>
    </row>
    <row r="173" spans="1:256" s="124" customFormat="1" ht="17" customHeight="1" x14ac:dyDescent="0.15">
      <c r="A173" s="135"/>
      <c r="B173" s="135"/>
      <c r="C173" s="137"/>
      <c r="D173" s="114">
        <f t="shared" si="9"/>
        <v>0.27272727272727271</v>
      </c>
      <c r="E173" s="131"/>
      <c r="F173" s="132" t="s">
        <v>439</v>
      </c>
      <c r="G173" s="117" t="s">
        <v>66</v>
      </c>
      <c r="H173" s="133">
        <f t="shared" si="8"/>
        <v>4</v>
      </c>
      <c r="I173" s="134">
        <f>IF([2]项目总工作量!B$6="交易类",H173*1.5/22,IF([2]项目总工作量!B$6="数据分析类",H173*1.5*0.9/22,IF([2]项目总工作量!B$6="流程管理类",H173*1.5*0.8/22,IF([2]项目总工作量!B$6="渠道类",H173*1.5*0.7/22,FALSE))))</f>
        <v>0.27272727272727271</v>
      </c>
      <c r="J173" s="117" t="s">
        <v>44</v>
      </c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  <c r="IG173" s="123"/>
      <c r="IH173" s="123"/>
      <c r="II173" s="123"/>
      <c r="IJ173" s="123"/>
      <c r="IK173" s="123"/>
      <c r="IL173" s="123"/>
      <c r="IM173" s="123"/>
      <c r="IN173" s="123"/>
      <c r="IO173" s="123"/>
      <c r="IP173" s="123"/>
      <c r="IQ173" s="123"/>
      <c r="IR173" s="123"/>
      <c r="IS173" s="123"/>
      <c r="IT173" s="123"/>
      <c r="IU173" s="123"/>
      <c r="IV173" s="123"/>
    </row>
    <row r="174" spans="1:256" s="124" customFormat="1" ht="17" customHeight="1" x14ac:dyDescent="0.15">
      <c r="A174" s="135"/>
      <c r="B174" s="135"/>
      <c r="C174" s="137"/>
      <c r="D174" s="114">
        <f t="shared" si="9"/>
        <v>0.27272727272727271</v>
      </c>
      <c r="E174" s="131"/>
      <c r="F174" s="132" t="s">
        <v>440</v>
      </c>
      <c r="G174" s="117" t="s">
        <v>66</v>
      </c>
      <c r="H174" s="133">
        <f t="shared" si="8"/>
        <v>4</v>
      </c>
      <c r="I174" s="134">
        <f>IF([2]项目总工作量!B$6="交易类",H174*1.5/22,IF([2]项目总工作量!B$6="数据分析类",H174*1.5*0.9/22,IF([2]项目总工作量!B$6="流程管理类",H174*1.5*0.8/22,IF([2]项目总工作量!B$6="渠道类",H174*1.5*0.7/22,FALSE))))</f>
        <v>0.27272727272727271</v>
      </c>
      <c r="J174" s="117" t="s">
        <v>44</v>
      </c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  <c r="IG174" s="123"/>
      <c r="IH174" s="123"/>
      <c r="II174" s="123"/>
      <c r="IJ174" s="123"/>
      <c r="IK174" s="123"/>
      <c r="IL174" s="123"/>
      <c r="IM174" s="123"/>
      <c r="IN174" s="123"/>
      <c r="IO174" s="123"/>
      <c r="IP174" s="123"/>
      <c r="IQ174" s="123"/>
      <c r="IR174" s="123"/>
      <c r="IS174" s="123"/>
      <c r="IT174" s="123"/>
      <c r="IU174" s="123"/>
      <c r="IV174" s="123"/>
    </row>
    <row r="175" spans="1:256" s="124" customFormat="1" ht="17" customHeight="1" x14ac:dyDescent="0.15">
      <c r="A175" s="135"/>
      <c r="B175" s="135"/>
      <c r="C175" s="137"/>
      <c r="D175" s="114">
        <f t="shared" si="9"/>
        <v>0.27272727272727271</v>
      </c>
      <c r="E175" s="131"/>
      <c r="F175" s="132" t="s">
        <v>441</v>
      </c>
      <c r="G175" s="117" t="s">
        <v>66</v>
      </c>
      <c r="H175" s="133">
        <f t="shared" si="8"/>
        <v>4</v>
      </c>
      <c r="I175" s="134">
        <f>IF([2]项目总工作量!B$6="交易类",H175*1.5/22,IF([2]项目总工作量!B$6="数据分析类",H175*1.5*0.9/22,IF([2]项目总工作量!B$6="流程管理类",H175*1.5*0.8/22,IF([2]项目总工作量!B$6="渠道类",H175*1.5*0.7/22,FALSE))))</f>
        <v>0.27272727272727271</v>
      </c>
      <c r="J175" s="117" t="s">
        <v>44</v>
      </c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</row>
    <row r="176" spans="1:256" s="124" customFormat="1" ht="17" customHeight="1" x14ac:dyDescent="0.15">
      <c r="A176" s="135"/>
      <c r="B176" s="135"/>
      <c r="C176" s="137"/>
      <c r="D176" s="114">
        <f t="shared" si="9"/>
        <v>0.27272727272727271</v>
      </c>
      <c r="E176" s="131"/>
      <c r="F176" s="132" t="s">
        <v>442</v>
      </c>
      <c r="G176" s="117" t="s">
        <v>66</v>
      </c>
      <c r="H176" s="133">
        <f t="shared" si="8"/>
        <v>4</v>
      </c>
      <c r="I176" s="134">
        <f>IF([2]项目总工作量!B$6="交易类",H176*1.5/22,IF([2]项目总工作量!B$6="数据分析类",H176*1.5*0.9/22,IF([2]项目总工作量!B$6="流程管理类",H176*1.5*0.8/22,IF([2]项目总工作量!B$6="渠道类",H176*1.5*0.7/22,FALSE))))</f>
        <v>0.27272727272727271</v>
      </c>
      <c r="J176" s="117" t="s">
        <v>44</v>
      </c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  <c r="IG176" s="123"/>
      <c r="IH176" s="123"/>
      <c r="II176" s="123"/>
      <c r="IJ176" s="123"/>
      <c r="IK176" s="123"/>
      <c r="IL176" s="123"/>
      <c r="IM176" s="123"/>
      <c r="IN176" s="123"/>
      <c r="IO176" s="123"/>
      <c r="IP176" s="123"/>
      <c r="IQ176" s="123"/>
      <c r="IR176" s="123"/>
      <c r="IS176" s="123"/>
      <c r="IT176" s="123"/>
      <c r="IU176" s="123"/>
      <c r="IV176" s="123"/>
    </row>
    <row r="177" spans="1:256" s="124" customFormat="1" ht="17" customHeight="1" x14ac:dyDescent="0.15">
      <c r="A177" s="135"/>
      <c r="B177" s="135"/>
      <c r="C177" s="137"/>
      <c r="D177" s="114">
        <f t="shared" si="9"/>
        <v>0.27272727272727271</v>
      </c>
      <c r="E177" s="131"/>
      <c r="F177" s="132" t="s">
        <v>443</v>
      </c>
      <c r="G177" s="117" t="s">
        <v>66</v>
      </c>
      <c r="H177" s="133">
        <f t="shared" si="8"/>
        <v>4</v>
      </c>
      <c r="I177" s="134">
        <f>IF([2]项目总工作量!B$6="交易类",H177*1.5/22,IF([2]项目总工作量!B$6="数据分析类",H177*1.5*0.9/22,IF([2]项目总工作量!B$6="流程管理类",H177*1.5*0.8/22,IF([2]项目总工作量!B$6="渠道类",H177*1.5*0.7/22,FALSE))))</f>
        <v>0.27272727272727271</v>
      </c>
      <c r="J177" s="117" t="s">
        <v>44</v>
      </c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  <c r="IG177" s="123"/>
      <c r="IH177" s="123"/>
      <c r="II177" s="123"/>
      <c r="IJ177" s="123"/>
      <c r="IK177" s="123"/>
      <c r="IL177" s="123"/>
      <c r="IM177" s="123"/>
      <c r="IN177" s="123"/>
      <c r="IO177" s="123"/>
      <c r="IP177" s="123"/>
      <c r="IQ177" s="123"/>
      <c r="IR177" s="123"/>
      <c r="IS177" s="123"/>
      <c r="IT177" s="123"/>
      <c r="IU177" s="123"/>
      <c r="IV177" s="123"/>
    </row>
    <row r="178" spans="1:256" s="124" customFormat="1" ht="17" customHeight="1" x14ac:dyDescent="0.15">
      <c r="A178" s="135"/>
      <c r="B178" s="135"/>
      <c r="C178" s="137"/>
      <c r="D178" s="114">
        <f t="shared" si="9"/>
        <v>0.27272727272727271</v>
      </c>
      <c r="E178" s="131"/>
      <c r="F178" s="132" t="s">
        <v>444</v>
      </c>
      <c r="G178" s="117" t="s">
        <v>66</v>
      </c>
      <c r="H178" s="133">
        <f t="shared" si="8"/>
        <v>4</v>
      </c>
      <c r="I178" s="134">
        <f>IF([2]项目总工作量!B$6="交易类",H178*1.5/22,IF([2]项目总工作量!B$6="数据分析类",H178*1.5*0.9/22,IF([2]项目总工作量!B$6="流程管理类",H178*1.5*0.8/22,IF([2]项目总工作量!B$6="渠道类",H178*1.5*0.7/22,FALSE))))</f>
        <v>0.27272727272727271</v>
      </c>
      <c r="J178" s="117" t="s">
        <v>44</v>
      </c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  <c r="IG178" s="123"/>
      <c r="IH178" s="123"/>
      <c r="II178" s="123"/>
      <c r="IJ178" s="123"/>
      <c r="IK178" s="123"/>
      <c r="IL178" s="123"/>
      <c r="IM178" s="123"/>
      <c r="IN178" s="123"/>
      <c r="IO178" s="123"/>
      <c r="IP178" s="123"/>
      <c r="IQ178" s="123"/>
      <c r="IR178" s="123"/>
      <c r="IS178" s="123"/>
      <c r="IT178" s="123"/>
      <c r="IU178" s="123"/>
      <c r="IV178" s="123"/>
    </row>
    <row r="179" spans="1:256" s="124" customFormat="1" ht="17" customHeight="1" x14ac:dyDescent="0.15">
      <c r="A179" s="135"/>
      <c r="B179" s="135"/>
      <c r="C179" s="137"/>
      <c r="D179" s="114">
        <f t="shared" si="9"/>
        <v>0.27272727272727271</v>
      </c>
      <c r="E179" s="131"/>
      <c r="F179" s="132" t="s">
        <v>445</v>
      </c>
      <c r="G179" s="117" t="s">
        <v>66</v>
      </c>
      <c r="H179" s="133">
        <f t="shared" si="8"/>
        <v>4</v>
      </c>
      <c r="I179" s="134">
        <f>IF([2]项目总工作量!B$6="交易类",H179*1.5/22,IF([2]项目总工作量!B$6="数据分析类",H179*1.5*0.9/22,IF([2]项目总工作量!B$6="流程管理类",H179*1.5*0.8/22,IF([2]项目总工作量!B$6="渠道类",H179*1.5*0.7/22,FALSE))))</f>
        <v>0.27272727272727271</v>
      </c>
      <c r="J179" s="117" t="s">
        <v>44</v>
      </c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  <c r="IG179" s="123"/>
      <c r="IH179" s="123"/>
      <c r="II179" s="123"/>
      <c r="IJ179" s="123"/>
      <c r="IK179" s="123"/>
      <c r="IL179" s="123"/>
      <c r="IM179" s="123"/>
      <c r="IN179" s="123"/>
      <c r="IO179" s="123"/>
      <c r="IP179" s="123"/>
      <c r="IQ179" s="123"/>
      <c r="IR179" s="123"/>
      <c r="IS179" s="123"/>
      <c r="IT179" s="123"/>
      <c r="IU179" s="123"/>
      <c r="IV179" s="123"/>
    </row>
    <row r="180" spans="1:256" s="124" customFormat="1" ht="17" customHeight="1" x14ac:dyDescent="0.15">
      <c r="A180" s="135"/>
      <c r="B180" s="135"/>
      <c r="C180" s="137"/>
      <c r="D180" s="114">
        <f t="shared" si="9"/>
        <v>0.27272727272727271</v>
      </c>
      <c r="E180" s="131"/>
      <c r="F180" s="132" t="s">
        <v>446</v>
      </c>
      <c r="G180" s="117" t="s">
        <v>66</v>
      </c>
      <c r="H180" s="133">
        <f t="shared" si="8"/>
        <v>4</v>
      </c>
      <c r="I180" s="134">
        <f>IF([2]项目总工作量!B$6="交易类",H180*1.5/22,IF([2]项目总工作量!B$6="数据分析类",H180*1.5*0.9/22,IF([2]项目总工作量!B$6="流程管理类",H180*1.5*0.8/22,IF([2]项目总工作量!B$6="渠道类",H180*1.5*0.7/22,FALSE))))</f>
        <v>0.27272727272727271</v>
      </c>
      <c r="J180" s="117" t="s">
        <v>44</v>
      </c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  <c r="IG180" s="123"/>
      <c r="IH180" s="123"/>
      <c r="II180" s="123"/>
      <c r="IJ180" s="123"/>
      <c r="IK180" s="123"/>
      <c r="IL180" s="123"/>
      <c r="IM180" s="123"/>
      <c r="IN180" s="123"/>
      <c r="IO180" s="123"/>
      <c r="IP180" s="123"/>
      <c r="IQ180" s="123"/>
      <c r="IR180" s="123"/>
      <c r="IS180" s="123"/>
      <c r="IT180" s="123"/>
      <c r="IU180" s="123"/>
      <c r="IV180" s="123"/>
    </row>
    <row r="181" spans="1:256" s="124" customFormat="1" ht="17" customHeight="1" x14ac:dyDescent="0.15">
      <c r="A181" s="135"/>
      <c r="B181" s="135"/>
      <c r="C181" s="137"/>
      <c r="D181" s="114">
        <f t="shared" si="9"/>
        <v>0.27272727272727271</v>
      </c>
      <c r="E181" s="131"/>
      <c r="F181" s="132" t="s">
        <v>447</v>
      </c>
      <c r="G181" s="117" t="s">
        <v>66</v>
      </c>
      <c r="H181" s="133">
        <f t="shared" si="8"/>
        <v>4</v>
      </c>
      <c r="I181" s="134">
        <f>IF([2]项目总工作量!B$6="交易类",H181*1.5/22,IF([2]项目总工作量!B$6="数据分析类",H181*1.5*0.9/22,IF([2]项目总工作量!B$6="流程管理类",H181*1.5*0.8/22,IF([2]项目总工作量!B$6="渠道类",H181*1.5*0.7/22,FALSE))))</f>
        <v>0.27272727272727271</v>
      </c>
      <c r="J181" s="117" t="s">
        <v>44</v>
      </c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  <c r="IG181" s="123"/>
      <c r="IH181" s="123"/>
      <c r="II181" s="123"/>
      <c r="IJ181" s="123"/>
      <c r="IK181" s="123"/>
      <c r="IL181" s="123"/>
      <c r="IM181" s="123"/>
      <c r="IN181" s="123"/>
      <c r="IO181" s="123"/>
      <c r="IP181" s="123"/>
      <c r="IQ181" s="123"/>
      <c r="IR181" s="123"/>
      <c r="IS181" s="123"/>
      <c r="IT181" s="123"/>
      <c r="IU181" s="123"/>
      <c r="IV181" s="123"/>
    </row>
    <row r="182" spans="1:256" s="124" customFormat="1" ht="17" customHeight="1" x14ac:dyDescent="0.15">
      <c r="A182" s="135"/>
      <c r="B182" s="135"/>
      <c r="C182" s="137"/>
      <c r="D182" s="114">
        <f t="shared" si="9"/>
        <v>0.27272727272727271</v>
      </c>
      <c r="E182" s="131"/>
      <c r="F182" s="132" t="s">
        <v>448</v>
      </c>
      <c r="G182" s="117" t="s">
        <v>66</v>
      </c>
      <c r="H182" s="133">
        <f t="shared" si="8"/>
        <v>4</v>
      </c>
      <c r="I182" s="134">
        <f>IF([2]项目总工作量!B$6="交易类",H182*1.5/22,IF([2]项目总工作量!B$6="数据分析类",H182*1.5*0.9/22,IF([2]项目总工作量!B$6="流程管理类",H182*1.5*0.8/22,IF([2]项目总工作量!B$6="渠道类",H182*1.5*0.7/22,FALSE))))</f>
        <v>0.27272727272727271</v>
      </c>
      <c r="J182" s="117" t="s">
        <v>44</v>
      </c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  <c r="IG182" s="123"/>
      <c r="IH182" s="123"/>
      <c r="II182" s="123"/>
      <c r="IJ182" s="123"/>
      <c r="IK182" s="123"/>
      <c r="IL182" s="123"/>
      <c r="IM182" s="123"/>
      <c r="IN182" s="123"/>
      <c r="IO182" s="123"/>
      <c r="IP182" s="123"/>
      <c r="IQ182" s="123"/>
      <c r="IR182" s="123"/>
      <c r="IS182" s="123"/>
      <c r="IT182" s="123"/>
      <c r="IU182" s="123"/>
      <c r="IV182" s="123"/>
    </row>
    <row r="183" spans="1:256" s="124" customFormat="1" ht="17" customHeight="1" x14ac:dyDescent="0.15">
      <c r="A183" s="135"/>
      <c r="B183" s="135"/>
      <c r="C183" s="137"/>
      <c r="D183" s="114">
        <f t="shared" si="9"/>
        <v>0.27272727272727271</v>
      </c>
      <c r="E183" s="131"/>
      <c r="F183" s="132" t="s">
        <v>449</v>
      </c>
      <c r="G183" s="117" t="s">
        <v>66</v>
      </c>
      <c r="H183" s="133">
        <f t="shared" si="8"/>
        <v>4</v>
      </c>
      <c r="I183" s="134">
        <f>IF([2]项目总工作量!B$6="交易类",H183*1.5/22,IF([2]项目总工作量!B$6="数据分析类",H183*1.5*0.9/22,IF([2]项目总工作量!B$6="流程管理类",H183*1.5*0.8/22,IF([2]项目总工作量!B$6="渠道类",H183*1.5*0.7/22,FALSE))))</f>
        <v>0.27272727272727271</v>
      </c>
      <c r="J183" s="117" t="s">
        <v>44</v>
      </c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  <c r="IG183" s="123"/>
      <c r="IH183" s="123"/>
      <c r="II183" s="123"/>
      <c r="IJ183" s="123"/>
      <c r="IK183" s="123"/>
      <c r="IL183" s="123"/>
      <c r="IM183" s="123"/>
      <c r="IN183" s="123"/>
      <c r="IO183" s="123"/>
      <c r="IP183" s="123"/>
      <c r="IQ183" s="123"/>
      <c r="IR183" s="123"/>
      <c r="IS183" s="123"/>
      <c r="IT183" s="123"/>
      <c r="IU183" s="123"/>
      <c r="IV183" s="123"/>
    </row>
    <row r="184" spans="1:256" s="124" customFormat="1" ht="17" customHeight="1" x14ac:dyDescent="0.15">
      <c r="A184" s="135"/>
      <c r="B184" s="135"/>
      <c r="C184" s="137"/>
      <c r="D184" s="114">
        <f t="shared" si="9"/>
        <v>0.27272727272727271</v>
      </c>
      <c r="E184" s="131"/>
      <c r="F184" s="132" t="s">
        <v>450</v>
      </c>
      <c r="G184" s="117" t="s">
        <v>66</v>
      </c>
      <c r="H184" s="133">
        <f t="shared" si="8"/>
        <v>4</v>
      </c>
      <c r="I184" s="134">
        <f>IF([2]项目总工作量!B$6="交易类",H184*1.5/22,IF([2]项目总工作量!B$6="数据分析类",H184*1.5*0.9/22,IF([2]项目总工作量!B$6="流程管理类",H184*1.5*0.8/22,IF([2]项目总工作量!B$6="渠道类",H184*1.5*0.7/22,FALSE))))</f>
        <v>0.27272727272727271</v>
      </c>
      <c r="J184" s="117" t="s">
        <v>44</v>
      </c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  <c r="IG184" s="123"/>
      <c r="IH184" s="123"/>
      <c r="II184" s="123"/>
      <c r="IJ184" s="123"/>
      <c r="IK184" s="123"/>
      <c r="IL184" s="123"/>
      <c r="IM184" s="123"/>
      <c r="IN184" s="123"/>
      <c r="IO184" s="123"/>
      <c r="IP184" s="123"/>
      <c r="IQ184" s="123"/>
      <c r="IR184" s="123"/>
      <c r="IS184" s="123"/>
      <c r="IT184" s="123"/>
      <c r="IU184" s="123"/>
      <c r="IV184" s="123"/>
    </row>
    <row r="185" spans="1:256" s="124" customFormat="1" ht="17" customHeight="1" x14ac:dyDescent="0.15">
      <c r="A185" s="135"/>
      <c r="B185" s="135"/>
      <c r="C185" s="137"/>
      <c r="D185" s="114">
        <f t="shared" si="9"/>
        <v>0.27272727272727271</v>
      </c>
      <c r="E185" s="131"/>
      <c r="F185" s="132" t="s">
        <v>451</v>
      </c>
      <c r="G185" s="117" t="s">
        <v>66</v>
      </c>
      <c r="H185" s="133">
        <f t="shared" si="8"/>
        <v>4</v>
      </c>
      <c r="I185" s="134">
        <f>IF([2]项目总工作量!B$6="交易类",H185*1.5/22,IF([2]项目总工作量!B$6="数据分析类",H185*1.5*0.9/22,IF([2]项目总工作量!B$6="流程管理类",H185*1.5*0.8/22,IF([2]项目总工作量!B$6="渠道类",H185*1.5*0.7/22,FALSE))))</f>
        <v>0.27272727272727271</v>
      </c>
      <c r="J185" s="117" t="s">
        <v>44</v>
      </c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  <c r="IG185" s="123"/>
      <c r="IH185" s="123"/>
      <c r="II185" s="123"/>
      <c r="IJ185" s="123"/>
      <c r="IK185" s="123"/>
      <c r="IL185" s="123"/>
      <c r="IM185" s="123"/>
      <c r="IN185" s="123"/>
      <c r="IO185" s="123"/>
      <c r="IP185" s="123"/>
      <c r="IQ185" s="123"/>
      <c r="IR185" s="123"/>
      <c r="IS185" s="123"/>
      <c r="IT185" s="123"/>
      <c r="IU185" s="123"/>
      <c r="IV185" s="123"/>
    </row>
    <row r="186" spans="1:256" s="124" customFormat="1" ht="17" customHeight="1" x14ac:dyDescent="0.15">
      <c r="A186" s="135"/>
      <c r="B186" s="135"/>
      <c r="C186" s="137"/>
      <c r="D186" s="114">
        <f t="shared" si="9"/>
        <v>0.27272727272727271</v>
      </c>
      <c r="E186" s="131"/>
      <c r="F186" s="132" t="s">
        <v>452</v>
      </c>
      <c r="G186" s="117" t="s">
        <v>66</v>
      </c>
      <c r="H186" s="133">
        <f t="shared" si="8"/>
        <v>4</v>
      </c>
      <c r="I186" s="134">
        <f>IF([2]项目总工作量!B$6="交易类",H186*1.5/22,IF([2]项目总工作量!B$6="数据分析类",H186*1.5*0.9/22,IF([2]项目总工作量!B$6="流程管理类",H186*1.5*0.8/22,IF([2]项目总工作量!B$6="渠道类",H186*1.5*0.7/22,FALSE))))</f>
        <v>0.27272727272727271</v>
      </c>
      <c r="J186" s="117" t="s">
        <v>44</v>
      </c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  <c r="IG186" s="123"/>
      <c r="IH186" s="123"/>
      <c r="II186" s="123"/>
      <c r="IJ186" s="123"/>
      <c r="IK186" s="123"/>
      <c r="IL186" s="123"/>
      <c r="IM186" s="123"/>
      <c r="IN186" s="123"/>
      <c r="IO186" s="123"/>
      <c r="IP186" s="123"/>
      <c r="IQ186" s="123"/>
      <c r="IR186" s="123"/>
      <c r="IS186" s="123"/>
      <c r="IT186" s="123"/>
      <c r="IU186" s="123"/>
      <c r="IV186" s="123"/>
    </row>
    <row r="187" spans="1:256" s="124" customFormat="1" ht="17" customHeight="1" x14ac:dyDescent="0.15">
      <c r="A187" s="135"/>
      <c r="B187" s="135"/>
      <c r="C187" s="137"/>
      <c r="D187" s="114">
        <f t="shared" si="9"/>
        <v>0.27272727272727271</v>
      </c>
      <c r="E187" s="131"/>
      <c r="F187" s="132" t="s">
        <v>453</v>
      </c>
      <c r="G187" s="117" t="s">
        <v>66</v>
      </c>
      <c r="H187" s="133">
        <f t="shared" si="8"/>
        <v>4</v>
      </c>
      <c r="I187" s="134">
        <f>IF([2]项目总工作量!B$6="交易类",H187*1.5/22,IF([2]项目总工作量!B$6="数据分析类",H187*1.5*0.9/22,IF([2]项目总工作量!B$6="流程管理类",H187*1.5*0.8/22,IF([2]项目总工作量!B$6="渠道类",H187*1.5*0.7/22,FALSE))))</f>
        <v>0.27272727272727271</v>
      </c>
      <c r="J187" s="117" t="s">
        <v>44</v>
      </c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  <c r="IG187" s="123"/>
      <c r="IH187" s="123"/>
      <c r="II187" s="123"/>
      <c r="IJ187" s="123"/>
      <c r="IK187" s="123"/>
      <c r="IL187" s="123"/>
      <c r="IM187" s="123"/>
      <c r="IN187" s="123"/>
      <c r="IO187" s="123"/>
      <c r="IP187" s="123"/>
      <c r="IQ187" s="123"/>
      <c r="IR187" s="123"/>
      <c r="IS187" s="123"/>
      <c r="IT187" s="123"/>
      <c r="IU187" s="123"/>
      <c r="IV187" s="123"/>
    </row>
    <row r="188" spans="1:256" s="124" customFormat="1" ht="17" customHeight="1" x14ac:dyDescent="0.15">
      <c r="A188" s="135"/>
      <c r="B188" s="135"/>
      <c r="C188" s="137"/>
      <c r="D188" s="114">
        <f t="shared" si="9"/>
        <v>0.27272727272727271</v>
      </c>
      <c r="E188" s="131"/>
      <c r="F188" s="132" t="s">
        <v>454</v>
      </c>
      <c r="G188" s="117" t="s">
        <v>66</v>
      </c>
      <c r="H188" s="133">
        <f t="shared" si="8"/>
        <v>4</v>
      </c>
      <c r="I188" s="134">
        <f>IF([2]项目总工作量!B$6="交易类",H188*1.5/22,IF([2]项目总工作量!B$6="数据分析类",H188*1.5*0.9/22,IF([2]项目总工作量!B$6="流程管理类",H188*1.5*0.8/22,IF([2]项目总工作量!B$6="渠道类",H188*1.5*0.7/22,FALSE))))</f>
        <v>0.27272727272727271</v>
      </c>
      <c r="J188" s="117" t="s">
        <v>44</v>
      </c>
      <c r="K188" s="123"/>
      <c r="L188" s="123"/>
      <c r="M188" s="123"/>
      <c r="N188" s="123"/>
      <c r="O188" s="123"/>
      <c r="P188" s="123"/>
      <c r="Q188" s="123"/>
      <c r="R188" s="123"/>
      <c r="S188" s="123"/>
      <c r="T188" s="123"/>
      <c r="U188" s="123"/>
      <c r="V188" s="123"/>
      <c r="W188" s="123"/>
      <c r="X188" s="123"/>
      <c r="Y188" s="123"/>
      <c r="Z188" s="123"/>
      <c r="AA188" s="123"/>
      <c r="AB188" s="123"/>
      <c r="AC188" s="123"/>
      <c r="AD188" s="123"/>
      <c r="AE188" s="123"/>
      <c r="AF188" s="123"/>
      <c r="AG188" s="123"/>
      <c r="AH188" s="123"/>
      <c r="AI188" s="123"/>
      <c r="AJ188" s="123"/>
      <c r="AK188" s="123"/>
      <c r="AL188" s="123"/>
      <c r="AM188" s="123"/>
      <c r="AN188" s="123"/>
      <c r="AO188" s="123"/>
      <c r="AP188" s="123"/>
      <c r="AQ188" s="123"/>
      <c r="AR188" s="123"/>
      <c r="AS188" s="123"/>
      <c r="AT188" s="123"/>
      <c r="AU188" s="123"/>
      <c r="AV188" s="123"/>
      <c r="AW188" s="123"/>
      <c r="AX188" s="123"/>
      <c r="AY188" s="123"/>
      <c r="AZ188" s="123"/>
      <c r="BA188" s="123"/>
      <c r="BB188" s="123"/>
      <c r="BC188" s="123"/>
      <c r="BD188" s="123"/>
      <c r="BE188" s="123"/>
      <c r="BF188" s="123"/>
      <c r="BG188" s="123"/>
      <c r="BH188" s="123"/>
      <c r="BI188" s="123"/>
      <c r="BJ188" s="123"/>
      <c r="BK188" s="123"/>
      <c r="BL188" s="123"/>
      <c r="BM188" s="123"/>
      <c r="BN188" s="123"/>
      <c r="BO188" s="123"/>
      <c r="BP188" s="123"/>
      <c r="BQ188" s="123"/>
      <c r="BR188" s="123"/>
      <c r="BS188" s="123"/>
      <c r="BT188" s="123"/>
      <c r="BU188" s="123"/>
      <c r="BV188" s="123"/>
      <c r="BW188" s="123"/>
      <c r="BX188" s="123"/>
      <c r="BY188" s="123"/>
      <c r="BZ188" s="123"/>
      <c r="CA188" s="123"/>
      <c r="CB188" s="123"/>
      <c r="CC188" s="123"/>
      <c r="CD188" s="123"/>
      <c r="CE188" s="123"/>
      <c r="CF188" s="123"/>
      <c r="CG188" s="123"/>
      <c r="CH188" s="123"/>
      <c r="CI188" s="123"/>
      <c r="CJ188" s="123"/>
      <c r="CK188" s="123"/>
      <c r="CL188" s="123"/>
      <c r="CM188" s="123"/>
      <c r="CN188" s="123"/>
      <c r="CO188" s="123"/>
      <c r="CP188" s="123"/>
      <c r="CQ188" s="123"/>
      <c r="CR188" s="123"/>
      <c r="CS188" s="123"/>
      <c r="CT188" s="123"/>
      <c r="CU188" s="123"/>
      <c r="CV188" s="123"/>
      <c r="CW188" s="123"/>
      <c r="CX188" s="123"/>
      <c r="CY188" s="123"/>
      <c r="CZ188" s="123"/>
      <c r="DA188" s="123"/>
      <c r="DB188" s="123"/>
      <c r="DC188" s="123"/>
      <c r="DD188" s="123"/>
      <c r="DE188" s="123"/>
      <c r="DF188" s="123"/>
      <c r="DG188" s="123"/>
      <c r="DH188" s="123"/>
      <c r="DI188" s="123"/>
      <c r="DJ188" s="123"/>
      <c r="DK188" s="123"/>
      <c r="DL188" s="123"/>
      <c r="DM188" s="123"/>
      <c r="DN188" s="123"/>
      <c r="DO188" s="123"/>
      <c r="DP188" s="123"/>
      <c r="DQ188" s="123"/>
      <c r="DR188" s="123"/>
      <c r="DS188" s="123"/>
      <c r="DT188" s="123"/>
      <c r="DU188" s="123"/>
      <c r="DV188" s="123"/>
      <c r="DW188" s="123"/>
      <c r="DX188" s="123"/>
      <c r="DY188" s="123"/>
      <c r="DZ188" s="123"/>
      <c r="EA188" s="123"/>
      <c r="EB188" s="123"/>
      <c r="EC188" s="123"/>
      <c r="ED188" s="123"/>
      <c r="EE188" s="123"/>
      <c r="EF188" s="123"/>
      <c r="EG188" s="123"/>
      <c r="EH188" s="123"/>
      <c r="EI188" s="123"/>
      <c r="EJ188" s="123"/>
      <c r="EK188" s="123"/>
      <c r="EL188" s="123"/>
      <c r="EM188" s="123"/>
      <c r="EN188" s="123"/>
      <c r="EO188" s="123"/>
      <c r="EP188" s="123"/>
      <c r="EQ188" s="123"/>
      <c r="ER188" s="123"/>
      <c r="ES188" s="123"/>
      <c r="ET188" s="123"/>
      <c r="EU188" s="123"/>
      <c r="EV188" s="123"/>
      <c r="EW188" s="123"/>
      <c r="EX188" s="123"/>
      <c r="EY188" s="123"/>
      <c r="EZ188" s="123"/>
      <c r="FA188" s="123"/>
      <c r="FB188" s="123"/>
      <c r="FC188" s="123"/>
      <c r="FD188" s="123"/>
      <c r="FE188" s="123"/>
      <c r="FF188" s="123"/>
      <c r="FG188" s="123"/>
      <c r="FH188" s="123"/>
      <c r="FI188" s="123"/>
      <c r="FJ188" s="123"/>
      <c r="FK188" s="123"/>
      <c r="FL188" s="123"/>
      <c r="FM188" s="123"/>
      <c r="FN188" s="123"/>
      <c r="FO188" s="123"/>
      <c r="FP188" s="123"/>
      <c r="FQ188" s="123"/>
      <c r="FR188" s="123"/>
      <c r="FS188" s="123"/>
      <c r="FT188" s="123"/>
      <c r="FU188" s="123"/>
      <c r="FV188" s="123"/>
      <c r="FW188" s="123"/>
      <c r="FX188" s="123"/>
      <c r="FY188" s="123"/>
      <c r="FZ188" s="123"/>
      <c r="GA188" s="123"/>
      <c r="GB188" s="123"/>
      <c r="GC188" s="123"/>
      <c r="GD188" s="123"/>
      <c r="GE188" s="123"/>
      <c r="GF188" s="123"/>
      <c r="GG188" s="123"/>
      <c r="GH188" s="123"/>
      <c r="GI188" s="123"/>
      <c r="GJ188" s="123"/>
      <c r="GK188" s="123"/>
      <c r="GL188" s="123"/>
      <c r="GM188" s="123"/>
      <c r="GN188" s="123"/>
      <c r="GO188" s="123"/>
      <c r="GP188" s="123"/>
      <c r="GQ188" s="123"/>
      <c r="GR188" s="123"/>
      <c r="GS188" s="123"/>
      <c r="GT188" s="123"/>
      <c r="GU188" s="123"/>
      <c r="GV188" s="123"/>
      <c r="GW188" s="123"/>
      <c r="GX188" s="123"/>
      <c r="GY188" s="123"/>
      <c r="GZ188" s="123"/>
      <c r="HA188" s="123"/>
      <c r="HB188" s="123"/>
      <c r="HC188" s="123"/>
      <c r="HD188" s="123"/>
      <c r="HE188" s="123"/>
      <c r="HF188" s="123"/>
      <c r="HG188" s="123"/>
      <c r="HH188" s="123"/>
      <c r="HI188" s="123"/>
      <c r="HJ188" s="123"/>
      <c r="HK188" s="123"/>
      <c r="HL188" s="123"/>
      <c r="HM188" s="123"/>
      <c r="HN188" s="123"/>
      <c r="HO188" s="123"/>
      <c r="HP188" s="123"/>
      <c r="HQ188" s="123"/>
      <c r="HR188" s="123"/>
      <c r="HS188" s="123"/>
      <c r="HT188" s="123"/>
      <c r="HU188" s="123"/>
      <c r="HV188" s="123"/>
      <c r="HW188" s="123"/>
      <c r="HX188" s="123"/>
      <c r="HY188" s="123"/>
      <c r="HZ188" s="123"/>
      <c r="IA188" s="123"/>
      <c r="IB188" s="123"/>
      <c r="IC188" s="123"/>
      <c r="ID188" s="123"/>
      <c r="IE188" s="123"/>
      <c r="IF188" s="123"/>
      <c r="IG188" s="123"/>
      <c r="IH188" s="123"/>
      <c r="II188" s="123"/>
      <c r="IJ188" s="123"/>
      <c r="IK188" s="123"/>
      <c r="IL188" s="123"/>
      <c r="IM188" s="123"/>
      <c r="IN188" s="123"/>
      <c r="IO188" s="123"/>
      <c r="IP188" s="123"/>
      <c r="IQ188" s="123"/>
      <c r="IR188" s="123"/>
      <c r="IS188" s="123"/>
      <c r="IT188" s="123"/>
      <c r="IU188" s="123"/>
      <c r="IV188" s="123"/>
    </row>
    <row r="189" spans="1:256" s="124" customFormat="1" ht="17" customHeight="1" x14ac:dyDescent="0.15">
      <c r="A189" s="135"/>
      <c r="B189" s="135"/>
      <c r="C189" s="137"/>
      <c r="D189" s="114">
        <f t="shared" si="9"/>
        <v>0.27272727272727271</v>
      </c>
      <c r="E189" s="131"/>
      <c r="F189" s="132" t="s">
        <v>455</v>
      </c>
      <c r="G189" s="117" t="s">
        <v>66</v>
      </c>
      <c r="H189" s="133">
        <f t="shared" si="8"/>
        <v>4</v>
      </c>
      <c r="I189" s="134">
        <f>IF([2]项目总工作量!B$6="交易类",H189*1.5/22,IF([2]项目总工作量!B$6="数据分析类",H189*1.5*0.9/22,IF([2]项目总工作量!B$6="流程管理类",H189*1.5*0.8/22,IF([2]项目总工作量!B$6="渠道类",H189*1.5*0.7/22,FALSE))))</f>
        <v>0.27272727272727271</v>
      </c>
      <c r="J189" s="117" t="s">
        <v>44</v>
      </c>
      <c r="K189" s="123"/>
      <c r="L189" s="123"/>
      <c r="M189" s="123"/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/>
      <c r="Y189" s="123"/>
      <c r="Z189" s="123"/>
      <c r="AA189" s="123"/>
      <c r="AB189" s="123"/>
      <c r="AC189" s="123"/>
      <c r="AD189" s="123"/>
      <c r="AE189" s="123"/>
      <c r="AF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3"/>
      <c r="BC189" s="123"/>
      <c r="BD189" s="123"/>
      <c r="BE189" s="123"/>
      <c r="BF189" s="123"/>
      <c r="BG189" s="123"/>
      <c r="BH189" s="123"/>
      <c r="BI189" s="123"/>
      <c r="BJ189" s="123"/>
      <c r="BK189" s="123"/>
      <c r="BL189" s="123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B189" s="123"/>
      <c r="CC189" s="123"/>
      <c r="CD189" s="123"/>
      <c r="CE189" s="123"/>
      <c r="CF189" s="123"/>
      <c r="CG189" s="123"/>
      <c r="CH189" s="123"/>
      <c r="CI189" s="123"/>
      <c r="CJ189" s="123"/>
      <c r="CK189" s="123"/>
      <c r="CL189" s="123"/>
      <c r="CM189" s="123"/>
      <c r="CN189" s="123"/>
      <c r="CO189" s="123"/>
      <c r="CP189" s="123"/>
      <c r="CQ189" s="123"/>
      <c r="CR189" s="123"/>
      <c r="CS189" s="123"/>
      <c r="CT189" s="123"/>
      <c r="CU189" s="123"/>
      <c r="CV189" s="123"/>
      <c r="CW189" s="123"/>
      <c r="CX189" s="123"/>
      <c r="CY189" s="123"/>
      <c r="CZ189" s="123"/>
      <c r="DA189" s="123"/>
      <c r="DB189" s="123"/>
      <c r="DC189" s="123"/>
      <c r="DD189" s="123"/>
      <c r="DE189" s="123"/>
      <c r="DF189" s="123"/>
      <c r="DG189" s="123"/>
      <c r="DH189" s="123"/>
      <c r="DI189" s="123"/>
      <c r="DJ189" s="123"/>
      <c r="DK189" s="123"/>
      <c r="DL189" s="123"/>
      <c r="DM189" s="123"/>
      <c r="DN189" s="123"/>
      <c r="DO189" s="123"/>
      <c r="DP189" s="123"/>
      <c r="DQ189" s="123"/>
      <c r="DR189" s="123"/>
      <c r="DS189" s="123"/>
      <c r="DT189" s="123"/>
      <c r="DU189" s="123"/>
      <c r="DV189" s="123"/>
      <c r="DW189" s="123"/>
      <c r="DX189" s="123"/>
      <c r="DY189" s="123"/>
      <c r="DZ189" s="123"/>
      <c r="EA189" s="123"/>
      <c r="EB189" s="123"/>
      <c r="EC189" s="123"/>
      <c r="ED189" s="123"/>
      <c r="EE189" s="123"/>
      <c r="EF189" s="123"/>
      <c r="EG189" s="123"/>
      <c r="EH189" s="123"/>
      <c r="EI189" s="123"/>
      <c r="EJ189" s="123"/>
      <c r="EK189" s="123"/>
      <c r="EL189" s="123"/>
      <c r="EM189" s="123"/>
      <c r="EN189" s="123"/>
      <c r="EO189" s="123"/>
      <c r="EP189" s="123"/>
      <c r="EQ189" s="123"/>
      <c r="ER189" s="123"/>
      <c r="ES189" s="123"/>
      <c r="ET189" s="123"/>
      <c r="EU189" s="123"/>
      <c r="EV189" s="123"/>
      <c r="EW189" s="123"/>
      <c r="EX189" s="123"/>
      <c r="EY189" s="123"/>
      <c r="EZ189" s="123"/>
      <c r="FA189" s="123"/>
      <c r="FB189" s="123"/>
      <c r="FC189" s="123"/>
      <c r="FD189" s="123"/>
      <c r="FE189" s="123"/>
      <c r="FF189" s="123"/>
      <c r="FG189" s="123"/>
      <c r="FH189" s="123"/>
      <c r="FI189" s="123"/>
      <c r="FJ189" s="123"/>
      <c r="FK189" s="123"/>
      <c r="FL189" s="123"/>
      <c r="FM189" s="123"/>
      <c r="FN189" s="123"/>
      <c r="FO189" s="123"/>
      <c r="FP189" s="123"/>
      <c r="FQ189" s="123"/>
      <c r="FR189" s="123"/>
      <c r="FS189" s="123"/>
      <c r="FT189" s="123"/>
      <c r="FU189" s="123"/>
      <c r="FV189" s="123"/>
      <c r="FW189" s="123"/>
      <c r="FX189" s="123"/>
      <c r="FY189" s="123"/>
      <c r="FZ189" s="123"/>
      <c r="GA189" s="123"/>
      <c r="GB189" s="123"/>
      <c r="GC189" s="123"/>
      <c r="GD189" s="123"/>
      <c r="GE189" s="123"/>
      <c r="GF189" s="123"/>
      <c r="GG189" s="123"/>
      <c r="GH189" s="123"/>
      <c r="GI189" s="123"/>
      <c r="GJ189" s="123"/>
      <c r="GK189" s="123"/>
      <c r="GL189" s="123"/>
      <c r="GM189" s="123"/>
      <c r="GN189" s="123"/>
      <c r="GO189" s="123"/>
      <c r="GP189" s="123"/>
      <c r="GQ189" s="123"/>
      <c r="GR189" s="123"/>
      <c r="GS189" s="123"/>
      <c r="GT189" s="123"/>
      <c r="GU189" s="123"/>
      <c r="GV189" s="123"/>
      <c r="GW189" s="123"/>
      <c r="GX189" s="123"/>
      <c r="GY189" s="123"/>
      <c r="GZ189" s="123"/>
      <c r="HA189" s="123"/>
      <c r="HB189" s="123"/>
      <c r="HC189" s="123"/>
      <c r="HD189" s="123"/>
      <c r="HE189" s="123"/>
      <c r="HF189" s="123"/>
      <c r="HG189" s="123"/>
      <c r="HH189" s="123"/>
      <c r="HI189" s="123"/>
      <c r="HJ189" s="123"/>
      <c r="HK189" s="123"/>
      <c r="HL189" s="123"/>
      <c r="HM189" s="123"/>
      <c r="HN189" s="123"/>
      <c r="HO189" s="123"/>
      <c r="HP189" s="123"/>
      <c r="HQ189" s="123"/>
      <c r="HR189" s="123"/>
      <c r="HS189" s="123"/>
      <c r="HT189" s="123"/>
      <c r="HU189" s="123"/>
      <c r="HV189" s="123"/>
      <c r="HW189" s="123"/>
      <c r="HX189" s="123"/>
      <c r="HY189" s="123"/>
      <c r="HZ189" s="123"/>
      <c r="IA189" s="123"/>
      <c r="IB189" s="123"/>
      <c r="IC189" s="123"/>
      <c r="ID189" s="123"/>
      <c r="IE189" s="123"/>
      <c r="IF189" s="123"/>
      <c r="IG189" s="123"/>
      <c r="IH189" s="123"/>
      <c r="II189" s="123"/>
      <c r="IJ189" s="123"/>
      <c r="IK189" s="123"/>
      <c r="IL189" s="123"/>
      <c r="IM189" s="123"/>
      <c r="IN189" s="123"/>
      <c r="IO189" s="123"/>
      <c r="IP189" s="123"/>
      <c r="IQ189" s="123"/>
      <c r="IR189" s="123"/>
      <c r="IS189" s="123"/>
      <c r="IT189" s="123"/>
      <c r="IU189" s="123"/>
      <c r="IV189" s="123"/>
    </row>
    <row r="190" spans="1:256" s="124" customFormat="1" ht="17" customHeight="1" x14ac:dyDescent="0.15">
      <c r="A190" s="135"/>
      <c r="B190" s="135"/>
      <c r="C190" s="137"/>
      <c r="D190" s="114">
        <f t="shared" si="9"/>
        <v>0.27272727272727271</v>
      </c>
      <c r="E190" s="131"/>
      <c r="F190" s="132" t="s">
        <v>456</v>
      </c>
      <c r="G190" s="117" t="s">
        <v>66</v>
      </c>
      <c r="H190" s="133">
        <f t="shared" si="8"/>
        <v>4</v>
      </c>
      <c r="I190" s="134">
        <f>IF([2]项目总工作量!B$6="交易类",H190*1.5/22,IF([2]项目总工作量!B$6="数据分析类",H190*1.5*0.9/22,IF([2]项目总工作量!B$6="流程管理类",H190*1.5*0.8/22,IF([2]项目总工作量!B$6="渠道类",H190*1.5*0.7/22,FALSE))))</f>
        <v>0.27272727272727271</v>
      </c>
      <c r="J190" s="117" t="s">
        <v>44</v>
      </c>
      <c r="K190" s="123"/>
      <c r="L190" s="123"/>
      <c r="M190" s="123"/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23"/>
      <c r="AX190" s="123"/>
      <c r="AY190" s="123"/>
      <c r="AZ190" s="123"/>
      <c r="BA190" s="123"/>
      <c r="BB190" s="123"/>
      <c r="BC190" s="123"/>
      <c r="BD190" s="123"/>
      <c r="BE190" s="123"/>
      <c r="BF190" s="123"/>
      <c r="BG190" s="123"/>
      <c r="BH190" s="123"/>
      <c r="BI190" s="123"/>
      <c r="BJ190" s="123"/>
      <c r="BK190" s="123"/>
      <c r="BL190" s="123"/>
      <c r="BM190" s="123"/>
      <c r="BN190" s="123"/>
      <c r="BO190" s="123"/>
      <c r="BP190" s="123"/>
      <c r="BQ190" s="123"/>
      <c r="BR190" s="123"/>
      <c r="BS190" s="123"/>
      <c r="BT190" s="123"/>
      <c r="BU190" s="123"/>
      <c r="BV190" s="123"/>
      <c r="BW190" s="123"/>
      <c r="BX190" s="123"/>
      <c r="BY190" s="123"/>
      <c r="BZ190" s="123"/>
      <c r="CA190" s="123"/>
      <c r="CB190" s="123"/>
      <c r="CC190" s="123"/>
      <c r="CD190" s="123"/>
      <c r="CE190" s="123"/>
      <c r="CF190" s="123"/>
      <c r="CG190" s="123"/>
      <c r="CH190" s="123"/>
      <c r="CI190" s="123"/>
      <c r="CJ190" s="123"/>
      <c r="CK190" s="123"/>
      <c r="CL190" s="123"/>
      <c r="CM190" s="123"/>
      <c r="CN190" s="123"/>
      <c r="CO190" s="123"/>
      <c r="CP190" s="123"/>
      <c r="CQ190" s="123"/>
      <c r="CR190" s="123"/>
      <c r="CS190" s="123"/>
      <c r="CT190" s="123"/>
      <c r="CU190" s="123"/>
      <c r="CV190" s="123"/>
      <c r="CW190" s="123"/>
      <c r="CX190" s="123"/>
      <c r="CY190" s="123"/>
      <c r="CZ190" s="123"/>
      <c r="DA190" s="123"/>
      <c r="DB190" s="123"/>
      <c r="DC190" s="123"/>
      <c r="DD190" s="123"/>
      <c r="DE190" s="123"/>
      <c r="DF190" s="123"/>
      <c r="DG190" s="123"/>
      <c r="DH190" s="123"/>
      <c r="DI190" s="123"/>
      <c r="DJ190" s="123"/>
      <c r="DK190" s="123"/>
      <c r="DL190" s="123"/>
      <c r="DM190" s="123"/>
      <c r="DN190" s="123"/>
      <c r="DO190" s="123"/>
      <c r="DP190" s="123"/>
      <c r="DQ190" s="123"/>
      <c r="DR190" s="123"/>
      <c r="DS190" s="123"/>
      <c r="DT190" s="123"/>
      <c r="DU190" s="123"/>
      <c r="DV190" s="123"/>
      <c r="DW190" s="123"/>
      <c r="DX190" s="123"/>
      <c r="DY190" s="123"/>
      <c r="DZ190" s="123"/>
      <c r="EA190" s="123"/>
      <c r="EB190" s="123"/>
      <c r="EC190" s="123"/>
      <c r="ED190" s="123"/>
      <c r="EE190" s="123"/>
      <c r="EF190" s="123"/>
      <c r="EG190" s="123"/>
      <c r="EH190" s="123"/>
      <c r="EI190" s="123"/>
      <c r="EJ190" s="123"/>
      <c r="EK190" s="123"/>
      <c r="EL190" s="123"/>
      <c r="EM190" s="123"/>
      <c r="EN190" s="123"/>
      <c r="EO190" s="123"/>
      <c r="EP190" s="123"/>
      <c r="EQ190" s="123"/>
      <c r="ER190" s="123"/>
      <c r="ES190" s="123"/>
      <c r="ET190" s="123"/>
      <c r="EU190" s="123"/>
      <c r="EV190" s="123"/>
      <c r="EW190" s="123"/>
      <c r="EX190" s="123"/>
      <c r="EY190" s="123"/>
      <c r="EZ190" s="123"/>
      <c r="FA190" s="123"/>
      <c r="FB190" s="123"/>
      <c r="FC190" s="123"/>
      <c r="FD190" s="123"/>
      <c r="FE190" s="123"/>
      <c r="FF190" s="123"/>
      <c r="FG190" s="123"/>
      <c r="FH190" s="123"/>
      <c r="FI190" s="123"/>
      <c r="FJ190" s="123"/>
      <c r="FK190" s="123"/>
      <c r="FL190" s="123"/>
      <c r="FM190" s="123"/>
      <c r="FN190" s="123"/>
      <c r="FO190" s="123"/>
      <c r="FP190" s="123"/>
      <c r="FQ190" s="123"/>
      <c r="FR190" s="123"/>
      <c r="FS190" s="123"/>
      <c r="FT190" s="123"/>
      <c r="FU190" s="123"/>
      <c r="FV190" s="123"/>
      <c r="FW190" s="123"/>
      <c r="FX190" s="123"/>
      <c r="FY190" s="123"/>
      <c r="FZ190" s="123"/>
      <c r="GA190" s="123"/>
      <c r="GB190" s="123"/>
      <c r="GC190" s="123"/>
      <c r="GD190" s="123"/>
      <c r="GE190" s="123"/>
      <c r="GF190" s="123"/>
      <c r="GG190" s="123"/>
      <c r="GH190" s="123"/>
      <c r="GI190" s="123"/>
      <c r="GJ190" s="123"/>
      <c r="GK190" s="123"/>
      <c r="GL190" s="123"/>
      <c r="GM190" s="123"/>
      <c r="GN190" s="123"/>
      <c r="GO190" s="123"/>
      <c r="GP190" s="123"/>
      <c r="GQ190" s="123"/>
      <c r="GR190" s="123"/>
      <c r="GS190" s="123"/>
      <c r="GT190" s="123"/>
      <c r="GU190" s="123"/>
      <c r="GV190" s="123"/>
      <c r="GW190" s="123"/>
      <c r="GX190" s="123"/>
      <c r="GY190" s="123"/>
      <c r="GZ190" s="123"/>
      <c r="HA190" s="123"/>
      <c r="HB190" s="123"/>
      <c r="HC190" s="123"/>
      <c r="HD190" s="123"/>
      <c r="HE190" s="123"/>
      <c r="HF190" s="123"/>
      <c r="HG190" s="123"/>
      <c r="HH190" s="123"/>
      <c r="HI190" s="123"/>
      <c r="HJ190" s="123"/>
      <c r="HK190" s="123"/>
      <c r="HL190" s="123"/>
      <c r="HM190" s="123"/>
      <c r="HN190" s="123"/>
      <c r="HO190" s="123"/>
      <c r="HP190" s="123"/>
      <c r="HQ190" s="123"/>
      <c r="HR190" s="123"/>
      <c r="HS190" s="123"/>
      <c r="HT190" s="123"/>
      <c r="HU190" s="123"/>
      <c r="HV190" s="123"/>
      <c r="HW190" s="123"/>
      <c r="HX190" s="123"/>
      <c r="HY190" s="123"/>
      <c r="HZ190" s="123"/>
      <c r="IA190" s="123"/>
      <c r="IB190" s="123"/>
      <c r="IC190" s="123"/>
      <c r="ID190" s="123"/>
      <c r="IE190" s="123"/>
      <c r="IF190" s="123"/>
      <c r="IG190" s="123"/>
      <c r="IH190" s="123"/>
      <c r="II190" s="123"/>
      <c r="IJ190" s="123"/>
      <c r="IK190" s="123"/>
      <c r="IL190" s="123"/>
      <c r="IM190" s="123"/>
      <c r="IN190" s="123"/>
      <c r="IO190" s="123"/>
      <c r="IP190" s="123"/>
      <c r="IQ190" s="123"/>
      <c r="IR190" s="123"/>
      <c r="IS190" s="123"/>
      <c r="IT190" s="123"/>
      <c r="IU190" s="123"/>
      <c r="IV190" s="123"/>
    </row>
    <row r="191" spans="1:256" s="124" customFormat="1" ht="17" customHeight="1" x14ac:dyDescent="0.15">
      <c r="A191" s="135"/>
      <c r="B191" s="135"/>
      <c r="C191" s="137"/>
      <c r="D191" s="114">
        <f t="shared" si="9"/>
        <v>0.27272727272727271</v>
      </c>
      <c r="E191" s="131"/>
      <c r="F191" s="132" t="s">
        <v>457</v>
      </c>
      <c r="G191" s="117" t="s">
        <v>66</v>
      </c>
      <c r="H191" s="133">
        <f t="shared" si="8"/>
        <v>4</v>
      </c>
      <c r="I191" s="134">
        <f>IF([2]项目总工作量!B$6="交易类",H191*1.5/22,IF([2]项目总工作量!B$6="数据分析类",H191*1.5*0.9/22,IF([2]项目总工作量!B$6="流程管理类",H191*1.5*0.8/22,IF([2]项目总工作量!B$6="渠道类",H191*1.5*0.7/22,FALSE))))</f>
        <v>0.27272727272727271</v>
      </c>
      <c r="J191" s="117" t="s">
        <v>44</v>
      </c>
      <c r="K191" s="123"/>
      <c r="L191" s="123"/>
      <c r="M191" s="123"/>
      <c r="N191" s="123"/>
      <c r="O191" s="123"/>
      <c r="P191" s="123"/>
      <c r="Q191" s="123"/>
      <c r="R191" s="123"/>
      <c r="S191" s="123"/>
      <c r="T191" s="123"/>
      <c r="U191" s="123"/>
      <c r="V191" s="123"/>
      <c r="W191" s="123"/>
      <c r="X191" s="123"/>
      <c r="Y191" s="123"/>
      <c r="Z191" s="123"/>
      <c r="AA191" s="123"/>
      <c r="AB191" s="123"/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/>
      <c r="AN191" s="123"/>
      <c r="AO191" s="123"/>
      <c r="AP191" s="123"/>
      <c r="AQ191" s="123"/>
      <c r="AR191" s="123"/>
      <c r="AS191" s="123"/>
      <c r="AT191" s="123"/>
      <c r="AU191" s="123"/>
      <c r="AV191" s="123"/>
      <c r="AW191" s="123"/>
      <c r="AX191" s="123"/>
      <c r="AY191" s="123"/>
      <c r="AZ191" s="123"/>
      <c r="BA191" s="123"/>
      <c r="BB191" s="123"/>
      <c r="BC191" s="123"/>
      <c r="BD191" s="123"/>
      <c r="BE191" s="123"/>
      <c r="BF191" s="123"/>
      <c r="BG191" s="123"/>
      <c r="BH191" s="123"/>
      <c r="BI191" s="123"/>
      <c r="BJ191" s="123"/>
      <c r="BK191" s="123"/>
      <c r="BL191" s="123"/>
      <c r="BM191" s="123"/>
      <c r="BN191" s="123"/>
      <c r="BO191" s="123"/>
      <c r="BP191" s="123"/>
      <c r="BQ191" s="123"/>
      <c r="BR191" s="123"/>
      <c r="BS191" s="123"/>
      <c r="BT191" s="123"/>
      <c r="BU191" s="123"/>
      <c r="BV191" s="123"/>
      <c r="BW191" s="123"/>
      <c r="BX191" s="123"/>
      <c r="BY191" s="123"/>
      <c r="BZ191" s="123"/>
      <c r="CA191" s="123"/>
      <c r="CB191" s="123"/>
      <c r="CC191" s="123"/>
      <c r="CD191" s="123"/>
      <c r="CE191" s="123"/>
      <c r="CF191" s="123"/>
      <c r="CG191" s="123"/>
      <c r="CH191" s="123"/>
      <c r="CI191" s="123"/>
      <c r="CJ191" s="123"/>
      <c r="CK191" s="123"/>
      <c r="CL191" s="123"/>
      <c r="CM191" s="123"/>
      <c r="CN191" s="123"/>
      <c r="CO191" s="123"/>
      <c r="CP191" s="123"/>
      <c r="CQ191" s="123"/>
      <c r="CR191" s="123"/>
      <c r="CS191" s="123"/>
      <c r="CT191" s="123"/>
      <c r="CU191" s="123"/>
      <c r="CV191" s="123"/>
      <c r="CW191" s="123"/>
      <c r="CX191" s="123"/>
      <c r="CY191" s="123"/>
      <c r="CZ191" s="123"/>
      <c r="DA191" s="123"/>
      <c r="DB191" s="123"/>
      <c r="DC191" s="123"/>
      <c r="DD191" s="123"/>
      <c r="DE191" s="123"/>
      <c r="DF191" s="123"/>
      <c r="DG191" s="123"/>
      <c r="DH191" s="123"/>
      <c r="DI191" s="123"/>
      <c r="DJ191" s="123"/>
      <c r="DK191" s="123"/>
      <c r="DL191" s="123"/>
      <c r="DM191" s="123"/>
      <c r="DN191" s="123"/>
      <c r="DO191" s="123"/>
      <c r="DP191" s="123"/>
      <c r="DQ191" s="123"/>
      <c r="DR191" s="123"/>
      <c r="DS191" s="123"/>
      <c r="DT191" s="123"/>
      <c r="DU191" s="123"/>
      <c r="DV191" s="123"/>
      <c r="DW191" s="123"/>
      <c r="DX191" s="123"/>
      <c r="DY191" s="123"/>
      <c r="DZ191" s="123"/>
      <c r="EA191" s="123"/>
      <c r="EB191" s="123"/>
      <c r="EC191" s="123"/>
      <c r="ED191" s="123"/>
      <c r="EE191" s="123"/>
      <c r="EF191" s="123"/>
      <c r="EG191" s="123"/>
      <c r="EH191" s="123"/>
      <c r="EI191" s="123"/>
      <c r="EJ191" s="123"/>
      <c r="EK191" s="123"/>
      <c r="EL191" s="123"/>
      <c r="EM191" s="123"/>
      <c r="EN191" s="123"/>
      <c r="EO191" s="123"/>
      <c r="EP191" s="123"/>
      <c r="EQ191" s="123"/>
      <c r="ER191" s="123"/>
      <c r="ES191" s="123"/>
      <c r="ET191" s="123"/>
      <c r="EU191" s="123"/>
      <c r="EV191" s="123"/>
      <c r="EW191" s="123"/>
      <c r="EX191" s="123"/>
      <c r="EY191" s="123"/>
      <c r="EZ191" s="123"/>
      <c r="FA191" s="123"/>
      <c r="FB191" s="123"/>
      <c r="FC191" s="123"/>
      <c r="FD191" s="123"/>
      <c r="FE191" s="123"/>
      <c r="FF191" s="123"/>
      <c r="FG191" s="123"/>
      <c r="FH191" s="123"/>
      <c r="FI191" s="123"/>
      <c r="FJ191" s="123"/>
      <c r="FK191" s="123"/>
      <c r="FL191" s="123"/>
      <c r="FM191" s="123"/>
      <c r="FN191" s="123"/>
      <c r="FO191" s="123"/>
      <c r="FP191" s="123"/>
      <c r="FQ191" s="123"/>
      <c r="FR191" s="123"/>
      <c r="FS191" s="123"/>
      <c r="FT191" s="123"/>
      <c r="FU191" s="123"/>
      <c r="FV191" s="123"/>
      <c r="FW191" s="123"/>
      <c r="FX191" s="123"/>
      <c r="FY191" s="123"/>
      <c r="FZ191" s="123"/>
      <c r="GA191" s="123"/>
      <c r="GB191" s="123"/>
      <c r="GC191" s="123"/>
      <c r="GD191" s="123"/>
      <c r="GE191" s="123"/>
      <c r="GF191" s="123"/>
      <c r="GG191" s="123"/>
      <c r="GH191" s="123"/>
      <c r="GI191" s="123"/>
      <c r="GJ191" s="123"/>
      <c r="GK191" s="123"/>
      <c r="GL191" s="123"/>
      <c r="GM191" s="123"/>
      <c r="GN191" s="123"/>
      <c r="GO191" s="123"/>
      <c r="GP191" s="123"/>
      <c r="GQ191" s="123"/>
      <c r="GR191" s="123"/>
      <c r="GS191" s="123"/>
      <c r="GT191" s="123"/>
      <c r="GU191" s="123"/>
      <c r="GV191" s="123"/>
      <c r="GW191" s="123"/>
      <c r="GX191" s="123"/>
      <c r="GY191" s="123"/>
      <c r="GZ191" s="123"/>
      <c r="HA191" s="123"/>
      <c r="HB191" s="123"/>
      <c r="HC191" s="123"/>
      <c r="HD191" s="123"/>
      <c r="HE191" s="123"/>
      <c r="HF191" s="123"/>
      <c r="HG191" s="123"/>
      <c r="HH191" s="123"/>
      <c r="HI191" s="123"/>
      <c r="HJ191" s="123"/>
      <c r="HK191" s="123"/>
      <c r="HL191" s="123"/>
      <c r="HM191" s="123"/>
      <c r="HN191" s="123"/>
      <c r="HO191" s="123"/>
      <c r="HP191" s="123"/>
      <c r="HQ191" s="123"/>
      <c r="HR191" s="123"/>
      <c r="HS191" s="123"/>
      <c r="HT191" s="123"/>
      <c r="HU191" s="123"/>
      <c r="HV191" s="123"/>
      <c r="HW191" s="123"/>
      <c r="HX191" s="123"/>
      <c r="HY191" s="123"/>
      <c r="HZ191" s="123"/>
      <c r="IA191" s="123"/>
      <c r="IB191" s="123"/>
      <c r="IC191" s="123"/>
      <c r="ID191" s="123"/>
      <c r="IE191" s="123"/>
      <c r="IF191" s="123"/>
      <c r="IG191" s="123"/>
      <c r="IH191" s="123"/>
      <c r="II191" s="123"/>
      <c r="IJ191" s="123"/>
      <c r="IK191" s="123"/>
      <c r="IL191" s="123"/>
      <c r="IM191" s="123"/>
      <c r="IN191" s="123"/>
      <c r="IO191" s="123"/>
      <c r="IP191" s="123"/>
      <c r="IQ191" s="123"/>
      <c r="IR191" s="123"/>
      <c r="IS191" s="123"/>
      <c r="IT191" s="123"/>
      <c r="IU191" s="123"/>
      <c r="IV191" s="123"/>
    </row>
    <row r="192" spans="1:256" s="124" customFormat="1" ht="17" customHeight="1" x14ac:dyDescent="0.15">
      <c r="A192" s="135"/>
      <c r="B192" s="135"/>
      <c r="C192" s="137"/>
      <c r="D192" s="114">
        <f t="shared" si="9"/>
        <v>0.27272727272727271</v>
      </c>
      <c r="E192" s="131"/>
      <c r="F192" s="132" t="s">
        <v>458</v>
      </c>
      <c r="G192" s="117" t="s">
        <v>66</v>
      </c>
      <c r="H192" s="133">
        <f t="shared" si="8"/>
        <v>4</v>
      </c>
      <c r="I192" s="134">
        <f>IF([2]项目总工作量!B$6="交易类",H192*1.5/22,IF([2]项目总工作量!B$6="数据分析类",H192*1.5*0.9/22,IF([2]项目总工作量!B$6="流程管理类",H192*1.5*0.8/22,IF([2]项目总工作量!B$6="渠道类",H192*1.5*0.7/22,FALSE))))</f>
        <v>0.27272727272727271</v>
      </c>
      <c r="J192" s="117" t="s">
        <v>44</v>
      </c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3"/>
      <c r="AB192" s="123"/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23"/>
      <c r="AP192" s="123"/>
      <c r="AQ192" s="123"/>
      <c r="AR192" s="123"/>
      <c r="AS192" s="123"/>
      <c r="AT192" s="123"/>
      <c r="AU192" s="123"/>
      <c r="AV192" s="123"/>
      <c r="AW192" s="123"/>
      <c r="AX192" s="123"/>
      <c r="AY192" s="123"/>
      <c r="AZ192" s="123"/>
      <c r="BA192" s="123"/>
      <c r="BB192" s="123"/>
      <c r="BC192" s="123"/>
      <c r="BD192" s="123"/>
      <c r="BE192" s="123"/>
      <c r="BF192" s="123"/>
      <c r="BG192" s="123"/>
      <c r="BH192" s="123"/>
      <c r="BI192" s="123"/>
      <c r="BJ192" s="123"/>
      <c r="BK192" s="123"/>
      <c r="BL192" s="123"/>
      <c r="BM192" s="123"/>
      <c r="BN192" s="123"/>
      <c r="BO192" s="123"/>
      <c r="BP192" s="123"/>
      <c r="BQ192" s="123"/>
      <c r="BR192" s="123"/>
      <c r="BS192" s="123"/>
      <c r="BT192" s="123"/>
      <c r="BU192" s="123"/>
      <c r="BV192" s="123"/>
      <c r="BW192" s="123"/>
      <c r="BX192" s="123"/>
      <c r="BY192" s="123"/>
      <c r="BZ192" s="123"/>
      <c r="CA192" s="123"/>
      <c r="CB192" s="123"/>
      <c r="CC192" s="123"/>
      <c r="CD192" s="123"/>
      <c r="CE192" s="123"/>
      <c r="CF192" s="123"/>
      <c r="CG192" s="123"/>
      <c r="CH192" s="123"/>
      <c r="CI192" s="123"/>
      <c r="CJ192" s="123"/>
      <c r="CK192" s="123"/>
      <c r="CL192" s="123"/>
      <c r="CM192" s="123"/>
      <c r="CN192" s="123"/>
      <c r="CO192" s="123"/>
      <c r="CP192" s="123"/>
      <c r="CQ192" s="123"/>
      <c r="CR192" s="123"/>
      <c r="CS192" s="123"/>
      <c r="CT192" s="123"/>
      <c r="CU192" s="123"/>
      <c r="CV192" s="123"/>
      <c r="CW192" s="123"/>
      <c r="CX192" s="123"/>
      <c r="CY192" s="123"/>
      <c r="CZ192" s="123"/>
      <c r="DA192" s="123"/>
      <c r="DB192" s="123"/>
      <c r="DC192" s="123"/>
      <c r="DD192" s="123"/>
      <c r="DE192" s="123"/>
      <c r="DF192" s="123"/>
      <c r="DG192" s="123"/>
      <c r="DH192" s="123"/>
      <c r="DI192" s="123"/>
      <c r="DJ192" s="123"/>
      <c r="DK192" s="123"/>
      <c r="DL192" s="123"/>
      <c r="DM192" s="123"/>
      <c r="DN192" s="123"/>
      <c r="DO192" s="123"/>
      <c r="DP192" s="123"/>
      <c r="DQ192" s="123"/>
      <c r="DR192" s="123"/>
      <c r="DS192" s="123"/>
      <c r="DT192" s="123"/>
      <c r="DU192" s="123"/>
      <c r="DV192" s="123"/>
      <c r="DW192" s="123"/>
      <c r="DX192" s="123"/>
      <c r="DY192" s="123"/>
      <c r="DZ192" s="123"/>
      <c r="EA192" s="123"/>
      <c r="EB192" s="123"/>
      <c r="EC192" s="123"/>
      <c r="ED192" s="123"/>
      <c r="EE192" s="123"/>
      <c r="EF192" s="123"/>
      <c r="EG192" s="123"/>
      <c r="EH192" s="123"/>
      <c r="EI192" s="123"/>
      <c r="EJ192" s="123"/>
      <c r="EK192" s="123"/>
      <c r="EL192" s="123"/>
      <c r="EM192" s="123"/>
      <c r="EN192" s="123"/>
      <c r="EO192" s="123"/>
      <c r="EP192" s="123"/>
      <c r="EQ192" s="123"/>
      <c r="ER192" s="123"/>
      <c r="ES192" s="123"/>
      <c r="ET192" s="123"/>
      <c r="EU192" s="123"/>
      <c r="EV192" s="123"/>
      <c r="EW192" s="123"/>
      <c r="EX192" s="123"/>
      <c r="EY192" s="123"/>
      <c r="EZ192" s="123"/>
      <c r="FA192" s="123"/>
      <c r="FB192" s="123"/>
      <c r="FC192" s="123"/>
      <c r="FD192" s="123"/>
      <c r="FE192" s="123"/>
      <c r="FF192" s="123"/>
      <c r="FG192" s="123"/>
      <c r="FH192" s="123"/>
      <c r="FI192" s="123"/>
      <c r="FJ192" s="123"/>
      <c r="FK192" s="123"/>
      <c r="FL192" s="123"/>
      <c r="FM192" s="123"/>
      <c r="FN192" s="123"/>
      <c r="FO192" s="123"/>
      <c r="FP192" s="123"/>
      <c r="FQ192" s="123"/>
      <c r="FR192" s="123"/>
      <c r="FS192" s="123"/>
      <c r="FT192" s="123"/>
      <c r="FU192" s="123"/>
      <c r="FV192" s="123"/>
      <c r="FW192" s="123"/>
      <c r="FX192" s="123"/>
      <c r="FY192" s="123"/>
      <c r="FZ192" s="123"/>
      <c r="GA192" s="123"/>
      <c r="GB192" s="123"/>
      <c r="GC192" s="123"/>
      <c r="GD192" s="123"/>
      <c r="GE192" s="123"/>
      <c r="GF192" s="123"/>
      <c r="GG192" s="123"/>
      <c r="GH192" s="123"/>
      <c r="GI192" s="123"/>
      <c r="GJ192" s="123"/>
      <c r="GK192" s="123"/>
      <c r="GL192" s="123"/>
      <c r="GM192" s="123"/>
      <c r="GN192" s="123"/>
      <c r="GO192" s="123"/>
      <c r="GP192" s="123"/>
      <c r="GQ192" s="123"/>
      <c r="GR192" s="123"/>
      <c r="GS192" s="123"/>
      <c r="GT192" s="123"/>
      <c r="GU192" s="123"/>
      <c r="GV192" s="123"/>
      <c r="GW192" s="123"/>
      <c r="GX192" s="123"/>
      <c r="GY192" s="123"/>
      <c r="GZ192" s="123"/>
      <c r="HA192" s="123"/>
      <c r="HB192" s="123"/>
      <c r="HC192" s="123"/>
      <c r="HD192" s="123"/>
      <c r="HE192" s="123"/>
      <c r="HF192" s="123"/>
      <c r="HG192" s="123"/>
      <c r="HH192" s="123"/>
      <c r="HI192" s="123"/>
      <c r="HJ192" s="123"/>
      <c r="HK192" s="123"/>
      <c r="HL192" s="123"/>
      <c r="HM192" s="123"/>
      <c r="HN192" s="123"/>
      <c r="HO192" s="123"/>
      <c r="HP192" s="123"/>
      <c r="HQ192" s="123"/>
      <c r="HR192" s="123"/>
      <c r="HS192" s="123"/>
      <c r="HT192" s="123"/>
      <c r="HU192" s="123"/>
      <c r="HV192" s="123"/>
      <c r="HW192" s="123"/>
      <c r="HX192" s="123"/>
      <c r="HY192" s="123"/>
      <c r="HZ192" s="123"/>
      <c r="IA192" s="123"/>
      <c r="IB192" s="123"/>
      <c r="IC192" s="123"/>
      <c r="ID192" s="123"/>
      <c r="IE192" s="123"/>
      <c r="IF192" s="123"/>
      <c r="IG192" s="123"/>
      <c r="IH192" s="123"/>
      <c r="II192" s="123"/>
      <c r="IJ192" s="123"/>
      <c r="IK192" s="123"/>
      <c r="IL192" s="123"/>
      <c r="IM192" s="123"/>
      <c r="IN192" s="123"/>
      <c r="IO192" s="123"/>
      <c r="IP192" s="123"/>
      <c r="IQ192" s="123"/>
      <c r="IR192" s="123"/>
      <c r="IS192" s="123"/>
      <c r="IT192" s="123"/>
      <c r="IU192" s="123"/>
      <c r="IV192" s="123"/>
    </row>
    <row r="193" spans="1:256" s="124" customFormat="1" ht="17" customHeight="1" x14ac:dyDescent="0.15">
      <c r="A193" s="135"/>
      <c r="B193" s="135"/>
      <c r="C193" s="137"/>
      <c r="D193" s="114">
        <f t="shared" si="9"/>
        <v>0.27272727272727271</v>
      </c>
      <c r="E193" s="131"/>
      <c r="F193" s="132" t="s">
        <v>459</v>
      </c>
      <c r="G193" s="117" t="s">
        <v>66</v>
      </c>
      <c r="H193" s="133">
        <f t="shared" si="8"/>
        <v>4</v>
      </c>
      <c r="I193" s="134">
        <f>IF([2]项目总工作量!B$6="交易类",H193*1.5/22,IF([2]项目总工作量!B$6="数据分析类",H193*1.5*0.9/22,IF([2]项目总工作量!B$6="流程管理类",H193*1.5*0.8/22,IF([2]项目总工作量!B$6="渠道类",H193*1.5*0.7/22,FALSE))))</f>
        <v>0.27272727272727271</v>
      </c>
      <c r="J193" s="117" t="s">
        <v>44</v>
      </c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/>
      <c r="BA193" s="123"/>
      <c r="BB193" s="123"/>
      <c r="BC193" s="123"/>
      <c r="BD193" s="123"/>
      <c r="BE193" s="123"/>
      <c r="BF193" s="123"/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/>
      <c r="BU193" s="123"/>
      <c r="BV193" s="123"/>
      <c r="BW193" s="123"/>
      <c r="BX193" s="123"/>
      <c r="BY193" s="123"/>
      <c r="BZ193" s="123"/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/>
      <c r="DC193" s="123"/>
      <c r="DD193" s="123"/>
      <c r="DE193" s="123"/>
      <c r="DF193" s="123"/>
      <c r="DG193" s="123"/>
      <c r="DH193" s="123"/>
      <c r="DI193" s="123"/>
      <c r="DJ193" s="123"/>
      <c r="DK193" s="123"/>
      <c r="DL193" s="123"/>
      <c r="DM193" s="123"/>
      <c r="DN193" s="123"/>
      <c r="DO193" s="123"/>
      <c r="DP193" s="123"/>
      <c r="DQ193" s="123"/>
      <c r="DR193" s="123"/>
      <c r="DS193" s="123"/>
      <c r="DT193" s="123"/>
      <c r="DU193" s="123"/>
      <c r="DV193" s="123"/>
      <c r="DW193" s="123"/>
      <c r="DX193" s="123"/>
      <c r="DY193" s="123"/>
      <c r="DZ193" s="123"/>
      <c r="EA193" s="123"/>
      <c r="EB193" s="123"/>
      <c r="EC193" s="123"/>
      <c r="ED193" s="123"/>
      <c r="EE193" s="123"/>
      <c r="EF193" s="123"/>
      <c r="EG193" s="123"/>
      <c r="EH193" s="123"/>
      <c r="EI193" s="123"/>
      <c r="EJ193" s="123"/>
      <c r="EK193" s="123"/>
      <c r="EL193" s="123"/>
      <c r="EM193" s="123"/>
      <c r="EN193" s="123"/>
      <c r="EO193" s="123"/>
      <c r="EP193" s="123"/>
      <c r="EQ193" s="123"/>
      <c r="ER193" s="123"/>
      <c r="ES193" s="123"/>
      <c r="ET193" s="123"/>
      <c r="EU193" s="123"/>
      <c r="EV193" s="123"/>
      <c r="EW193" s="123"/>
      <c r="EX193" s="123"/>
      <c r="EY193" s="123"/>
      <c r="EZ193" s="123"/>
      <c r="FA193" s="123"/>
      <c r="FB193" s="123"/>
      <c r="FC193" s="123"/>
      <c r="FD193" s="123"/>
      <c r="FE193" s="123"/>
      <c r="FF193" s="123"/>
      <c r="FG193" s="123"/>
      <c r="FH193" s="123"/>
      <c r="FI193" s="123"/>
      <c r="FJ193" s="123"/>
      <c r="FK193" s="123"/>
      <c r="FL193" s="123"/>
      <c r="FM193" s="123"/>
      <c r="FN193" s="123"/>
      <c r="FO193" s="123"/>
      <c r="FP193" s="123"/>
      <c r="FQ193" s="123"/>
      <c r="FR193" s="123"/>
      <c r="FS193" s="123"/>
      <c r="FT193" s="123"/>
      <c r="FU193" s="123"/>
      <c r="FV193" s="123"/>
      <c r="FW193" s="123"/>
      <c r="FX193" s="123"/>
      <c r="FY193" s="123"/>
      <c r="FZ193" s="123"/>
      <c r="GA193" s="123"/>
      <c r="GB193" s="123"/>
      <c r="GC193" s="123"/>
      <c r="GD193" s="123"/>
      <c r="GE193" s="123"/>
      <c r="GF193" s="123"/>
      <c r="GG193" s="123"/>
      <c r="GH193" s="123"/>
      <c r="GI193" s="123"/>
      <c r="GJ193" s="123"/>
      <c r="GK193" s="123"/>
      <c r="GL193" s="123"/>
      <c r="GM193" s="123"/>
      <c r="GN193" s="123"/>
      <c r="GO193" s="123"/>
      <c r="GP193" s="123"/>
      <c r="GQ193" s="123"/>
      <c r="GR193" s="123"/>
      <c r="GS193" s="123"/>
      <c r="GT193" s="123"/>
      <c r="GU193" s="123"/>
      <c r="GV193" s="123"/>
      <c r="GW193" s="123"/>
      <c r="GX193" s="123"/>
      <c r="GY193" s="123"/>
      <c r="GZ193" s="123"/>
      <c r="HA193" s="123"/>
      <c r="HB193" s="123"/>
      <c r="HC193" s="123"/>
      <c r="HD193" s="123"/>
      <c r="HE193" s="123"/>
      <c r="HF193" s="123"/>
      <c r="HG193" s="123"/>
      <c r="HH193" s="123"/>
      <c r="HI193" s="123"/>
      <c r="HJ193" s="123"/>
      <c r="HK193" s="123"/>
      <c r="HL193" s="123"/>
      <c r="HM193" s="123"/>
      <c r="HN193" s="123"/>
      <c r="HO193" s="123"/>
      <c r="HP193" s="123"/>
      <c r="HQ193" s="123"/>
      <c r="HR193" s="123"/>
      <c r="HS193" s="123"/>
      <c r="HT193" s="123"/>
      <c r="HU193" s="123"/>
      <c r="HV193" s="123"/>
      <c r="HW193" s="123"/>
      <c r="HX193" s="123"/>
      <c r="HY193" s="123"/>
      <c r="HZ193" s="123"/>
      <c r="IA193" s="123"/>
      <c r="IB193" s="123"/>
      <c r="IC193" s="123"/>
      <c r="ID193" s="123"/>
      <c r="IE193" s="123"/>
      <c r="IF193" s="123"/>
      <c r="IG193" s="123"/>
      <c r="IH193" s="123"/>
      <c r="II193" s="123"/>
      <c r="IJ193" s="123"/>
      <c r="IK193" s="123"/>
      <c r="IL193" s="123"/>
      <c r="IM193" s="123"/>
      <c r="IN193" s="123"/>
      <c r="IO193" s="123"/>
      <c r="IP193" s="123"/>
      <c r="IQ193" s="123"/>
      <c r="IR193" s="123"/>
      <c r="IS193" s="123"/>
      <c r="IT193" s="123"/>
      <c r="IU193" s="123"/>
      <c r="IV193" s="123"/>
    </row>
    <row r="194" spans="1:256" s="124" customFormat="1" ht="17" customHeight="1" x14ac:dyDescent="0.15">
      <c r="A194" s="135"/>
      <c r="B194" s="135"/>
      <c r="C194" s="137"/>
      <c r="D194" s="114">
        <f t="shared" si="9"/>
        <v>0.27272727272727271</v>
      </c>
      <c r="E194" s="131"/>
      <c r="F194" s="132" t="s">
        <v>460</v>
      </c>
      <c r="G194" s="117" t="s">
        <v>66</v>
      </c>
      <c r="H194" s="133">
        <f t="shared" si="8"/>
        <v>4</v>
      </c>
      <c r="I194" s="134">
        <f>IF([2]项目总工作量!B$6="交易类",H194*1.5/22,IF([2]项目总工作量!B$6="数据分析类",H194*1.5*0.9/22,IF([2]项目总工作量!B$6="流程管理类",H194*1.5*0.8/22,IF([2]项目总工作量!B$6="渠道类",H194*1.5*0.7/22,FALSE))))</f>
        <v>0.27272727272727271</v>
      </c>
      <c r="J194" s="117" t="s">
        <v>44</v>
      </c>
      <c r="K194" s="123"/>
      <c r="L194" s="123"/>
      <c r="M194" s="123"/>
      <c r="N194" s="123"/>
      <c r="O194" s="123"/>
      <c r="P194" s="123"/>
      <c r="Q194" s="123"/>
      <c r="R194" s="123"/>
      <c r="S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/>
      <c r="AE194" s="123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23"/>
      <c r="AP194" s="123"/>
      <c r="AQ194" s="123"/>
      <c r="AR194" s="123"/>
      <c r="AS194" s="123"/>
      <c r="AT194" s="123"/>
      <c r="AU194" s="123"/>
      <c r="AV194" s="123"/>
      <c r="AW194" s="123"/>
      <c r="AX194" s="123"/>
      <c r="AY194" s="123"/>
      <c r="AZ194" s="123"/>
      <c r="BA194" s="123"/>
      <c r="BB194" s="123"/>
      <c r="BC194" s="123"/>
      <c r="BD194" s="123"/>
      <c r="BE194" s="123"/>
      <c r="BF194" s="123"/>
      <c r="BG194" s="123"/>
      <c r="BH194" s="123"/>
      <c r="BI194" s="123"/>
      <c r="BJ194" s="123"/>
      <c r="BK194" s="123"/>
      <c r="BL194" s="123"/>
      <c r="BM194" s="123"/>
      <c r="BN194" s="123"/>
      <c r="BO194" s="123"/>
      <c r="BP194" s="123"/>
      <c r="BQ194" s="123"/>
      <c r="BR194" s="123"/>
      <c r="BS194" s="123"/>
      <c r="BT194" s="123"/>
      <c r="BU194" s="123"/>
      <c r="BV194" s="123"/>
      <c r="BW194" s="123"/>
      <c r="BX194" s="123"/>
      <c r="BY194" s="123"/>
      <c r="BZ194" s="123"/>
      <c r="CA194" s="123"/>
      <c r="CB194" s="123"/>
      <c r="CC194" s="123"/>
      <c r="CD194" s="123"/>
      <c r="CE194" s="123"/>
      <c r="CF194" s="123"/>
      <c r="CG194" s="123"/>
      <c r="CH194" s="123"/>
      <c r="CI194" s="123"/>
      <c r="CJ194" s="123"/>
      <c r="CK194" s="123"/>
      <c r="CL194" s="123"/>
      <c r="CM194" s="123"/>
      <c r="CN194" s="123"/>
      <c r="CO194" s="123"/>
      <c r="CP194" s="123"/>
      <c r="CQ194" s="123"/>
      <c r="CR194" s="123"/>
      <c r="CS194" s="123"/>
      <c r="CT194" s="123"/>
      <c r="CU194" s="123"/>
      <c r="CV194" s="123"/>
      <c r="CW194" s="123"/>
      <c r="CX194" s="123"/>
      <c r="CY194" s="123"/>
      <c r="CZ194" s="123"/>
      <c r="DA194" s="123"/>
      <c r="DB194" s="123"/>
      <c r="DC194" s="123"/>
      <c r="DD194" s="123"/>
      <c r="DE194" s="123"/>
      <c r="DF194" s="123"/>
      <c r="DG194" s="123"/>
      <c r="DH194" s="123"/>
      <c r="DI194" s="123"/>
      <c r="DJ194" s="123"/>
      <c r="DK194" s="123"/>
      <c r="DL194" s="123"/>
      <c r="DM194" s="123"/>
      <c r="DN194" s="123"/>
      <c r="DO194" s="123"/>
      <c r="DP194" s="123"/>
      <c r="DQ194" s="123"/>
      <c r="DR194" s="123"/>
      <c r="DS194" s="123"/>
      <c r="DT194" s="123"/>
      <c r="DU194" s="123"/>
      <c r="DV194" s="123"/>
      <c r="DW194" s="123"/>
      <c r="DX194" s="123"/>
      <c r="DY194" s="123"/>
      <c r="DZ194" s="123"/>
      <c r="EA194" s="123"/>
      <c r="EB194" s="123"/>
      <c r="EC194" s="123"/>
      <c r="ED194" s="123"/>
      <c r="EE194" s="123"/>
      <c r="EF194" s="123"/>
      <c r="EG194" s="123"/>
      <c r="EH194" s="123"/>
      <c r="EI194" s="123"/>
      <c r="EJ194" s="123"/>
      <c r="EK194" s="123"/>
      <c r="EL194" s="123"/>
      <c r="EM194" s="123"/>
      <c r="EN194" s="123"/>
      <c r="EO194" s="123"/>
      <c r="EP194" s="123"/>
      <c r="EQ194" s="123"/>
      <c r="ER194" s="123"/>
      <c r="ES194" s="123"/>
      <c r="ET194" s="123"/>
      <c r="EU194" s="123"/>
      <c r="EV194" s="123"/>
      <c r="EW194" s="123"/>
      <c r="EX194" s="123"/>
      <c r="EY194" s="123"/>
      <c r="EZ194" s="123"/>
      <c r="FA194" s="123"/>
      <c r="FB194" s="123"/>
      <c r="FC194" s="123"/>
      <c r="FD194" s="123"/>
      <c r="FE194" s="123"/>
      <c r="FF194" s="123"/>
      <c r="FG194" s="123"/>
      <c r="FH194" s="123"/>
      <c r="FI194" s="123"/>
      <c r="FJ194" s="123"/>
      <c r="FK194" s="123"/>
      <c r="FL194" s="123"/>
      <c r="FM194" s="123"/>
      <c r="FN194" s="123"/>
      <c r="FO194" s="123"/>
      <c r="FP194" s="123"/>
      <c r="FQ194" s="123"/>
      <c r="FR194" s="123"/>
      <c r="FS194" s="123"/>
      <c r="FT194" s="123"/>
      <c r="FU194" s="123"/>
      <c r="FV194" s="123"/>
      <c r="FW194" s="123"/>
      <c r="FX194" s="123"/>
      <c r="FY194" s="123"/>
      <c r="FZ194" s="123"/>
      <c r="GA194" s="123"/>
      <c r="GB194" s="123"/>
      <c r="GC194" s="123"/>
      <c r="GD194" s="123"/>
      <c r="GE194" s="123"/>
      <c r="GF194" s="123"/>
      <c r="GG194" s="123"/>
      <c r="GH194" s="123"/>
      <c r="GI194" s="123"/>
      <c r="GJ194" s="123"/>
      <c r="GK194" s="123"/>
      <c r="GL194" s="123"/>
      <c r="GM194" s="123"/>
      <c r="GN194" s="123"/>
      <c r="GO194" s="123"/>
      <c r="GP194" s="123"/>
      <c r="GQ194" s="123"/>
      <c r="GR194" s="123"/>
      <c r="GS194" s="123"/>
      <c r="GT194" s="123"/>
      <c r="GU194" s="123"/>
      <c r="GV194" s="123"/>
      <c r="GW194" s="123"/>
      <c r="GX194" s="123"/>
      <c r="GY194" s="123"/>
      <c r="GZ194" s="123"/>
      <c r="HA194" s="123"/>
      <c r="HB194" s="123"/>
      <c r="HC194" s="123"/>
      <c r="HD194" s="123"/>
      <c r="HE194" s="123"/>
      <c r="HF194" s="123"/>
      <c r="HG194" s="123"/>
      <c r="HH194" s="123"/>
      <c r="HI194" s="123"/>
      <c r="HJ194" s="123"/>
      <c r="HK194" s="123"/>
      <c r="HL194" s="123"/>
      <c r="HM194" s="123"/>
      <c r="HN194" s="123"/>
      <c r="HO194" s="123"/>
      <c r="HP194" s="123"/>
      <c r="HQ194" s="123"/>
      <c r="HR194" s="123"/>
      <c r="HS194" s="123"/>
      <c r="HT194" s="123"/>
      <c r="HU194" s="123"/>
      <c r="HV194" s="123"/>
      <c r="HW194" s="123"/>
      <c r="HX194" s="123"/>
      <c r="HY194" s="123"/>
      <c r="HZ194" s="123"/>
      <c r="IA194" s="123"/>
      <c r="IB194" s="123"/>
      <c r="IC194" s="123"/>
      <c r="ID194" s="123"/>
      <c r="IE194" s="123"/>
      <c r="IF194" s="123"/>
      <c r="IG194" s="123"/>
      <c r="IH194" s="123"/>
      <c r="II194" s="123"/>
      <c r="IJ194" s="123"/>
      <c r="IK194" s="123"/>
      <c r="IL194" s="123"/>
      <c r="IM194" s="123"/>
      <c r="IN194" s="123"/>
      <c r="IO194" s="123"/>
      <c r="IP194" s="123"/>
      <c r="IQ194" s="123"/>
      <c r="IR194" s="123"/>
      <c r="IS194" s="123"/>
      <c r="IT194" s="123"/>
      <c r="IU194" s="123"/>
      <c r="IV194" s="123"/>
    </row>
    <row r="195" spans="1:256" s="124" customFormat="1" ht="17" customHeight="1" x14ac:dyDescent="0.15">
      <c r="A195" s="135"/>
      <c r="B195" s="135"/>
      <c r="C195" s="137"/>
      <c r="D195" s="114">
        <f t="shared" si="9"/>
        <v>0.27272727272727271</v>
      </c>
      <c r="E195" s="131"/>
      <c r="F195" s="132" t="s">
        <v>461</v>
      </c>
      <c r="G195" s="117" t="s">
        <v>66</v>
      </c>
      <c r="H195" s="133">
        <f t="shared" si="8"/>
        <v>4</v>
      </c>
      <c r="I195" s="134">
        <f>IF([2]项目总工作量!B$6="交易类",H195*1.5/22,IF([2]项目总工作量!B$6="数据分析类",H195*1.5*0.9/22,IF([2]项目总工作量!B$6="流程管理类",H195*1.5*0.8/22,IF([2]项目总工作量!B$6="渠道类",H195*1.5*0.7/22,FALSE))))</f>
        <v>0.27272727272727271</v>
      </c>
      <c r="J195" s="117" t="s">
        <v>44</v>
      </c>
      <c r="K195" s="123"/>
      <c r="L195" s="123"/>
      <c r="M195" s="123"/>
      <c r="N195" s="123"/>
      <c r="O195" s="123"/>
      <c r="P195" s="123"/>
      <c r="Q195" s="123"/>
      <c r="R195" s="123"/>
      <c r="S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/>
      <c r="AE195" s="123"/>
      <c r="AF195" s="123"/>
      <c r="AG195" s="123"/>
      <c r="AH195" s="123"/>
      <c r="AI195" s="123"/>
      <c r="AJ195" s="123"/>
      <c r="AK195" s="123"/>
      <c r="AL195" s="123"/>
      <c r="AM195" s="123"/>
      <c r="AN195" s="123"/>
      <c r="AO195" s="123"/>
      <c r="AP195" s="123"/>
      <c r="AQ195" s="123"/>
      <c r="AR195" s="123"/>
      <c r="AS195" s="123"/>
      <c r="AT195" s="123"/>
      <c r="AU195" s="123"/>
      <c r="AV195" s="123"/>
      <c r="AW195" s="123"/>
      <c r="AX195" s="123"/>
      <c r="AY195" s="123"/>
      <c r="AZ195" s="123"/>
      <c r="BA195" s="123"/>
      <c r="BB195" s="123"/>
      <c r="BC195" s="123"/>
      <c r="BD195" s="123"/>
      <c r="BE195" s="123"/>
      <c r="BF195" s="123"/>
      <c r="BG195" s="123"/>
      <c r="BH195" s="123"/>
      <c r="BI195" s="123"/>
      <c r="BJ195" s="123"/>
      <c r="BK195" s="123"/>
      <c r="BL195" s="123"/>
      <c r="BM195" s="123"/>
      <c r="BN195" s="123"/>
      <c r="BO195" s="123"/>
      <c r="BP195" s="123"/>
      <c r="BQ195" s="123"/>
      <c r="BR195" s="123"/>
      <c r="BS195" s="123"/>
      <c r="BT195" s="123"/>
      <c r="BU195" s="123"/>
      <c r="BV195" s="123"/>
      <c r="BW195" s="123"/>
      <c r="BX195" s="123"/>
      <c r="BY195" s="123"/>
      <c r="BZ195" s="123"/>
      <c r="CA195" s="123"/>
      <c r="CB195" s="123"/>
      <c r="CC195" s="123"/>
      <c r="CD195" s="123"/>
      <c r="CE195" s="123"/>
      <c r="CF195" s="123"/>
      <c r="CG195" s="123"/>
      <c r="CH195" s="123"/>
      <c r="CI195" s="123"/>
      <c r="CJ195" s="123"/>
      <c r="CK195" s="123"/>
      <c r="CL195" s="123"/>
      <c r="CM195" s="123"/>
      <c r="CN195" s="123"/>
      <c r="CO195" s="123"/>
      <c r="CP195" s="123"/>
      <c r="CQ195" s="123"/>
      <c r="CR195" s="123"/>
      <c r="CS195" s="123"/>
      <c r="CT195" s="123"/>
      <c r="CU195" s="123"/>
      <c r="CV195" s="123"/>
      <c r="CW195" s="123"/>
      <c r="CX195" s="123"/>
      <c r="CY195" s="123"/>
      <c r="CZ195" s="123"/>
      <c r="DA195" s="123"/>
      <c r="DB195" s="123"/>
      <c r="DC195" s="123"/>
      <c r="DD195" s="123"/>
      <c r="DE195" s="123"/>
      <c r="DF195" s="123"/>
      <c r="DG195" s="123"/>
      <c r="DH195" s="123"/>
      <c r="DI195" s="123"/>
      <c r="DJ195" s="123"/>
      <c r="DK195" s="123"/>
      <c r="DL195" s="123"/>
      <c r="DM195" s="123"/>
      <c r="DN195" s="123"/>
      <c r="DO195" s="123"/>
      <c r="DP195" s="123"/>
      <c r="DQ195" s="123"/>
      <c r="DR195" s="123"/>
      <c r="DS195" s="123"/>
      <c r="DT195" s="123"/>
      <c r="DU195" s="123"/>
      <c r="DV195" s="123"/>
      <c r="DW195" s="123"/>
      <c r="DX195" s="123"/>
      <c r="DY195" s="123"/>
      <c r="DZ195" s="123"/>
      <c r="EA195" s="123"/>
      <c r="EB195" s="123"/>
      <c r="EC195" s="123"/>
      <c r="ED195" s="123"/>
      <c r="EE195" s="123"/>
      <c r="EF195" s="123"/>
      <c r="EG195" s="123"/>
      <c r="EH195" s="123"/>
      <c r="EI195" s="123"/>
      <c r="EJ195" s="123"/>
      <c r="EK195" s="123"/>
      <c r="EL195" s="123"/>
      <c r="EM195" s="123"/>
      <c r="EN195" s="123"/>
      <c r="EO195" s="123"/>
      <c r="EP195" s="123"/>
      <c r="EQ195" s="123"/>
      <c r="ER195" s="123"/>
      <c r="ES195" s="123"/>
      <c r="ET195" s="123"/>
      <c r="EU195" s="123"/>
      <c r="EV195" s="123"/>
      <c r="EW195" s="123"/>
      <c r="EX195" s="123"/>
      <c r="EY195" s="123"/>
      <c r="EZ195" s="123"/>
      <c r="FA195" s="123"/>
      <c r="FB195" s="123"/>
      <c r="FC195" s="123"/>
      <c r="FD195" s="123"/>
      <c r="FE195" s="123"/>
      <c r="FF195" s="123"/>
      <c r="FG195" s="123"/>
      <c r="FH195" s="123"/>
      <c r="FI195" s="123"/>
      <c r="FJ195" s="123"/>
      <c r="FK195" s="123"/>
      <c r="FL195" s="123"/>
      <c r="FM195" s="123"/>
      <c r="FN195" s="123"/>
      <c r="FO195" s="123"/>
      <c r="FP195" s="123"/>
      <c r="FQ195" s="123"/>
      <c r="FR195" s="123"/>
      <c r="FS195" s="123"/>
      <c r="FT195" s="123"/>
      <c r="FU195" s="123"/>
      <c r="FV195" s="123"/>
      <c r="FW195" s="123"/>
      <c r="FX195" s="123"/>
      <c r="FY195" s="123"/>
      <c r="FZ195" s="123"/>
      <c r="GA195" s="123"/>
      <c r="GB195" s="123"/>
      <c r="GC195" s="123"/>
      <c r="GD195" s="123"/>
      <c r="GE195" s="123"/>
      <c r="GF195" s="123"/>
      <c r="GG195" s="123"/>
      <c r="GH195" s="123"/>
      <c r="GI195" s="123"/>
      <c r="GJ195" s="123"/>
      <c r="GK195" s="123"/>
      <c r="GL195" s="123"/>
      <c r="GM195" s="123"/>
      <c r="GN195" s="123"/>
      <c r="GO195" s="123"/>
      <c r="GP195" s="123"/>
      <c r="GQ195" s="123"/>
      <c r="GR195" s="123"/>
      <c r="GS195" s="123"/>
      <c r="GT195" s="123"/>
      <c r="GU195" s="123"/>
      <c r="GV195" s="123"/>
      <c r="GW195" s="123"/>
      <c r="GX195" s="123"/>
      <c r="GY195" s="123"/>
      <c r="GZ195" s="123"/>
      <c r="HA195" s="123"/>
      <c r="HB195" s="123"/>
      <c r="HC195" s="123"/>
      <c r="HD195" s="123"/>
      <c r="HE195" s="123"/>
      <c r="HF195" s="123"/>
      <c r="HG195" s="123"/>
      <c r="HH195" s="123"/>
      <c r="HI195" s="123"/>
      <c r="HJ195" s="123"/>
      <c r="HK195" s="123"/>
      <c r="HL195" s="123"/>
      <c r="HM195" s="123"/>
      <c r="HN195" s="123"/>
      <c r="HO195" s="123"/>
      <c r="HP195" s="123"/>
      <c r="HQ195" s="123"/>
      <c r="HR195" s="123"/>
      <c r="HS195" s="123"/>
      <c r="HT195" s="123"/>
      <c r="HU195" s="123"/>
      <c r="HV195" s="123"/>
      <c r="HW195" s="123"/>
      <c r="HX195" s="123"/>
      <c r="HY195" s="123"/>
      <c r="HZ195" s="123"/>
      <c r="IA195" s="123"/>
      <c r="IB195" s="123"/>
      <c r="IC195" s="123"/>
      <c r="ID195" s="123"/>
      <c r="IE195" s="123"/>
      <c r="IF195" s="123"/>
      <c r="IG195" s="123"/>
      <c r="IH195" s="123"/>
      <c r="II195" s="123"/>
      <c r="IJ195" s="123"/>
      <c r="IK195" s="123"/>
      <c r="IL195" s="123"/>
      <c r="IM195" s="123"/>
      <c r="IN195" s="123"/>
      <c r="IO195" s="123"/>
      <c r="IP195" s="123"/>
      <c r="IQ195" s="123"/>
      <c r="IR195" s="123"/>
      <c r="IS195" s="123"/>
      <c r="IT195" s="123"/>
      <c r="IU195" s="123"/>
      <c r="IV195" s="123"/>
    </row>
    <row r="196" spans="1:256" s="124" customFormat="1" ht="17" customHeight="1" x14ac:dyDescent="0.15">
      <c r="A196" s="135"/>
      <c r="B196" s="135"/>
      <c r="C196" s="137"/>
      <c r="D196" s="114">
        <f t="shared" si="9"/>
        <v>0.27272727272727271</v>
      </c>
      <c r="E196" s="131"/>
      <c r="F196" s="132" t="s">
        <v>462</v>
      </c>
      <c r="G196" s="117" t="s">
        <v>66</v>
      </c>
      <c r="H196" s="133">
        <f t="shared" si="8"/>
        <v>4</v>
      </c>
      <c r="I196" s="134">
        <f>IF([2]项目总工作量!B$6="交易类",H196*1.5/22,IF([2]项目总工作量!B$6="数据分析类",H196*1.5*0.9/22,IF([2]项目总工作量!B$6="流程管理类",H196*1.5*0.8/22,IF([2]项目总工作量!B$6="渠道类",H196*1.5*0.7/22,FALSE))))</f>
        <v>0.27272727272727271</v>
      </c>
      <c r="J196" s="117" t="s">
        <v>44</v>
      </c>
      <c r="K196" s="123"/>
      <c r="L196" s="123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23"/>
      <c r="AZ196" s="123"/>
      <c r="BA196" s="123"/>
      <c r="BB196" s="123"/>
      <c r="BC196" s="123"/>
      <c r="BD196" s="123"/>
      <c r="BE196" s="123"/>
      <c r="BF196" s="123"/>
      <c r="BG196" s="123"/>
      <c r="BH196" s="123"/>
      <c r="BI196" s="123"/>
      <c r="BJ196" s="123"/>
      <c r="BK196" s="123"/>
      <c r="BL196" s="123"/>
      <c r="BM196" s="123"/>
      <c r="BN196" s="123"/>
      <c r="BO196" s="123"/>
      <c r="BP196" s="123"/>
      <c r="BQ196" s="123"/>
      <c r="BR196" s="123"/>
      <c r="BS196" s="123"/>
      <c r="BT196" s="123"/>
      <c r="BU196" s="123"/>
      <c r="BV196" s="123"/>
      <c r="BW196" s="123"/>
      <c r="BX196" s="123"/>
      <c r="BY196" s="123"/>
      <c r="BZ196" s="123"/>
      <c r="CA196" s="123"/>
      <c r="CB196" s="123"/>
      <c r="CC196" s="123"/>
      <c r="CD196" s="123"/>
      <c r="CE196" s="123"/>
      <c r="CF196" s="123"/>
      <c r="CG196" s="123"/>
      <c r="CH196" s="123"/>
      <c r="CI196" s="123"/>
      <c r="CJ196" s="123"/>
      <c r="CK196" s="123"/>
      <c r="CL196" s="123"/>
      <c r="CM196" s="123"/>
      <c r="CN196" s="123"/>
      <c r="CO196" s="123"/>
      <c r="CP196" s="123"/>
      <c r="CQ196" s="123"/>
      <c r="CR196" s="123"/>
      <c r="CS196" s="123"/>
      <c r="CT196" s="123"/>
      <c r="CU196" s="123"/>
      <c r="CV196" s="123"/>
      <c r="CW196" s="123"/>
      <c r="CX196" s="123"/>
      <c r="CY196" s="123"/>
      <c r="CZ196" s="123"/>
      <c r="DA196" s="123"/>
      <c r="DB196" s="123"/>
      <c r="DC196" s="123"/>
      <c r="DD196" s="123"/>
      <c r="DE196" s="123"/>
      <c r="DF196" s="123"/>
      <c r="DG196" s="123"/>
      <c r="DH196" s="123"/>
      <c r="DI196" s="123"/>
      <c r="DJ196" s="123"/>
      <c r="DK196" s="123"/>
      <c r="DL196" s="123"/>
      <c r="DM196" s="123"/>
      <c r="DN196" s="123"/>
      <c r="DO196" s="123"/>
      <c r="DP196" s="123"/>
      <c r="DQ196" s="123"/>
      <c r="DR196" s="123"/>
      <c r="DS196" s="123"/>
      <c r="DT196" s="123"/>
      <c r="DU196" s="123"/>
      <c r="DV196" s="123"/>
      <c r="DW196" s="123"/>
      <c r="DX196" s="123"/>
      <c r="DY196" s="123"/>
      <c r="DZ196" s="123"/>
      <c r="EA196" s="123"/>
      <c r="EB196" s="123"/>
      <c r="EC196" s="123"/>
      <c r="ED196" s="123"/>
      <c r="EE196" s="123"/>
      <c r="EF196" s="123"/>
      <c r="EG196" s="123"/>
      <c r="EH196" s="123"/>
      <c r="EI196" s="123"/>
      <c r="EJ196" s="123"/>
      <c r="EK196" s="123"/>
      <c r="EL196" s="123"/>
      <c r="EM196" s="123"/>
      <c r="EN196" s="123"/>
      <c r="EO196" s="123"/>
      <c r="EP196" s="123"/>
      <c r="EQ196" s="123"/>
      <c r="ER196" s="123"/>
      <c r="ES196" s="123"/>
      <c r="ET196" s="123"/>
      <c r="EU196" s="123"/>
      <c r="EV196" s="123"/>
      <c r="EW196" s="123"/>
      <c r="EX196" s="123"/>
      <c r="EY196" s="123"/>
      <c r="EZ196" s="123"/>
      <c r="FA196" s="123"/>
      <c r="FB196" s="123"/>
      <c r="FC196" s="123"/>
      <c r="FD196" s="123"/>
      <c r="FE196" s="123"/>
      <c r="FF196" s="123"/>
      <c r="FG196" s="123"/>
      <c r="FH196" s="123"/>
      <c r="FI196" s="123"/>
      <c r="FJ196" s="123"/>
      <c r="FK196" s="123"/>
      <c r="FL196" s="123"/>
      <c r="FM196" s="123"/>
      <c r="FN196" s="123"/>
      <c r="FO196" s="123"/>
      <c r="FP196" s="123"/>
      <c r="FQ196" s="123"/>
      <c r="FR196" s="123"/>
      <c r="FS196" s="123"/>
      <c r="FT196" s="123"/>
      <c r="FU196" s="123"/>
      <c r="FV196" s="123"/>
      <c r="FW196" s="123"/>
      <c r="FX196" s="123"/>
      <c r="FY196" s="123"/>
      <c r="FZ196" s="123"/>
      <c r="GA196" s="123"/>
      <c r="GB196" s="123"/>
      <c r="GC196" s="123"/>
      <c r="GD196" s="123"/>
      <c r="GE196" s="123"/>
      <c r="GF196" s="123"/>
      <c r="GG196" s="123"/>
      <c r="GH196" s="123"/>
      <c r="GI196" s="123"/>
      <c r="GJ196" s="123"/>
      <c r="GK196" s="123"/>
      <c r="GL196" s="123"/>
      <c r="GM196" s="123"/>
      <c r="GN196" s="123"/>
      <c r="GO196" s="123"/>
      <c r="GP196" s="123"/>
      <c r="GQ196" s="123"/>
      <c r="GR196" s="123"/>
      <c r="GS196" s="123"/>
      <c r="GT196" s="123"/>
      <c r="GU196" s="123"/>
      <c r="GV196" s="123"/>
      <c r="GW196" s="123"/>
      <c r="GX196" s="123"/>
      <c r="GY196" s="123"/>
      <c r="GZ196" s="123"/>
      <c r="HA196" s="123"/>
      <c r="HB196" s="123"/>
      <c r="HC196" s="123"/>
      <c r="HD196" s="123"/>
      <c r="HE196" s="123"/>
      <c r="HF196" s="123"/>
      <c r="HG196" s="123"/>
      <c r="HH196" s="123"/>
      <c r="HI196" s="123"/>
      <c r="HJ196" s="123"/>
      <c r="HK196" s="123"/>
      <c r="HL196" s="123"/>
      <c r="HM196" s="123"/>
      <c r="HN196" s="123"/>
      <c r="HO196" s="123"/>
      <c r="HP196" s="123"/>
      <c r="HQ196" s="123"/>
      <c r="HR196" s="123"/>
      <c r="HS196" s="123"/>
      <c r="HT196" s="123"/>
      <c r="HU196" s="123"/>
      <c r="HV196" s="123"/>
      <c r="HW196" s="123"/>
      <c r="HX196" s="123"/>
      <c r="HY196" s="123"/>
      <c r="HZ196" s="123"/>
      <c r="IA196" s="123"/>
      <c r="IB196" s="123"/>
      <c r="IC196" s="123"/>
      <c r="ID196" s="123"/>
      <c r="IE196" s="123"/>
      <c r="IF196" s="123"/>
      <c r="IG196" s="123"/>
      <c r="IH196" s="123"/>
      <c r="II196" s="123"/>
      <c r="IJ196" s="123"/>
      <c r="IK196" s="123"/>
      <c r="IL196" s="123"/>
      <c r="IM196" s="123"/>
      <c r="IN196" s="123"/>
      <c r="IO196" s="123"/>
      <c r="IP196" s="123"/>
      <c r="IQ196" s="123"/>
      <c r="IR196" s="123"/>
      <c r="IS196" s="123"/>
      <c r="IT196" s="123"/>
      <c r="IU196" s="123"/>
      <c r="IV196" s="123"/>
    </row>
    <row r="197" spans="1:256" s="124" customFormat="1" ht="17" customHeight="1" x14ac:dyDescent="0.15">
      <c r="A197" s="135"/>
      <c r="B197" s="136"/>
      <c r="C197" s="139" t="s">
        <v>463</v>
      </c>
      <c r="D197" s="114">
        <f t="shared" si="9"/>
        <v>0.34090909090909088</v>
      </c>
      <c r="E197" s="131"/>
      <c r="F197" s="140" t="s">
        <v>464</v>
      </c>
      <c r="G197" s="117" t="s">
        <v>67</v>
      </c>
      <c r="H197" s="133">
        <f t="shared" si="8"/>
        <v>5</v>
      </c>
      <c r="I197" s="134">
        <f>IF([2]项目总工作量!B$6="交易类",H197*1.5/22,IF([2]项目总工作量!B$6="数据分析类",H197*1.5*0.9/22,IF([2]项目总工作量!B$6="流程管理类",H197*1.5*0.8/22,IF([2]项目总工作量!B$6="渠道类",H197*1.5*0.7/22,FALSE))))</f>
        <v>0.34090909090909088</v>
      </c>
      <c r="J197" s="117" t="s">
        <v>44</v>
      </c>
      <c r="K197" s="123"/>
      <c r="L197" s="123"/>
      <c r="M197" s="123"/>
      <c r="N197" s="123"/>
      <c r="O197" s="123"/>
      <c r="P197" s="123"/>
      <c r="Q197" s="123"/>
      <c r="R197" s="123"/>
      <c r="S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/>
      <c r="AN197" s="123"/>
      <c r="AO197" s="123"/>
      <c r="AP197" s="123"/>
      <c r="AQ197" s="123"/>
      <c r="AR197" s="123"/>
      <c r="AS197" s="123"/>
      <c r="AT197" s="123"/>
      <c r="AU197" s="123"/>
      <c r="AV197" s="123"/>
      <c r="AW197" s="123"/>
      <c r="AX197" s="123"/>
      <c r="AY197" s="123"/>
      <c r="AZ197" s="123"/>
      <c r="BA197" s="123"/>
      <c r="BB197" s="123"/>
      <c r="BC197" s="123"/>
      <c r="BD197" s="123"/>
      <c r="BE197" s="123"/>
      <c r="BF197" s="123"/>
      <c r="BG197" s="123"/>
      <c r="BH197" s="123"/>
      <c r="BI197" s="123"/>
      <c r="BJ197" s="123"/>
      <c r="BK197" s="123"/>
      <c r="BL197" s="123"/>
      <c r="BM197" s="123"/>
      <c r="BN197" s="123"/>
      <c r="BO197" s="123"/>
      <c r="BP197" s="123"/>
      <c r="BQ197" s="123"/>
      <c r="BR197" s="123"/>
      <c r="BS197" s="123"/>
      <c r="BT197" s="123"/>
      <c r="BU197" s="123"/>
      <c r="BV197" s="123"/>
      <c r="BW197" s="123"/>
      <c r="BX197" s="123"/>
      <c r="BY197" s="123"/>
      <c r="BZ197" s="123"/>
      <c r="CA197" s="123"/>
      <c r="CB197" s="123"/>
      <c r="CC197" s="123"/>
      <c r="CD197" s="123"/>
      <c r="CE197" s="123"/>
      <c r="CF197" s="123"/>
      <c r="CG197" s="123"/>
      <c r="CH197" s="123"/>
      <c r="CI197" s="123"/>
      <c r="CJ197" s="123"/>
      <c r="CK197" s="123"/>
      <c r="CL197" s="123"/>
      <c r="CM197" s="123"/>
      <c r="CN197" s="123"/>
      <c r="CO197" s="123"/>
      <c r="CP197" s="123"/>
      <c r="CQ197" s="123"/>
      <c r="CR197" s="123"/>
      <c r="CS197" s="123"/>
      <c r="CT197" s="123"/>
      <c r="CU197" s="123"/>
      <c r="CV197" s="123"/>
      <c r="CW197" s="123"/>
      <c r="CX197" s="123"/>
      <c r="CY197" s="123"/>
      <c r="CZ197" s="123"/>
      <c r="DA197" s="123"/>
      <c r="DB197" s="123"/>
      <c r="DC197" s="123"/>
      <c r="DD197" s="123"/>
      <c r="DE197" s="123"/>
      <c r="DF197" s="123"/>
      <c r="DG197" s="123"/>
      <c r="DH197" s="123"/>
      <c r="DI197" s="123"/>
      <c r="DJ197" s="123"/>
      <c r="DK197" s="123"/>
      <c r="DL197" s="123"/>
      <c r="DM197" s="123"/>
      <c r="DN197" s="123"/>
      <c r="DO197" s="123"/>
      <c r="DP197" s="123"/>
      <c r="DQ197" s="123"/>
      <c r="DR197" s="123"/>
      <c r="DS197" s="123"/>
      <c r="DT197" s="123"/>
      <c r="DU197" s="123"/>
      <c r="DV197" s="123"/>
      <c r="DW197" s="123"/>
      <c r="DX197" s="123"/>
      <c r="DY197" s="123"/>
      <c r="DZ197" s="123"/>
      <c r="EA197" s="123"/>
      <c r="EB197" s="123"/>
      <c r="EC197" s="123"/>
      <c r="ED197" s="123"/>
      <c r="EE197" s="123"/>
      <c r="EF197" s="123"/>
      <c r="EG197" s="123"/>
      <c r="EH197" s="123"/>
      <c r="EI197" s="123"/>
      <c r="EJ197" s="123"/>
      <c r="EK197" s="123"/>
      <c r="EL197" s="123"/>
      <c r="EM197" s="123"/>
      <c r="EN197" s="123"/>
      <c r="EO197" s="123"/>
      <c r="EP197" s="123"/>
      <c r="EQ197" s="123"/>
      <c r="ER197" s="123"/>
      <c r="ES197" s="123"/>
      <c r="ET197" s="123"/>
      <c r="EU197" s="123"/>
      <c r="EV197" s="123"/>
      <c r="EW197" s="123"/>
      <c r="EX197" s="123"/>
      <c r="EY197" s="123"/>
      <c r="EZ197" s="123"/>
      <c r="FA197" s="123"/>
      <c r="FB197" s="123"/>
      <c r="FC197" s="123"/>
      <c r="FD197" s="123"/>
      <c r="FE197" s="123"/>
      <c r="FF197" s="123"/>
      <c r="FG197" s="123"/>
      <c r="FH197" s="123"/>
      <c r="FI197" s="123"/>
      <c r="FJ197" s="123"/>
      <c r="FK197" s="123"/>
      <c r="FL197" s="123"/>
      <c r="FM197" s="123"/>
      <c r="FN197" s="123"/>
      <c r="FO197" s="123"/>
      <c r="FP197" s="123"/>
      <c r="FQ197" s="123"/>
      <c r="FR197" s="123"/>
      <c r="FS197" s="123"/>
      <c r="FT197" s="123"/>
      <c r="FU197" s="123"/>
      <c r="FV197" s="123"/>
      <c r="FW197" s="123"/>
      <c r="FX197" s="123"/>
      <c r="FY197" s="123"/>
      <c r="FZ197" s="123"/>
      <c r="GA197" s="123"/>
      <c r="GB197" s="123"/>
      <c r="GC197" s="123"/>
      <c r="GD197" s="123"/>
      <c r="GE197" s="123"/>
      <c r="GF197" s="123"/>
      <c r="GG197" s="123"/>
      <c r="GH197" s="123"/>
      <c r="GI197" s="123"/>
      <c r="GJ197" s="123"/>
      <c r="GK197" s="123"/>
      <c r="GL197" s="123"/>
      <c r="GM197" s="123"/>
      <c r="GN197" s="123"/>
      <c r="GO197" s="123"/>
      <c r="GP197" s="123"/>
      <c r="GQ197" s="123"/>
      <c r="GR197" s="123"/>
      <c r="GS197" s="123"/>
      <c r="GT197" s="123"/>
      <c r="GU197" s="123"/>
      <c r="GV197" s="123"/>
      <c r="GW197" s="123"/>
      <c r="GX197" s="123"/>
      <c r="GY197" s="123"/>
      <c r="GZ197" s="123"/>
      <c r="HA197" s="123"/>
      <c r="HB197" s="123"/>
      <c r="HC197" s="123"/>
      <c r="HD197" s="123"/>
      <c r="HE197" s="123"/>
      <c r="HF197" s="123"/>
      <c r="HG197" s="123"/>
      <c r="HH197" s="123"/>
      <c r="HI197" s="123"/>
      <c r="HJ197" s="123"/>
      <c r="HK197" s="123"/>
      <c r="HL197" s="123"/>
      <c r="HM197" s="123"/>
      <c r="HN197" s="123"/>
      <c r="HO197" s="123"/>
      <c r="HP197" s="123"/>
      <c r="HQ197" s="123"/>
      <c r="HR197" s="123"/>
      <c r="HS197" s="123"/>
      <c r="HT197" s="123"/>
      <c r="HU197" s="123"/>
      <c r="HV197" s="123"/>
      <c r="HW197" s="123"/>
      <c r="HX197" s="123"/>
      <c r="HY197" s="123"/>
      <c r="HZ197" s="123"/>
      <c r="IA197" s="123"/>
      <c r="IB197" s="123"/>
      <c r="IC197" s="123"/>
      <c r="ID197" s="123"/>
      <c r="IE197" s="123"/>
      <c r="IF197" s="123"/>
      <c r="IG197" s="123"/>
      <c r="IH197" s="123"/>
      <c r="II197" s="123"/>
      <c r="IJ197" s="123"/>
      <c r="IK197" s="123"/>
      <c r="IL197" s="123"/>
      <c r="IM197" s="123"/>
      <c r="IN197" s="123"/>
      <c r="IO197" s="123"/>
      <c r="IP197" s="123"/>
      <c r="IQ197" s="123"/>
      <c r="IR197" s="123"/>
      <c r="IS197" s="123"/>
      <c r="IT197" s="123"/>
      <c r="IU197" s="123"/>
      <c r="IV197" s="123"/>
    </row>
    <row r="198" spans="1:256" s="124" customFormat="1" ht="17" customHeight="1" x14ac:dyDescent="0.15">
      <c r="A198" s="135"/>
      <c r="B198" s="136"/>
      <c r="C198" s="121"/>
      <c r="D198" s="114">
        <f t="shared" si="9"/>
        <v>0.34090909090909088</v>
      </c>
      <c r="E198" s="131"/>
      <c r="F198" s="140" t="s">
        <v>465</v>
      </c>
      <c r="G198" s="117" t="s">
        <v>67</v>
      </c>
      <c r="H198" s="133">
        <f t="shared" si="8"/>
        <v>5</v>
      </c>
      <c r="I198" s="134">
        <f>IF([2]项目总工作量!B$6="交易类",H198*1.5/22,IF([2]项目总工作量!B$6="数据分析类",H198*1.5*0.9/22,IF([2]项目总工作量!B$6="流程管理类",H198*1.5*0.8/22,IF([2]项目总工作量!B$6="渠道类",H198*1.5*0.7/22,FALSE))))</f>
        <v>0.34090909090909088</v>
      </c>
      <c r="J198" s="117" t="s">
        <v>44</v>
      </c>
      <c r="K198" s="123"/>
      <c r="L198" s="123"/>
      <c r="M198" s="123"/>
      <c r="N198" s="123"/>
      <c r="O198" s="123"/>
      <c r="P198" s="123"/>
      <c r="Q198" s="123"/>
      <c r="R198" s="123"/>
      <c r="S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/>
      <c r="AE198" s="123"/>
      <c r="AF198" s="123"/>
      <c r="AG198" s="123"/>
      <c r="AH198" s="123"/>
      <c r="AI198" s="123"/>
      <c r="AJ198" s="123"/>
      <c r="AK198" s="123"/>
      <c r="AL198" s="123"/>
      <c r="AM198" s="123"/>
      <c r="AN198" s="123"/>
      <c r="AO198" s="123"/>
      <c r="AP198" s="123"/>
      <c r="AQ198" s="123"/>
      <c r="AR198" s="123"/>
      <c r="AS198" s="123"/>
      <c r="AT198" s="123"/>
      <c r="AU198" s="123"/>
      <c r="AV198" s="123"/>
      <c r="AW198" s="123"/>
      <c r="AX198" s="123"/>
      <c r="AY198" s="123"/>
      <c r="AZ198" s="123"/>
      <c r="BA198" s="123"/>
      <c r="BB198" s="123"/>
      <c r="BC198" s="123"/>
      <c r="BD198" s="123"/>
      <c r="BE198" s="123"/>
      <c r="BF198" s="123"/>
      <c r="BG198" s="123"/>
      <c r="BH198" s="123"/>
      <c r="BI198" s="123"/>
      <c r="BJ198" s="123"/>
      <c r="BK198" s="123"/>
      <c r="BL198" s="123"/>
      <c r="BM198" s="123"/>
      <c r="BN198" s="123"/>
      <c r="BO198" s="123"/>
      <c r="BP198" s="123"/>
      <c r="BQ198" s="123"/>
      <c r="BR198" s="123"/>
      <c r="BS198" s="123"/>
      <c r="BT198" s="123"/>
      <c r="BU198" s="123"/>
      <c r="BV198" s="123"/>
      <c r="BW198" s="123"/>
      <c r="BX198" s="123"/>
      <c r="BY198" s="123"/>
      <c r="BZ198" s="123"/>
      <c r="CA198" s="123"/>
      <c r="CB198" s="123"/>
      <c r="CC198" s="123"/>
      <c r="CD198" s="123"/>
      <c r="CE198" s="123"/>
      <c r="CF198" s="123"/>
      <c r="CG198" s="123"/>
      <c r="CH198" s="123"/>
      <c r="CI198" s="123"/>
      <c r="CJ198" s="123"/>
      <c r="CK198" s="123"/>
      <c r="CL198" s="123"/>
      <c r="CM198" s="123"/>
      <c r="CN198" s="123"/>
      <c r="CO198" s="123"/>
      <c r="CP198" s="123"/>
      <c r="CQ198" s="123"/>
      <c r="CR198" s="123"/>
      <c r="CS198" s="123"/>
      <c r="CT198" s="123"/>
      <c r="CU198" s="123"/>
      <c r="CV198" s="123"/>
      <c r="CW198" s="123"/>
      <c r="CX198" s="123"/>
      <c r="CY198" s="123"/>
      <c r="CZ198" s="123"/>
      <c r="DA198" s="123"/>
      <c r="DB198" s="123"/>
      <c r="DC198" s="123"/>
      <c r="DD198" s="123"/>
      <c r="DE198" s="123"/>
      <c r="DF198" s="123"/>
      <c r="DG198" s="123"/>
      <c r="DH198" s="123"/>
      <c r="DI198" s="123"/>
      <c r="DJ198" s="123"/>
      <c r="DK198" s="123"/>
      <c r="DL198" s="123"/>
      <c r="DM198" s="123"/>
      <c r="DN198" s="123"/>
      <c r="DO198" s="123"/>
      <c r="DP198" s="123"/>
      <c r="DQ198" s="123"/>
      <c r="DR198" s="123"/>
      <c r="DS198" s="123"/>
      <c r="DT198" s="123"/>
      <c r="DU198" s="123"/>
      <c r="DV198" s="123"/>
      <c r="DW198" s="123"/>
      <c r="DX198" s="123"/>
      <c r="DY198" s="123"/>
      <c r="DZ198" s="123"/>
      <c r="EA198" s="123"/>
      <c r="EB198" s="123"/>
      <c r="EC198" s="123"/>
      <c r="ED198" s="123"/>
      <c r="EE198" s="123"/>
      <c r="EF198" s="123"/>
      <c r="EG198" s="123"/>
      <c r="EH198" s="123"/>
      <c r="EI198" s="123"/>
      <c r="EJ198" s="123"/>
      <c r="EK198" s="123"/>
      <c r="EL198" s="123"/>
      <c r="EM198" s="123"/>
      <c r="EN198" s="123"/>
      <c r="EO198" s="123"/>
      <c r="EP198" s="123"/>
      <c r="EQ198" s="123"/>
      <c r="ER198" s="123"/>
      <c r="ES198" s="123"/>
      <c r="ET198" s="123"/>
      <c r="EU198" s="123"/>
      <c r="EV198" s="123"/>
      <c r="EW198" s="123"/>
      <c r="EX198" s="123"/>
      <c r="EY198" s="123"/>
      <c r="EZ198" s="123"/>
      <c r="FA198" s="123"/>
      <c r="FB198" s="123"/>
      <c r="FC198" s="123"/>
      <c r="FD198" s="123"/>
      <c r="FE198" s="123"/>
      <c r="FF198" s="123"/>
      <c r="FG198" s="123"/>
      <c r="FH198" s="123"/>
      <c r="FI198" s="123"/>
      <c r="FJ198" s="123"/>
      <c r="FK198" s="123"/>
      <c r="FL198" s="123"/>
      <c r="FM198" s="123"/>
      <c r="FN198" s="123"/>
      <c r="FO198" s="123"/>
      <c r="FP198" s="123"/>
      <c r="FQ198" s="123"/>
      <c r="FR198" s="123"/>
      <c r="FS198" s="123"/>
      <c r="FT198" s="123"/>
      <c r="FU198" s="123"/>
      <c r="FV198" s="123"/>
      <c r="FW198" s="123"/>
      <c r="FX198" s="123"/>
      <c r="FY198" s="123"/>
      <c r="FZ198" s="123"/>
      <c r="GA198" s="123"/>
      <c r="GB198" s="123"/>
      <c r="GC198" s="123"/>
      <c r="GD198" s="123"/>
      <c r="GE198" s="123"/>
      <c r="GF198" s="123"/>
      <c r="GG198" s="123"/>
      <c r="GH198" s="123"/>
      <c r="GI198" s="123"/>
      <c r="GJ198" s="123"/>
      <c r="GK198" s="123"/>
      <c r="GL198" s="123"/>
      <c r="GM198" s="123"/>
      <c r="GN198" s="123"/>
      <c r="GO198" s="123"/>
      <c r="GP198" s="123"/>
      <c r="GQ198" s="123"/>
      <c r="GR198" s="123"/>
      <c r="GS198" s="123"/>
      <c r="GT198" s="123"/>
      <c r="GU198" s="123"/>
      <c r="GV198" s="123"/>
      <c r="GW198" s="123"/>
      <c r="GX198" s="123"/>
      <c r="GY198" s="123"/>
      <c r="GZ198" s="123"/>
      <c r="HA198" s="123"/>
      <c r="HB198" s="123"/>
      <c r="HC198" s="123"/>
      <c r="HD198" s="123"/>
      <c r="HE198" s="123"/>
      <c r="HF198" s="123"/>
      <c r="HG198" s="123"/>
      <c r="HH198" s="123"/>
      <c r="HI198" s="123"/>
      <c r="HJ198" s="123"/>
      <c r="HK198" s="123"/>
      <c r="HL198" s="123"/>
      <c r="HM198" s="123"/>
      <c r="HN198" s="123"/>
      <c r="HO198" s="123"/>
      <c r="HP198" s="123"/>
      <c r="HQ198" s="123"/>
      <c r="HR198" s="123"/>
      <c r="HS198" s="123"/>
      <c r="HT198" s="123"/>
      <c r="HU198" s="123"/>
      <c r="HV198" s="123"/>
      <c r="HW198" s="123"/>
      <c r="HX198" s="123"/>
      <c r="HY198" s="123"/>
      <c r="HZ198" s="123"/>
      <c r="IA198" s="123"/>
      <c r="IB198" s="123"/>
      <c r="IC198" s="123"/>
      <c r="ID198" s="123"/>
      <c r="IE198" s="123"/>
      <c r="IF198" s="123"/>
      <c r="IG198" s="123"/>
      <c r="IH198" s="123"/>
      <c r="II198" s="123"/>
      <c r="IJ198" s="123"/>
      <c r="IK198" s="123"/>
      <c r="IL198" s="123"/>
      <c r="IM198" s="123"/>
      <c r="IN198" s="123"/>
      <c r="IO198" s="123"/>
      <c r="IP198" s="123"/>
      <c r="IQ198" s="123"/>
      <c r="IR198" s="123"/>
      <c r="IS198" s="123"/>
      <c r="IT198" s="123"/>
      <c r="IU198" s="123"/>
      <c r="IV198" s="123"/>
    </row>
    <row r="199" spans="1:256" s="124" customFormat="1" ht="17" customHeight="1" x14ac:dyDescent="0.15">
      <c r="A199" s="135"/>
      <c r="B199" s="136"/>
      <c r="C199" s="137"/>
      <c r="D199" s="114">
        <f t="shared" si="9"/>
        <v>0.34090909090909088</v>
      </c>
      <c r="E199" s="131"/>
      <c r="F199" s="140" t="s">
        <v>466</v>
      </c>
      <c r="G199" s="117" t="s">
        <v>67</v>
      </c>
      <c r="H199" s="133">
        <f t="shared" ref="H199:H207" si="10">IF(G199="EI",4,IF(G199="EO",5,IF(G199="EQ",4,0)))</f>
        <v>5</v>
      </c>
      <c r="I199" s="134">
        <f>IF([2]项目总工作量!B$6="交易类",H199*1.5/22,IF([2]项目总工作量!B$6="数据分析类",H199*1.5*0.9/22,IF([2]项目总工作量!B$6="流程管理类",H199*1.5*0.8/22,IF([2]项目总工作量!B$6="渠道类",H199*1.5*0.7/22,FALSE))))</f>
        <v>0.34090909090909088</v>
      </c>
      <c r="J199" s="117" t="s">
        <v>44</v>
      </c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/>
      <c r="AN199" s="123"/>
      <c r="AO199" s="123"/>
      <c r="AP199" s="123"/>
      <c r="AQ199" s="123"/>
      <c r="AR199" s="123"/>
      <c r="AS199" s="123"/>
      <c r="AT199" s="123"/>
      <c r="AU199" s="123"/>
      <c r="AV199" s="123"/>
      <c r="AW199" s="123"/>
      <c r="AX199" s="123"/>
      <c r="AY199" s="123"/>
      <c r="AZ199" s="123"/>
      <c r="BA199" s="123"/>
      <c r="BB199" s="123"/>
      <c r="BC199" s="123"/>
      <c r="BD199" s="123"/>
      <c r="BE199" s="123"/>
      <c r="BF199" s="123"/>
      <c r="BG199" s="123"/>
      <c r="BH199" s="123"/>
      <c r="BI199" s="123"/>
      <c r="BJ199" s="123"/>
      <c r="BK199" s="123"/>
      <c r="BL199" s="123"/>
      <c r="BM199" s="123"/>
      <c r="BN199" s="123"/>
      <c r="BO199" s="123"/>
      <c r="BP199" s="123"/>
      <c r="BQ199" s="123"/>
      <c r="BR199" s="123"/>
      <c r="BS199" s="123"/>
      <c r="BT199" s="123"/>
      <c r="BU199" s="123"/>
      <c r="BV199" s="123"/>
      <c r="BW199" s="123"/>
      <c r="BX199" s="123"/>
      <c r="BY199" s="123"/>
      <c r="BZ199" s="123"/>
      <c r="CA199" s="123"/>
      <c r="CB199" s="123"/>
      <c r="CC199" s="123"/>
      <c r="CD199" s="123"/>
      <c r="CE199" s="123"/>
      <c r="CF199" s="123"/>
      <c r="CG199" s="123"/>
      <c r="CH199" s="123"/>
      <c r="CI199" s="123"/>
      <c r="CJ199" s="123"/>
      <c r="CK199" s="123"/>
      <c r="CL199" s="123"/>
      <c r="CM199" s="123"/>
      <c r="CN199" s="123"/>
      <c r="CO199" s="123"/>
      <c r="CP199" s="123"/>
      <c r="CQ199" s="123"/>
      <c r="CR199" s="123"/>
      <c r="CS199" s="123"/>
      <c r="CT199" s="123"/>
      <c r="CU199" s="123"/>
      <c r="CV199" s="123"/>
      <c r="CW199" s="123"/>
      <c r="CX199" s="123"/>
      <c r="CY199" s="123"/>
      <c r="CZ199" s="123"/>
      <c r="DA199" s="123"/>
      <c r="DB199" s="123"/>
      <c r="DC199" s="123"/>
      <c r="DD199" s="123"/>
      <c r="DE199" s="123"/>
      <c r="DF199" s="123"/>
      <c r="DG199" s="123"/>
      <c r="DH199" s="123"/>
      <c r="DI199" s="123"/>
      <c r="DJ199" s="123"/>
      <c r="DK199" s="123"/>
      <c r="DL199" s="123"/>
      <c r="DM199" s="123"/>
      <c r="DN199" s="123"/>
      <c r="DO199" s="123"/>
      <c r="DP199" s="123"/>
      <c r="DQ199" s="123"/>
      <c r="DR199" s="123"/>
      <c r="DS199" s="123"/>
      <c r="DT199" s="123"/>
      <c r="DU199" s="123"/>
      <c r="DV199" s="123"/>
      <c r="DW199" s="123"/>
      <c r="DX199" s="123"/>
      <c r="DY199" s="123"/>
      <c r="DZ199" s="123"/>
      <c r="EA199" s="123"/>
      <c r="EB199" s="123"/>
      <c r="EC199" s="123"/>
      <c r="ED199" s="123"/>
      <c r="EE199" s="123"/>
      <c r="EF199" s="123"/>
      <c r="EG199" s="123"/>
      <c r="EH199" s="123"/>
      <c r="EI199" s="123"/>
      <c r="EJ199" s="123"/>
      <c r="EK199" s="123"/>
      <c r="EL199" s="123"/>
      <c r="EM199" s="123"/>
      <c r="EN199" s="123"/>
      <c r="EO199" s="123"/>
      <c r="EP199" s="123"/>
      <c r="EQ199" s="123"/>
      <c r="ER199" s="123"/>
      <c r="ES199" s="123"/>
      <c r="ET199" s="123"/>
      <c r="EU199" s="123"/>
      <c r="EV199" s="123"/>
      <c r="EW199" s="123"/>
      <c r="EX199" s="123"/>
      <c r="EY199" s="123"/>
      <c r="EZ199" s="123"/>
      <c r="FA199" s="123"/>
      <c r="FB199" s="123"/>
      <c r="FC199" s="123"/>
      <c r="FD199" s="123"/>
      <c r="FE199" s="123"/>
      <c r="FF199" s="123"/>
      <c r="FG199" s="123"/>
      <c r="FH199" s="123"/>
      <c r="FI199" s="123"/>
      <c r="FJ199" s="123"/>
      <c r="FK199" s="123"/>
      <c r="FL199" s="123"/>
      <c r="FM199" s="123"/>
      <c r="FN199" s="123"/>
      <c r="FO199" s="123"/>
      <c r="FP199" s="123"/>
      <c r="FQ199" s="123"/>
      <c r="FR199" s="123"/>
      <c r="FS199" s="123"/>
      <c r="FT199" s="123"/>
      <c r="FU199" s="123"/>
      <c r="FV199" s="123"/>
      <c r="FW199" s="123"/>
      <c r="FX199" s="123"/>
      <c r="FY199" s="123"/>
      <c r="FZ199" s="123"/>
      <c r="GA199" s="123"/>
      <c r="GB199" s="123"/>
      <c r="GC199" s="123"/>
      <c r="GD199" s="123"/>
      <c r="GE199" s="123"/>
      <c r="GF199" s="123"/>
      <c r="GG199" s="123"/>
      <c r="GH199" s="123"/>
      <c r="GI199" s="123"/>
      <c r="GJ199" s="123"/>
      <c r="GK199" s="123"/>
      <c r="GL199" s="123"/>
      <c r="GM199" s="123"/>
      <c r="GN199" s="123"/>
      <c r="GO199" s="123"/>
      <c r="GP199" s="123"/>
      <c r="GQ199" s="123"/>
      <c r="GR199" s="123"/>
      <c r="GS199" s="123"/>
      <c r="GT199" s="123"/>
      <c r="GU199" s="123"/>
      <c r="GV199" s="123"/>
      <c r="GW199" s="123"/>
      <c r="GX199" s="123"/>
      <c r="GY199" s="123"/>
      <c r="GZ199" s="123"/>
      <c r="HA199" s="123"/>
      <c r="HB199" s="123"/>
      <c r="HC199" s="123"/>
      <c r="HD199" s="123"/>
      <c r="HE199" s="123"/>
      <c r="HF199" s="123"/>
      <c r="HG199" s="123"/>
      <c r="HH199" s="123"/>
      <c r="HI199" s="123"/>
      <c r="HJ199" s="123"/>
      <c r="HK199" s="123"/>
      <c r="HL199" s="123"/>
      <c r="HM199" s="123"/>
      <c r="HN199" s="123"/>
      <c r="HO199" s="123"/>
      <c r="HP199" s="123"/>
      <c r="HQ199" s="123"/>
      <c r="HR199" s="123"/>
      <c r="HS199" s="123"/>
      <c r="HT199" s="123"/>
      <c r="HU199" s="123"/>
      <c r="HV199" s="123"/>
      <c r="HW199" s="123"/>
      <c r="HX199" s="123"/>
      <c r="HY199" s="123"/>
      <c r="HZ199" s="123"/>
      <c r="IA199" s="123"/>
      <c r="IB199" s="123"/>
      <c r="IC199" s="123"/>
      <c r="ID199" s="123"/>
      <c r="IE199" s="123"/>
      <c r="IF199" s="123"/>
      <c r="IG199" s="123"/>
      <c r="IH199" s="123"/>
      <c r="II199" s="123"/>
      <c r="IJ199" s="123"/>
      <c r="IK199" s="123"/>
      <c r="IL199" s="123"/>
      <c r="IM199" s="123"/>
      <c r="IN199" s="123"/>
      <c r="IO199" s="123"/>
      <c r="IP199" s="123"/>
      <c r="IQ199" s="123"/>
      <c r="IR199" s="123"/>
      <c r="IS199" s="123"/>
      <c r="IT199" s="123"/>
      <c r="IU199" s="123"/>
      <c r="IV199" s="123"/>
    </row>
    <row r="200" spans="1:256" s="124" customFormat="1" ht="17" customHeight="1" x14ac:dyDescent="0.15">
      <c r="A200" s="135"/>
      <c r="B200" s="136"/>
      <c r="C200" s="121"/>
      <c r="D200" s="114">
        <f t="shared" si="9"/>
        <v>0.34090909090909088</v>
      </c>
      <c r="E200" s="131"/>
      <c r="F200" s="140" t="s">
        <v>467</v>
      </c>
      <c r="G200" s="117" t="s">
        <v>67</v>
      </c>
      <c r="H200" s="133">
        <f t="shared" si="10"/>
        <v>5</v>
      </c>
      <c r="I200" s="134">
        <f>IF([2]项目总工作量!B$6="交易类",H200*1.5/22,IF([2]项目总工作量!B$6="数据分析类",H200*1.5*0.9/22,IF([2]项目总工作量!B$6="流程管理类",H200*1.5*0.8/22,IF([2]项目总工作量!B$6="渠道类",H200*1.5*0.7/22,FALSE))))</f>
        <v>0.34090909090909088</v>
      </c>
      <c r="J200" s="117" t="s">
        <v>44</v>
      </c>
      <c r="K200" s="123"/>
      <c r="L200" s="123"/>
      <c r="M200" s="123"/>
      <c r="N200" s="123"/>
      <c r="O200" s="123"/>
      <c r="P200" s="123"/>
      <c r="Q200" s="123"/>
      <c r="R200" s="123"/>
      <c r="S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/>
      <c r="AE200" s="123"/>
      <c r="AF200" s="123"/>
      <c r="AG200" s="123"/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23"/>
      <c r="AZ200" s="123"/>
      <c r="BA200" s="123"/>
      <c r="BB200" s="123"/>
      <c r="BC200" s="123"/>
      <c r="BD200" s="123"/>
      <c r="BE200" s="123"/>
      <c r="BF200" s="123"/>
      <c r="BG200" s="123"/>
      <c r="BH200" s="123"/>
      <c r="BI200" s="123"/>
      <c r="BJ200" s="123"/>
      <c r="BK200" s="123"/>
      <c r="BL200" s="123"/>
      <c r="BM200" s="123"/>
      <c r="BN200" s="123"/>
      <c r="BO200" s="123"/>
      <c r="BP200" s="123"/>
      <c r="BQ200" s="123"/>
      <c r="BR200" s="123"/>
      <c r="BS200" s="123"/>
      <c r="BT200" s="123"/>
      <c r="BU200" s="123"/>
      <c r="BV200" s="123"/>
      <c r="BW200" s="123"/>
      <c r="BX200" s="123"/>
      <c r="BY200" s="123"/>
      <c r="BZ200" s="123"/>
      <c r="CA200" s="123"/>
      <c r="CB200" s="123"/>
      <c r="CC200" s="123"/>
      <c r="CD200" s="123"/>
      <c r="CE200" s="123"/>
      <c r="CF200" s="123"/>
      <c r="CG200" s="123"/>
      <c r="CH200" s="123"/>
      <c r="CI200" s="123"/>
      <c r="CJ200" s="123"/>
      <c r="CK200" s="123"/>
      <c r="CL200" s="123"/>
      <c r="CM200" s="123"/>
      <c r="CN200" s="123"/>
      <c r="CO200" s="123"/>
      <c r="CP200" s="123"/>
      <c r="CQ200" s="123"/>
      <c r="CR200" s="123"/>
      <c r="CS200" s="123"/>
      <c r="CT200" s="123"/>
      <c r="CU200" s="123"/>
      <c r="CV200" s="123"/>
      <c r="CW200" s="123"/>
      <c r="CX200" s="123"/>
      <c r="CY200" s="123"/>
      <c r="CZ200" s="123"/>
      <c r="DA200" s="123"/>
      <c r="DB200" s="123"/>
      <c r="DC200" s="123"/>
      <c r="DD200" s="123"/>
      <c r="DE200" s="123"/>
      <c r="DF200" s="123"/>
      <c r="DG200" s="123"/>
      <c r="DH200" s="123"/>
      <c r="DI200" s="123"/>
      <c r="DJ200" s="123"/>
      <c r="DK200" s="123"/>
      <c r="DL200" s="123"/>
      <c r="DM200" s="123"/>
      <c r="DN200" s="123"/>
      <c r="DO200" s="123"/>
      <c r="DP200" s="123"/>
      <c r="DQ200" s="123"/>
      <c r="DR200" s="123"/>
      <c r="DS200" s="123"/>
      <c r="DT200" s="123"/>
      <c r="DU200" s="123"/>
      <c r="DV200" s="123"/>
      <c r="DW200" s="123"/>
      <c r="DX200" s="123"/>
      <c r="DY200" s="123"/>
      <c r="DZ200" s="123"/>
      <c r="EA200" s="123"/>
      <c r="EB200" s="123"/>
      <c r="EC200" s="123"/>
      <c r="ED200" s="123"/>
      <c r="EE200" s="123"/>
      <c r="EF200" s="123"/>
      <c r="EG200" s="123"/>
      <c r="EH200" s="123"/>
      <c r="EI200" s="123"/>
      <c r="EJ200" s="123"/>
      <c r="EK200" s="123"/>
      <c r="EL200" s="123"/>
      <c r="EM200" s="123"/>
      <c r="EN200" s="123"/>
      <c r="EO200" s="123"/>
      <c r="EP200" s="123"/>
      <c r="EQ200" s="123"/>
      <c r="ER200" s="123"/>
      <c r="ES200" s="123"/>
      <c r="ET200" s="123"/>
      <c r="EU200" s="123"/>
      <c r="EV200" s="123"/>
      <c r="EW200" s="123"/>
      <c r="EX200" s="123"/>
      <c r="EY200" s="123"/>
      <c r="EZ200" s="123"/>
      <c r="FA200" s="123"/>
      <c r="FB200" s="123"/>
      <c r="FC200" s="123"/>
      <c r="FD200" s="123"/>
      <c r="FE200" s="123"/>
      <c r="FF200" s="123"/>
      <c r="FG200" s="123"/>
      <c r="FH200" s="123"/>
      <c r="FI200" s="123"/>
      <c r="FJ200" s="123"/>
      <c r="FK200" s="123"/>
      <c r="FL200" s="123"/>
      <c r="FM200" s="123"/>
      <c r="FN200" s="123"/>
      <c r="FO200" s="123"/>
      <c r="FP200" s="123"/>
      <c r="FQ200" s="123"/>
      <c r="FR200" s="123"/>
      <c r="FS200" s="123"/>
      <c r="FT200" s="123"/>
      <c r="FU200" s="123"/>
      <c r="FV200" s="123"/>
      <c r="FW200" s="123"/>
      <c r="FX200" s="123"/>
      <c r="FY200" s="123"/>
      <c r="FZ200" s="123"/>
      <c r="GA200" s="123"/>
      <c r="GB200" s="123"/>
      <c r="GC200" s="123"/>
      <c r="GD200" s="123"/>
      <c r="GE200" s="123"/>
      <c r="GF200" s="123"/>
      <c r="GG200" s="123"/>
      <c r="GH200" s="123"/>
      <c r="GI200" s="123"/>
      <c r="GJ200" s="123"/>
      <c r="GK200" s="123"/>
      <c r="GL200" s="123"/>
      <c r="GM200" s="123"/>
      <c r="GN200" s="123"/>
      <c r="GO200" s="123"/>
      <c r="GP200" s="123"/>
      <c r="GQ200" s="123"/>
      <c r="GR200" s="123"/>
      <c r="GS200" s="123"/>
      <c r="GT200" s="123"/>
      <c r="GU200" s="123"/>
      <c r="GV200" s="123"/>
      <c r="GW200" s="123"/>
      <c r="GX200" s="123"/>
      <c r="GY200" s="123"/>
      <c r="GZ200" s="123"/>
      <c r="HA200" s="123"/>
      <c r="HB200" s="123"/>
      <c r="HC200" s="123"/>
      <c r="HD200" s="123"/>
      <c r="HE200" s="123"/>
      <c r="HF200" s="123"/>
      <c r="HG200" s="123"/>
      <c r="HH200" s="123"/>
      <c r="HI200" s="123"/>
      <c r="HJ200" s="123"/>
      <c r="HK200" s="123"/>
      <c r="HL200" s="123"/>
      <c r="HM200" s="123"/>
      <c r="HN200" s="123"/>
      <c r="HO200" s="123"/>
      <c r="HP200" s="123"/>
      <c r="HQ200" s="123"/>
      <c r="HR200" s="123"/>
      <c r="HS200" s="123"/>
      <c r="HT200" s="123"/>
      <c r="HU200" s="123"/>
      <c r="HV200" s="123"/>
      <c r="HW200" s="123"/>
      <c r="HX200" s="123"/>
      <c r="HY200" s="123"/>
      <c r="HZ200" s="123"/>
      <c r="IA200" s="123"/>
      <c r="IB200" s="123"/>
      <c r="IC200" s="123"/>
      <c r="ID200" s="123"/>
      <c r="IE200" s="123"/>
      <c r="IF200" s="123"/>
      <c r="IG200" s="123"/>
      <c r="IH200" s="123"/>
      <c r="II200" s="123"/>
      <c r="IJ200" s="123"/>
      <c r="IK200" s="123"/>
      <c r="IL200" s="123"/>
      <c r="IM200" s="123"/>
      <c r="IN200" s="123"/>
      <c r="IO200" s="123"/>
      <c r="IP200" s="123"/>
      <c r="IQ200" s="123"/>
      <c r="IR200" s="123"/>
      <c r="IS200" s="123"/>
      <c r="IT200" s="123"/>
      <c r="IU200" s="123"/>
      <c r="IV200" s="123"/>
    </row>
    <row r="201" spans="1:256" s="124" customFormat="1" ht="17" customHeight="1" x14ac:dyDescent="0.15">
      <c r="A201" s="135"/>
      <c r="B201" s="136"/>
      <c r="C201" s="121"/>
      <c r="D201" s="114">
        <f t="shared" si="9"/>
        <v>0.34090909090909088</v>
      </c>
      <c r="E201" s="131"/>
      <c r="F201" s="140" t="s">
        <v>468</v>
      </c>
      <c r="G201" s="117" t="s">
        <v>67</v>
      </c>
      <c r="H201" s="133">
        <f t="shared" si="10"/>
        <v>5</v>
      </c>
      <c r="I201" s="134">
        <f>IF([2]项目总工作量!B$6="交易类",H201*1.5/22,IF([2]项目总工作量!B$6="数据分析类",H201*1.5*0.9/22,IF([2]项目总工作量!B$6="流程管理类",H201*1.5*0.8/22,IF([2]项目总工作量!B$6="渠道类",H201*1.5*0.7/22,FALSE))))</f>
        <v>0.34090909090909088</v>
      </c>
      <c r="J201" s="117" t="s">
        <v>44</v>
      </c>
      <c r="K201" s="123"/>
      <c r="L201" s="123"/>
      <c r="M201" s="123"/>
      <c r="N201" s="123"/>
      <c r="O201" s="123"/>
      <c r="P201" s="123"/>
      <c r="Q201" s="123"/>
      <c r="R201" s="123"/>
      <c r="S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/>
      <c r="AN201" s="123"/>
      <c r="AO201" s="123"/>
      <c r="AP201" s="123"/>
      <c r="AQ201" s="123"/>
      <c r="AR201" s="123"/>
      <c r="AS201" s="123"/>
      <c r="AT201" s="123"/>
      <c r="AU201" s="123"/>
      <c r="AV201" s="123"/>
      <c r="AW201" s="123"/>
      <c r="AX201" s="123"/>
      <c r="AY201" s="123"/>
      <c r="AZ201" s="123"/>
      <c r="BA201" s="123"/>
      <c r="BB201" s="123"/>
      <c r="BC201" s="123"/>
      <c r="BD201" s="123"/>
      <c r="BE201" s="123"/>
      <c r="BF201" s="123"/>
      <c r="BG201" s="123"/>
      <c r="BH201" s="123"/>
      <c r="BI201" s="123"/>
      <c r="BJ201" s="123"/>
      <c r="BK201" s="123"/>
      <c r="BL201" s="123"/>
      <c r="BM201" s="123"/>
      <c r="BN201" s="123"/>
      <c r="BO201" s="123"/>
      <c r="BP201" s="123"/>
      <c r="BQ201" s="123"/>
      <c r="BR201" s="123"/>
      <c r="BS201" s="123"/>
      <c r="BT201" s="123"/>
      <c r="BU201" s="123"/>
      <c r="BV201" s="123"/>
      <c r="BW201" s="123"/>
      <c r="BX201" s="123"/>
      <c r="BY201" s="123"/>
      <c r="BZ201" s="123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123"/>
      <c r="CM201" s="123"/>
      <c r="CN201" s="123"/>
      <c r="CO201" s="123"/>
      <c r="CP201" s="123"/>
      <c r="CQ201" s="123"/>
      <c r="CR201" s="123"/>
      <c r="CS201" s="123"/>
      <c r="CT201" s="123"/>
      <c r="CU201" s="123"/>
      <c r="CV201" s="123"/>
      <c r="CW201" s="123"/>
      <c r="CX201" s="123"/>
      <c r="CY201" s="123"/>
      <c r="CZ201" s="123"/>
      <c r="DA201" s="123"/>
      <c r="DB201" s="123"/>
      <c r="DC201" s="123"/>
      <c r="DD201" s="123"/>
      <c r="DE201" s="123"/>
      <c r="DF201" s="123"/>
      <c r="DG201" s="123"/>
      <c r="DH201" s="123"/>
      <c r="DI201" s="123"/>
      <c r="DJ201" s="123"/>
      <c r="DK201" s="123"/>
      <c r="DL201" s="123"/>
      <c r="DM201" s="123"/>
      <c r="DN201" s="123"/>
      <c r="DO201" s="123"/>
      <c r="DP201" s="123"/>
      <c r="DQ201" s="123"/>
      <c r="DR201" s="123"/>
      <c r="DS201" s="123"/>
      <c r="DT201" s="123"/>
      <c r="DU201" s="123"/>
      <c r="DV201" s="123"/>
      <c r="DW201" s="123"/>
      <c r="DX201" s="123"/>
      <c r="DY201" s="123"/>
      <c r="DZ201" s="123"/>
      <c r="EA201" s="123"/>
      <c r="EB201" s="123"/>
      <c r="EC201" s="123"/>
      <c r="ED201" s="123"/>
      <c r="EE201" s="123"/>
      <c r="EF201" s="123"/>
      <c r="EG201" s="123"/>
      <c r="EH201" s="123"/>
      <c r="EI201" s="123"/>
      <c r="EJ201" s="123"/>
      <c r="EK201" s="123"/>
      <c r="EL201" s="123"/>
      <c r="EM201" s="123"/>
      <c r="EN201" s="123"/>
      <c r="EO201" s="123"/>
      <c r="EP201" s="123"/>
      <c r="EQ201" s="123"/>
      <c r="ER201" s="123"/>
      <c r="ES201" s="123"/>
      <c r="ET201" s="123"/>
      <c r="EU201" s="123"/>
      <c r="EV201" s="123"/>
      <c r="EW201" s="123"/>
      <c r="EX201" s="123"/>
      <c r="EY201" s="123"/>
      <c r="EZ201" s="123"/>
      <c r="FA201" s="123"/>
      <c r="FB201" s="123"/>
      <c r="FC201" s="123"/>
      <c r="FD201" s="123"/>
      <c r="FE201" s="123"/>
      <c r="FF201" s="123"/>
      <c r="FG201" s="123"/>
      <c r="FH201" s="123"/>
      <c r="FI201" s="123"/>
      <c r="FJ201" s="123"/>
      <c r="FK201" s="123"/>
      <c r="FL201" s="123"/>
      <c r="FM201" s="123"/>
      <c r="FN201" s="123"/>
      <c r="FO201" s="123"/>
      <c r="FP201" s="123"/>
      <c r="FQ201" s="123"/>
      <c r="FR201" s="123"/>
      <c r="FS201" s="123"/>
      <c r="FT201" s="123"/>
      <c r="FU201" s="123"/>
      <c r="FV201" s="123"/>
      <c r="FW201" s="123"/>
      <c r="FX201" s="123"/>
      <c r="FY201" s="123"/>
      <c r="FZ201" s="123"/>
      <c r="GA201" s="123"/>
      <c r="GB201" s="123"/>
      <c r="GC201" s="123"/>
      <c r="GD201" s="123"/>
      <c r="GE201" s="123"/>
      <c r="GF201" s="123"/>
      <c r="GG201" s="123"/>
      <c r="GH201" s="123"/>
      <c r="GI201" s="123"/>
      <c r="GJ201" s="123"/>
      <c r="GK201" s="123"/>
      <c r="GL201" s="123"/>
      <c r="GM201" s="123"/>
      <c r="GN201" s="123"/>
      <c r="GO201" s="123"/>
      <c r="GP201" s="123"/>
      <c r="GQ201" s="123"/>
      <c r="GR201" s="123"/>
      <c r="GS201" s="123"/>
      <c r="GT201" s="123"/>
      <c r="GU201" s="123"/>
      <c r="GV201" s="123"/>
      <c r="GW201" s="123"/>
      <c r="GX201" s="123"/>
      <c r="GY201" s="123"/>
      <c r="GZ201" s="123"/>
      <c r="HA201" s="123"/>
      <c r="HB201" s="123"/>
      <c r="HC201" s="123"/>
      <c r="HD201" s="123"/>
      <c r="HE201" s="123"/>
      <c r="HF201" s="123"/>
      <c r="HG201" s="123"/>
      <c r="HH201" s="123"/>
      <c r="HI201" s="123"/>
      <c r="HJ201" s="123"/>
      <c r="HK201" s="123"/>
      <c r="HL201" s="123"/>
      <c r="HM201" s="123"/>
      <c r="HN201" s="123"/>
      <c r="HO201" s="123"/>
      <c r="HP201" s="123"/>
      <c r="HQ201" s="123"/>
      <c r="HR201" s="123"/>
      <c r="HS201" s="123"/>
      <c r="HT201" s="123"/>
      <c r="HU201" s="123"/>
      <c r="HV201" s="123"/>
      <c r="HW201" s="123"/>
      <c r="HX201" s="123"/>
      <c r="HY201" s="123"/>
      <c r="HZ201" s="123"/>
      <c r="IA201" s="123"/>
      <c r="IB201" s="123"/>
      <c r="IC201" s="123"/>
      <c r="ID201" s="123"/>
      <c r="IE201" s="123"/>
      <c r="IF201" s="123"/>
      <c r="IG201" s="123"/>
      <c r="IH201" s="123"/>
      <c r="II201" s="123"/>
      <c r="IJ201" s="123"/>
      <c r="IK201" s="123"/>
      <c r="IL201" s="123"/>
      <c r="IM201" s="123"/>
      <c r="IN201" s="123"/>
      <c r="IO201" s="123"/>
      <c r="IP201" s="123"/>
      <c r="IQ201" s="123"/>
      <c r="IR201" s="123"/>
      <c r="IS201" s="123"/>
      <c r="IT201" s="123"/>
      <c r="IU201" s="123"/>
      <c r="IV201" s="123"/>
    </row>
    <row r="202" spans="1:256" s="124" customFormat="1" ht="17" customHeight="1" x14ac:dyDescent="0.15">
      <c r="A202" s="135"/>
      <c r="B202" s="136"/>
      <c r="C202" s="121"/>
      <c r="D202" s="114">
        <f t="shared" si="9"/>
        <v>0.34090909090909088</v>
      </c>
      <c r="E202" s="131"/>
      <c r="F202" s="140" t="s">
        <v>469</v>
      </c>
      <c r="G202" s="117" t="s">
        <v>67</v>
      </c>
      <c r="H202" s="133">
        <f t="shared" si="10"/>
        <v>5</v>
      </c>
      <c r="I202" s="134">
        <f>IF([2]项目总工作量!B$6="交易类",H202*1.5/22,IF([2]项目总工作量!B$6="数据分析类",H202*1.5*0.9/22,IF([2]项目总工作量!B$6="流程管理类",H202*1.5*0.8/22,IF([2]项目总工作量!B$6="渠道类",H202*1.5*0.7/22,FALSE))))</f>
        <v>0.34090909090909088</v>
      </c>
      <c r="J202" s="117" t="s">
        <v>44</v>
      </c>
      <c r="K202" s="123"/>
      <c r="L202" s="123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/>
      <c r="AN202" s="123"/>
      <c r="AO202" s="123"/>
      <c r="AP202" s="123"/>
      <c r="AQ202" s="123"/>
      <c r="AR202" s="123"/>
      <c r="AS202" s="123"/>
      <c r="AT202" s="123"/>
      <c r="AU202" s="123"/>
      <c r="AV202" s="123"/>
      <c r="AW202" s="123"/>
      <c r="AX202" s="123"/>
      <c r="AY202" s="123"/>
      <c r="AZ202" s="123"/>
      <c r="BA202" s="123"/>
      <c r="BB202" s="123"/>
      <c r="BC202" s="123"/>
      <c r="BD202" s="123"/>
      <c r="BE202" s="123"/>
      <c r="BF202" s="123"/>
      <c r="BG202" s="123"/>
      <c r="BH202" s="123"/>
      <c r="BI202" s="123"/>
      <c r="BJ202" s="123"/>
      <c r="BK202" s="123"/>
      <c r="BL202" s="123"/>
      <c r="BM202" s="123"/>
      <c r="BN202" s="123"/>
      <c r="BO202" s="123"/>
      <c r="BP202" s="123"/>
      <c r="BQ202" s="123"/>
      <c r="BR202" s="123"/>
      <c r="BS202" s="123"/>
      <c r="BT202" s="123"/>
      <c r="BU202" s="123"/>
      <c r="BV202" s="123"/>
      <c r="BW202" s="123"/>
      <c r="BX202" s="123"/>
      <c r="BY202" s="123"/>
      <c r="BZ202" s="123"/>
      <c r="CA202" s="123"/>
      <c r="CB202" s="123"/>
      <c r="CC202" s="123"/>
      <c r="CD202" s="123"/>
      <c r="CE202" s="123"/>
      <c r="CF202" s="123"/>
      <c r="CG202" s="123"/>
      <c r="CH202" s="123"/>
      <c r="CI202" s="123"/>
      <c r="CJ202" s="123"/>
      <c r="CK202" s="123"/>
      <c r="CL202" s="123"/>
      <c r="CM202" s="123"/>
      <c r="CN202" s="123"/>
      <c r="CO202" s="123"/>
      <c r="CP202" s="123"/>
      <c r="CQ202" s="123"/>
      <c r="CR202" s="123"/>
      <c r="CS202" s="123"/>
      <c r="CT202" s="123"/>
      <c r="CU202" s="123"/>
      <c r="CV202" s="123"/>
      <c r="CW202" s="123"/>
      <c r="CX202" s="123"/>
      <c r="CY202" s="123"/>
      <c r="CZ202" s="123"/>
      <c r="DA202" s="123"/>
      <c r="DB202" s="123"/>
      <c r="DC202" s="123"/>
      <c r="DD202" s="123"/>
      <c r="DE202" s="123"/>
      <c r="DF202" s="123"/>
      <c r="DG202" s="123"/>
      <c r="DH202" s="123"/>
      <c r="DI202" s="123"/>
      <c r="DJ202" s="123"/>
      <c r="DK202" s="123"/>
      <c r="DL202" s="123"/>
      <c r="DM202" s="123"/>
      <c r="DN202" s="123"/>
      <c r="DO202" s="123"/>
      <c r="DP202" s="123"/>
      <c r="DQ202" s="123"/>
      <c r="DR202" s="123"/>
      <c r="DS202" s="123"/>
      <c r="DT202" s="123"/>
      <c r="DU202" s="123"/>
      <c r="DV202" s="123"/>
      <c r="DW202" s="123"/>
      <c r="DX202" s="123"/>
      <c r="DY202" s="123"/>
      <c r="DZ202" s="123"/>
      <c r="EA202" s="123"/>
      <c r="EB202" s="123"/>
      <c r="EC202" s="123"/>
      <c r="ED202" s="123"/>
      <c r="EE202" s="123"/>
      <c r="EF202" s="123"/>
      <c r="EG202" s="123"/>
      <c r="EH202" s="123"/>
      <c r="EI202" s="123"/>
      <c r="EJ202" s="123"/>
      <c r="EK202" s="123"/>
      <c r="EL202" s="123"/>
      <c r="EM202" s="123"/>
      <c r="EN202" s="123"/>
      <c r="EO202" s="123"/>
      <c r="EP202" s="123"/>
      <c r="EQ202" s="123"/>
      <c r="ER202" s="123"/>
      <c r="ES202" s="123"/>
      <c r="ET202" s="123"/>
      <c r="EU202" s="123"/>
      <c r="EV202" s="123"/>
      <c r="EW202" s="123"/>
      <c r="EX202" s="123"/>
      <c r="EY202" s="123"/>
      <c r="EZ202" s="123"/>
      <c r="FA202" s="123"/>
      <c r="FB202" s="123"/>
      <c r="FC202" s="123"/>
      <c r="FD202" s="123"/>
      <c r="FE202" s="123"/>
      <c r="FF202" s="123"/>
      <c r="FG202" s="123"/>
      <c r="FH202" s="123"/>
      <c r="FI202" s="123"/>
      <c r="FJ202" s="123"/>
      <c r="FK202" s="123"/>
      <c r="FL202" s="123"/>
      <c r="FM202" s="123"/>
      <c r="FN202" s="123"/>
      <c r="FO202" s="123"/>
      <c r="FP202" s="123"/>
      <c r="FQ202" s="123"/>
      <c r="FR202" s="123"/>
      <c r="FS202" s="123"/>
      <c r="FT202" s="123"/>
      <c r="FU202" s="123"/>
      <c r="FV202" s="123"/>
      <c r="FW202" s="123"/>
      <c r="FX202" s="123"/>
      <c r="FY202" s="123"/>
      <c r="FZ202" s="123"/>
      <c r="GA202" s="123"/>
      <c r="GB202" s="123"/>
      <c r="GC202" s="123"/>
      <c r="GD202" s="123"/>
      <c r="GE202" s="123"/>
      <c r="GF202" s="123"/>
      <c r="GG202" s="123"/>
      <c r="GH202" s="123"/>
      <c r="GI202" s="123"/>
      <c r="GJ202" s="123"/>
      <c r="GK202" s="123"/>
      <c r="GL202" s="123"/>
      <c r="GM202" s="123"/>
      <c r="GN202" s="123"/>
      <c r="GO202" s="123"/>
      <c r="GP202" s="123"/>
      <c r="GQ202" s="123"/>
      <c r="GR202" s="123"/>
      <c r="GS202" s="123"/>
      <c r="GT202" s="123"/>
      <c r="GU202" s="123"/>
      <c r="GV202" s="123"/>
      <c r="GW202" s="123"/>
      <c r="GX202" s="123"/>
      <c r="GY202" s="123"/>
      <c r="GZ202" s="123"/>
      <c r="HA202" s="123"/>
      <c r="HB202" s="123"/>
      <c r="HC202" s="123"/>
      <c r="HD202" s="123"/>
      <c r="HE202" s="123"/>
      <c r="HF202" s="123"/>
      <c r="HG202" s="123"/>
      <c r="HH202" s="123"/>
      <c r="HI202" s="123"/>
      <c r="HJ202" s="123"/>
      <c r="HK202" s="123"/>
      <c r="HL202" s="123"/>
      <c r="HM202" s="123"/>
      <c r="HN202" s="123"/>
      <c r="HO202" s="123"/>
      <c r="HP202" s="123"/>
      <c r="HQ202" s="123"/>
      <c r="HR202" s="123"/>
      <c r="HS202" s="123"/>
      <c r="HT202" s="123"/>
      <c r="HU202" s="123"/>
      <c r="HV202" s="123"/>
      <c r="HW202" s="123"/>
      <c r="HX202" s="123"/>
      <c r="HY202" s="123"/>
      <c r="HZ202" s="123"/>
      <c r="IA202" s="123"/>
      <c r="IB202" s="123"/>
      <c r="IC202" s="123"/>
      <c r="ID202" s="123"/>
      <c r="IE202" s="123"/>
      <c r="IF202" s="123"/>
      <c r="IG202" s="123"/>
      <c r="IH202" s="123"/>
      <c r="II202" s="123"/>
      <c r="IJ202" s="123"/>
      <c r="IK202" s="123"/>
      <c r="IL202" s="123"/>
      <c r="IM202" s="123"/>
      <c r="IN202" s="123"/>
      <c r="IO202" s="123"/>
      <c r="IP202" s="123"/>
      <c r="IQ202" s="123"/>
      <c r="IR202" s="123"/>
      <c r="IS202" s="123"/>
      <c r="IT202" s="123"/>
      <c r="IU202" s="123"/>
      <c r="IV202" s="123"/>
    </row>
    <row r="203" spans="1:256" s="124" customFormat="1" ht="17" customHeight="1" x14ac:dyDescent="0.15">
      <c r="A203" s="135"/>
      <c r="B203" s="136"/>
      <c r="C203" s="121"/>
      <c r="D203" s="114">
        <f t="shared" si="9"/>
        <v>0.34090909090909088</v>
      </c>
      <c r="E203" s="131"/>
      <c r="F203" s="140" t="s">
        <v>470</v>
      </c>
      <c r="G203" s="117" t="s">
        <v>67</v>
      </c>
      <c r="H203" s="133">
        <f t="shared" si="10"/>
        <v>5</v>
      </c>
      <c r="I203" s="134">
        <f>IF([2]项目总工作量!B$6="交易类",H203*1.5/22,IF([2]项目总工作量!B$6="数据分析类",H203*1.5*0.9/22,IF([2]项目总工作量!B$6="流程管理类",H203*1.5*0.8/22,IF([2]项目总工作量!B$6="渠道类",H203*1.5*0.7/22,FALSE))))</f>
        <v>0.34090909090909088</v>
      </c>
      <c r="J203" s="117" t="s">
        <v>44</v>
      </c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23"/>
      <c r="AX203" s="123"/>
      <c r="AY203" s="123"/>
      <c r="AZ203" s="123"/>
      <c r="BA203" s="123"/>
      <c r="BB203" s="123"/>
      <c r="BC203" s="123"/>
      <c r="BD203" s="123"/>
      <c r="BE203" s="123"/>
      <c r="BF203" s="123"/>
      <c r="BG203" s="123"/>
      <c r="BH203" s="123"/>
      <c r="BI203" s="123"/>
      <c r="BJ203" s="123"/>
      <c r="BK203" s="123"/>
      <c r="BL203" s="123"/>
      <c r="BM203" s="123"/>
      <c r="BN203" s="123"/>
      <c r="BO203" s="123"/>
      <c r="BP203" s="123"/>
      <c r="BQ203" s="123"/>
      <c r="BR203" s="123"/>
      <c r="BS203" s="123"/>
      <c r="BT203" s="123"/>
      <c r="BU203" s="123"/>
      <c r="BV203" s="123"/>
      <c r="BW203" s="123"/>
      <c r="BX203" s="123"/>
      <c r="BY203" s="123"/>
      <c r="BZ203" s="123"/>
      <c r="CA203" s="123"/>
      <c r="CB203" s="123"/>
      <c r="CC203" s="123"/>
      <c r="CD203" s="123"/>
      <c r="CE203" s="123"/>
      <c r="CF203" s="123"/>
      <c r="CG203" s="123"/>
      <c r="CH203" s="123"/>
      <c r="CI203" s="123"/>
      <c r="CJ203" s="123"/>
      <c r="CK203" s="123"/>
      <c r="CL203" s="123"/>
      <c r="CM203" s="123"/>
      <c r="CN203" s="123"/>
      <c r="CO203" s="123"/>
      <c r="CP203" s="123"/>
      <c r="CQ203" s="123"/>
      <c r="CR203" s="123"/>
      <c r="CS203" s="123"/>
      <c r="CT203" s="123"/>
      <c r="CU203" s="123"/>
      <c r="CV203" s="123"/>
      <c r="CW203" s="123"/>
      <c r="CX203" s="123"/>
      <c r="CY203" s="123"/>
      <c r="CZ203" s="123"/>
      <c r="DA203" s="123"/>
      <c r="DB203" s="123"/>
      <c r="DC203" s="123"/>
      <c r="DD203" s="123"/>
      <c r="DE203" s="123"/>
      <c r="DF203" s="123"/>
      <c r="DG203" s="123"/>
      <c r="DH203" s="123"/>
      <c r="DI203" s="123"/>
      <c r="DJ203" s="123"/>
      <c r="DK203" s="123"/>
      <c r="DL203" s="123"/>
      <c r="DM203" s="123"/>
      <c r="DN203" s="123"/>
      <c r="DO203" s="123"/>
      <c r="DP203" s="123"/>
      <c r="DQ203" s="123"/>
      <c r="DR203" s="123"/>
      <c r="DS203" s="123"/>
      <c r="DT203" s="123"/>
      <c r="DU203" s="123"/>
      <c r="DV203" s="123"/>
      <c r="DW203" s="123"/>
      <c r="DX203" s="123"/>
      <c r="DY203" s="123"/>
      <c r="DZ203" s="123"/>
      <c r="EA203" s="123"/>
      <c r="EB203" s="123"/>
      <c r="EC203" s="123"/>
      <c r="ED203" s="123"/>
      <c r="EE203" s="123"/>
      <c r="EF203" s="123"/>
      <c r="EG203" s="123"/>
      <c r="EH203" s="123"/>
      <c r="EI203" s="123"/>
      <c r="EJ203" s="123"/>
      <c r="EK203" s="123"/>
      <c r="EL203" s="123"/>
      <c r="EM203" s="123"/>
      <c r="EN203" s="123"/>
      <c r="EO203" s="123"/>
      <c r="EP203" s="123"/>
      <c r="EQ203" s="123"/>
      <c r="ER203" s="123"/>
      <c r="ES203" s="123"/>
      <c r="ET203" s="123"/>
      <c r="EU203" s="123"/>
      <c r="EV203" s="123"/>
      <c r="EW203" s="123"/>
      <c r="EX203" s="123"/>
      <c r="EY203" s="123"/>
      <c r="EZ203" s="123"/>
      <c r="FA203" s="123"/>
      <c r="FB203" s="123"/>
      <c r="FC203" s="123"/>
      <c r="FD203" s="123"/>
      <c r="FE203" s="123"/>
      <c r="FF203" s="123"/>
      <c r="FG203" s="123"/>
      <c r="FH203" s="123"/>
      <c r="FI203" s="123"/>
      <c r="FJ203" s="123"/>
      <c r="FK203" s="123"/>
      <c r="FL203" s="123"/>
      <c r="FM203" s="123"/>
      <c r="FN203" s="123"/>
      <c r="FO203" s="123"/>
      <c r="FP203" s="123"/>
      <c r="FQ203" s="123"/>
      <c r="FR203" s="123"/>
      <c r="FS203" s="123"/>
      <c r="FT203" s="123"/>
      <c r="FU203" s="123"/>
      <c r="FV203" s="123"/>
      <c r="FW203" s="123"/>
      <c r="FX203" s="123"/>
      <c r="FY203" s="123"/>
      <c r="FZ203" s="123"/>
      <c r="GA203" s="123"/>
      <c r="GB203" s="123"/>
      <c r="GC203" s="123"/>
      <c r="GD203" s="123"/>
      <c r="GE203" s="123"/>
      <c r="GF203" s="123"/>
      <c r="GG203" s="123"/>
      <c r="GH203" s="123"/>
      <c r="GI203" s="123"/>
      <c r="GJ203" s="123"/>
      <c r="GK203" s="123"/>
      <c r="GL203" s="123"/>
      <c r="GM203" s="123"/>
      <c r="GN203" s="123"/>
      <c r="GO203" s="123"/>
      <c r="GP203" s="123"/>
      <c r="GQ203" s="123"/>
      <c r="GR203" s="123"/>
      <c r="GS203" s="123"/>
      <c r="GT203" s="123"/>
      <c r="GU203" s="123"/>
      <c r="GV203" s="123"/>
      <c r="GW203" s="123"/>
      <c r="GX203" s="123"/>
      <c r="GY203" s="123"/>
      <c r="GZ203" s="123"/>
      <c r="HA203" s="123"/>
      <c r="HB203" s="123"/>
      <c r="HC203" s="123"/>
      <c r="HD203" s="123"/>
      <c r="HE203" s="123"/>
      <c r="HF203" s="123"/>
      <c r="HG203" s="123"/>
      <c r="HH203" s="123"/>
      <c r="HI203" s="123"/>
      <c r="HJ203" s="123"/>
      <c r="HK203" s="123"/>
      <c r="HL203" s="123"/>
      <c r="HM203" s="123"/>
      <c r="HN203" s="123"/>
      <c r="HO203" s="123"/>
      <c r="HP203" s="123"/>
      <c r="HQ203" s="123"/>
      <c r="HR203" s="123"/>
      <c r="HS203" s="123"/>
      <c r="HT203" s="123"/>
      <c r="HU203" s="123"/>
      <c r="HV203" s="123"/>
      <c r="HW203" s="123"/>
      <c r="HX203" s="123"/>
      <c r="HY203" s="123"/>
      <c r="HZ203" s="123"/>
      <c r="IA203" s="123"/>
      <c r="IB203" s="123"/>
      <c r="IC203" s="123"/>
      <c r="ID203" s="123"/>
      <c r="IE203" s="123"/>
      <c r="IF203" s="123"/>
      <c r="IG203" s="123"/>
      <c r="IH203" s="123"/>
      <c r="II203" s="123"/>
      <c r="IJ203" s="123"/>
      <c r="IK203" s="123"/>
      <c r="IL203" s="123"/>
      <c r="IM203" s="123"/>
      <c r="IN203" s="123"/>
      <c r="IO203" s="123"/>
      <c r="IP203" s="123"/>
      <c r="IQ203" s="123"/>
      <c r="IR203" s="123"/>
      <c r="IS203" s="123"/>
      <c r="IT203" s="123"/>
      <c r="IU203" s="123"/>
      <c r="IV203" s="123"/>
    </row>
    <row r="204" spans="1:256" s="124" customFormat="1" ht="17" customHeight="1" x14ac:dyDescent="0.15">
      <c r="A204" s="135"/>
      <c r="B204" s="136"/>
      <c r="C204" s="121"/>
      <c r="D204" s="114">
        <f t="shared" si="9"/>
        <v>0.34090909090909088</v>
      </c>
      <c r="E204" s="131"/>
      <c r="F204" s="140" t="s">
        <v>471</v>
      </c>
      <c r="G204" s="117" t="s">
        <v>67</v>
      </c>
      <c r="H204" s="133">
        <f t="shared" si="10"/>
        <v>5</v>
      </c>
      <c r="I204" s="134">
        <f>IF([2]项目总工作量!B$6="交易类",H204*1.5/22,IF([2]项目总工作量!B$6="数据分析类",H204*1.5*0.9/22,IF([2]项目总工作量!B$6="流程管理类",H204*1.5*0.8/22,IF([2]项目总工作量!B$6="渠道类",H204*1.5*0.7/22,FALSE))))</f>
        <v>0.34090909090909088</v>
      </c>
      <c r="J204" s="117" t="s">
        <v>44</v>
      </c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/>
      <c r="BA204" s="123"/>
      <c r="BB204" s="123"/>
      <c r="BC204" s="123"/>
      <c r="BD204" s="123"/>
      <c r="BE204" s="123"/>
      <c r="BF204" s="123"/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/>
      <c r="BU204" s="123"/>
      <c r="BV204" s="123"/>
      <c r="BW204" s="123"/>
      <c r="BX204" s="123"/>
      <c r="BY204" s="123"/>
      <c r="BZ204" s="123"/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  <c r="GD204" s="123"/>
      <c r="GE204" s="123"/>
      <c r="GF204" s="123"/>
      <c r="GG204" s="123"/>
      <c r="GH204" s="123"/>
      <c r="GI204" s="123"/>
      <c r="GJ204" s="123"/>
      <c r="GK204" s="123"/>
      <c r="GL204" s="123"/>
      <c r="GM204" s="123"/>
      <c r="GN204" s="123"/>
      <c r="GO204" s="123"/>
      <c r="GP204" s="123"/>
      <c r="GQ204" s="123"/>
      <c r="GR204" s="123"/>
      <c r="GS204" s="123"/>
      <c r="GT204" s="123"/>
      <c r="GU204" s="123"/>
      <c r="GV204" s="123"/>
      <c r="GW204" s="123"/>
      <c r="GX204" s="123"/>
      <c r="GY204" s="123"/>
      <c r="GZ204" s="123"/>
      <c r="HA204" s="123"/>
      <c r="HB204" s="123"/>
      <c r="HC204" s="123"/>
      <c r="HD204" s="123"/>
      <c r="HE204" s="123"/>
      <c r="HF204" s="123"/>
      <c r="HG204" s="123"/>
      <c r="HH204" s="123"/>
      <c r="HI204" s="123"/>
      <c r="HJ204" s="123"/>
      <c r="HK204" s="123"/>
      <c r="HL204" s="123"/>
      <c r="HM204" s="123"/>
      <c r="HN204" s="123"/>
      <c r="HO204" s="123"/>
      <c r="HP204" s="123"/>
      <c r="HQ204" s="123"/>
      <c r="HR204" s="123"/>
      <c r="HS204" s="123"/>
      <c r="HT204" s="123"/>
      <c r="HU204" s="123"/>
      <c r="HV204" s="123"/>
      <c r="HW204" s="123"/>
      <c r="HX204" s="123"/>
      <c r="HY204" s="123"/>
      <c r="HZ204" s="123"/>
      <c r="IA204" s="123"/>
      <c r="IB204" s="123"/>
      <c r="IC204" s="123"/>
      <c r="ID204" s="123"/>
      <c r="IE204" s="123"/>
      <c r="IF204" s="123"/>
      <c r="IG204" s="123"/>
      <c r="IH204" s="123"/>
      <c r="II204" s="123"/>
      <c r="IJ204" s="123"/>
      <c r="IK204" s="123"/>
      <c r="IL204" s="123"/>
      <c r="IM204" s="123"/>
      <c r="IN204" s="123"/>
      <c r="IO204" s="123"/>
      <c r="IP204" s="123"/>
      <c r="IQ204" s="123"/>
      <c r="IR204" s="123"/>
      <c r="IS204" s="123"/>
      <c r="IT204" s="123"/>
      <c r="IU204" s="123"/>
      <c r="IV204" s="123"/>
    </row>
    <row r="205" spans="1:256" s="124" customFormat="1" ht="17" customHeight="1" x14ac:dyDescent="0.15">
      <c r="A205" s="135"/>
      <c r="B205" s="136"/>
      <c r="C205" s="121"/>
      <c r="D205" s="114">
        <f t="shared" si="9"/>
        <v>0.34090909090909088</v>
      </c>
      <c r="E205" s="131"/>
      <c r="F205" s="132" t="s">
        <v>472</v>
      </c>
      <c r="G205" s="117" t="s">
        <v>67</v>
      </c>
      <c r="H205" s="133">
        <f t="shared" si="10"/>
        <v>5</v>
      </c>
      <c r="I205" s="134">
        <f>IF([2]项目总工作量!B$6="交易类",H205*1.5/22,IF([2]项目总工作量!B$6="数据分析类",H205*1.5*0.9/22,IF([2]项目总工作量!B$6="流程管理类",H205*1.5*0.8/22,IF([2]项目总工作量!B$6="渠道类",H205*1.5*0.7/22,FALSE))))</f>
        <v>0.34090909090909088</v>
      </c>
      <c r="J205" s="117" t="s">
        <v>44</v>
      </c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/>
      <c r="BA205" s="123"/>
      <c r="BB205" s="123"/>
      <c r="BC205" s="123"/>
      <c r="BD205" s="123"/>
      <c r="BE205" s="123"/>
      <c r="BF205" s="123"/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/>
      <c r="BU205" s="123"/>
      <c r="BV205" s="123"/>
      <c r="BW205" s="123"/>
      <c r="BX205" s="123"/>
      <c r="BY205" s="123"/>
      <c r="BZ205" s="123"/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/>
      <c r="DC205" s="123"/>
      <c r="DD205" s="123"/>
      <c r="DE205" s="123"/>
      <c r="DF205" s="123"/>
      <c r="DG205" s="123"/>
      <c r="DH205" s="123"/>
      <c r="DI205" s="123"/>
      <c r="DJ205" s="123"/>
      <c r="DK205" s="123"/>
      <c r="DL205" s="123"/>
      <c r="DM205" s="123"/>
      <c r="DN205" s="123"/>
      <c r="DO205" s="123"/>
      <c r="DP205" s="123"/>
      <c r="DQ205" s="123"/>
      <c r="DR205" s="123"/>
      <c r="DS205" s="123"/>
      <c r="DT205" s="123"/>
      <c r="DU205" s="123"/>
      <c r="DV205" s="123"/>
      <c r="DW205" s="123"/>
      <c r="DX205" s="123"/>
      <c r="DY205" s="123"/>
      <c r="DZ205" s="123"/>
      <c r="EA205" s="123"/>
      <c r="EB205" s="123"/>
      <c r="EC205" s="123"/>
      <c r="ED205" s="123"/>
      <c r="EE205" s="123"/>
      <c r="EF205" s="123"/>
      <c r="EG205" s="123"/>
      <c r="EH205" s="123"/>
      <c r="EI205" s="123"/>
      <c r="EJ205" s="123"/>
      <c r="EK205" s="123"/>
      <c r="EL205" s="123"/>
      <c r="EM205" s="123"/>
      <c r="EN205" s="123"/>
      <c r="EO205" s="123"/>
      <c r="EP205" s="123"/>
      <c r="EQ205" s="123"/>
      <c r="ER205" s="123"/>
      <c r="ES205" s="123"/>
      <c r="ET205" s="123"/>
      <c r="EU205" s="123"/>
      <c r="EV205" s="123"/>
      <c r="EW205" s="123"/>
      <c r="EX205" s="123"/>
      <c r="EY205" s="123"/>
      <c r="EZ205" s="123"/>
      <c r="FA205" s="123"/>
      <c r="FB205" s="123"/>
      <c r="FC205" s="123"/>
      <c r="FD205" s="123"/>
      <c r="FE205" s="123"/>
      <c r="FF205" s="123"/>
      <c r="FG205" s="123"/>
      <c r="FH205" s="123"/>
      <c r="FI205" s="123"/>
      <c r="FJ205" s="123"/>
      <c r="FK205" s="123"/>
      <c r="FL205" s="123"/>
      <c r="FM205" s="123"/>
      <c r="FN205" s="123"/>
      <c r="FO205" s="123"/>
      <c r="FP205" s="123"/>
      <c r="FQ205" s="123"/>
      <c r="FR205" s="123"/>
      <c r="FS205" s="123"/>
      <c r="FT205" s="123"/>
      <c r="FU205" s="123"/>
      <c r="FV205" s="123"/>
      <c r="FW205" s="123"/>
      <c r="FX205" s="123"/>
      <c r="FY205" s="123"/>
      <c r="FZ205" s="123"/>
      <c r="GA205" s="123"/>
      <c r="GB205" s="123"/>
      <c r="GC205" s="123"/>
      <c r="GD205" s="123"/>
      <c r="GE205" s="123"/>
      <c r="GF205" s="123"/>
      <c r="GG205" s="123"/>
      <c r="GH205" s="123"/>
      <c r="GI205" s="123"/>
      <c r="GJ205" s="123"/>
      <c r="GK205" s="123"/>
      <c r="GL205" s="123"/>
      <c r="GM205" s="123"/>
      <c r="GN205" s="123"/>
      <c r="GO205" s="123"/>
      <c r="GP205" s="123"/>
      <c r="GQ205" s="123"/>
      <c r="GR205" s="123"/>
      <c r="GS205" s="123"/>
      <c r="GT205" s="123"/>
      <c r="GU205" s="123"/>
      <c r="GV205" s="123"/>
      <c r="GW205" s="123"/>
      <c r="GX205" s="123"/>
      <c r="GY205" s="123"/>
      <c r="GZ205" s="123"/>
      <c r="HA205" s="123"/>
      <c r="HB205" s="123"/>
      <c r="HC205" s="123"/>
      <c r="HD205" s="123"/>
      <c r="HE205" s="123"/>
      <c r="HF205" s="123"/>
      <c r="HG205" s="123"/>
      <c r="HH205" s="123"/>
      <c r="HI205" s="123"/>
      <c r="HJ205" s="123"/>
      <c r="HK205" s="123"/>
      <c r="HL205" s="123"/>
      <c r="HM205" s="123"/>
      <c r="HN205" s="123"/>
      <c r="HO205" s="123"/>
      <c r="HP205" s="123"/>
      <c r="HQ205" s="123"/>
      <c r="HR205" s="123"/>
      <c r="HS205" s="123"/>
      <c r="HT205" s="123"/>
      <c r="HU205" s="123"/>
      <c r="HV205" s="123"/>
      <c r="HW205" s="123"/>
      <c r="HX205" s="123"/>
      <c r="HY205" s="123"/>
      <c r="HZ205" s="123"/>
      <c r="IA205" s="123"/>
      <c r="IB205" s="123"/>
      <c r="IC205" s="123"/>
      <c r="ID205" s="123"/>
      <c r="IE205" s="123"/>
      <c r="IF205" s="123"/>
      <c r="IG205" s="123"/>
      <c r="IH205" s="123"/>
      <c r="II205" s="123"/>
      <c r="IJ205" s="123"/>
      <c r="IK205" s="123"/>
      <c r="IL205" s="123"/>
      <c r="IM205" s="123"/>
      <c r="IN205" s="123"/>
      <c r="IO205" s="123"/>
      <c r="IP205" s="123"/>
      <c r="IQ205" s="123"/>
      <c r="IR205" s="123"/>
      <c r="IS205" s="123"/>
      <c r="IT205" s="123"/>
      <c r="IU205" s="123"/>
      <c r="IV205" s="123"/>
    </row>
    <row r="206" spans="1:256" s="124" customFormat="1" ht="17" customHeight="1" x14ac:dyDescent="0.15">
      <c r="A206" s="135"/>
      <c r="B206" s="136"/>
      <c r="C206" s="121"/>
      <c r="D206" s="114">
        <f t="shared" si="9"/>
        <v>0.34090909090909088</v>
      </c>
      <c r="E206" s="131"/>
      <c r="F206" s="140" t="s">
        <v>473</v>
      </c>
      <c r="G206" s="117" t="s">
        <v>67</v>
      </c>
      <c r="H206" s="133">
        <f t="shared" si="10"/>
        <v>5</v>
      </c>
      <c r="I206" s="134">
        <f>IF([2]项目总工作量!B$6="交易类",H206*1.5/22,IF([2]项目总工作量!B$6="数据分析类",H206*1.5*0.9/22,IF([2]项目总工作量!B$6="流程管理类",H206*1.5*0.8/22,IF([2]项目总工作量!B$6="渠道类",H206*1.5*0.7/22,FALSE))))</f>
        <v>0.34090909090909088</v>
      </c>
      <c r="J206" s="117" t="s">
        <v>44</v>
      </c>
      <c r="K206" s="123"/>
      <c r="L206" s="123"/>
      <c r="M206" s="123"/>
      <c r="N206" s="123"/>
      <c r="O206" s="123"/>
      <c r="P206" s="123"/>
      <c r="Q206" s="123"/>
      <c r="R206" s="123"/>
      <c r="S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/>
      <c r="AE206" s="123"/>
      <c r="AF206" s="123"/>
      <c r="AG206" s="123"/>
      <c r="AH206" s="123"/>
      <c r="AI206" s="123"/>
      <c r="AJ206" s="123"/>
      <c r="AK206" s="123"/>
      <c r="AL206" s="123"/>
      <c r="AM206" s="123"/>
      <c r="AN206" s="123"/>
      <c r="AO206" s="123"/>
      <c r="AP206" s="123"/>
      <c r="AQ206" s="123"/>
      <c r="AR206" s="123"/>
      <c r="AS206" s="123"/>
      <c r="AT206" s="123"/>
      <c r="AU206" s="123"/>
      <c r="AV206" s="123"/>
      <c r="AW206" s="123"/>
      <c r="AX206" s="123"/>
      <c r="AY206" s="123"/>
      <c r="AZ206" s="123"/>
      <c r="BA206" s="123"/>
      <c r="BB206" s="123"/>
      <c r="BC206" s="123"/>
      <c r="BD206" s="123"/>
      <c r="BE206" s="123"/>
      <c r="BF206" s="123"/>
      <c r="BG206" s="123"/>
      <c r="BH206" s="123"/>
      <c r="BI206" s="123"/>
      <c r="BJ206" s="123"/>
      <c r="BK206" s="123"/>
      <c r="BL206" s="123"/>
      <c r="BM206" s="123"/>
      <c r="BN206" s="123"/>
      <c r="BO206" s="123"/>
      <c r="BP206" s="123"/>
      <c r="BQ206" s="123"/>
      <c r="BR206" s="123"/>
      <c r="BS206" s="123"/>
      <c r="BT206" s="123"/>
      <c r="BU206" s="123"/>
      <c r="BV206" s="123"/>
      <c r="BW206" s="123"/>
      <c r="BX206" s="123"/>
      <c r="BY206" s="123"/>
      <c r="BZ206" s="123"/>
      <c r="CA206" s="123"/>
      <c r="CB206" s="123"/>
      <c r="CC206" s="123"/>
      <c r="CD206" s="123"/>
      <c r="CE206" s="123"/>
      <c r="CF206" s="123"/>
      <c r="CG206" s="123"/>
      <c r="CH206" s="123"/>
      <c r="CI206" s="123"/>
      <c r="CJ206" s="123"/>
      <c r="CK206" s="123"/>
      <c r="CL206" s="123"/>
      <c r="CM206" s="123"/>
      <c r="CN206" s="123"/>
      <c r="CO206" s="123"/>
      <c r="CP206" s="123"/>
      <c r="CQ206" s="123"/>
      <c r="CR206" s="123"/>
      <c r="CS206" s="123"/>
      <c r="CT206" s="123"/>
      <c r="CU206" s="123"/>
      <c r="CV206" s="123"/>
      <c r="CW206" s="123"/>
      <c r="CX206" s="123"/>
      <c r="CY206" s="123"/>
      <c r="CZ206" s="123"/>
      <c r="DA206" s="123"/>
      <c r="DB206" s="123"/>
      <c r="DC206" s="123"/>
      <c r="DD206" s="123"/>
      <c r="DE206" s="123"/>
      <c r="DF206" s="123"/>
      <c r="DG206" s="123"/>
      <c r="DH206" s="123"/>
      <c r="DI206" s="123"/>
      <c r="DJ206" s="123"/>
      <c r="DK206" s="123"/>
      <c r="DL206" s="123"/>
      <c r="DM206" s="123"/>
      <c r="DN206" s="123"/>
      <c r="DO206" s="123"/>
      <c r="DP206" s="123"/>
      <c r="DQ206" s="123"/>
      <c r="DR206" s="123"/>
      <c r="DS206" s="123"/>
      <c r="DT206" s="123"/>
      <c r="DU206" s="123"/>
      <c r="DV206" s="123"/>
      <c r="DW206" s="123"/>
      <c r="DX206" s="123"/>
      <c r="DY206" s="123"/>
      <c r="DZ206" s="123"/>
      <c r="EA206" s="123"/>
      <c r="EB206" s="123"/>
      <c r="EC206" s="123"/>
      <c r="ED206" s="123"/>
      <c r="EE206" s="123"/>
      <c r="EF206" s="123"/>
      <c r="EG206" s="123"/>
      <c r="EH206" s="123"/>
      <c r="EI206" s="123"/>
      <c r="EJ206" s="123"/>
      <c r="EK206" s="123"/>
      <c r="EL206" s="123"/>
      <c r="EM206" s="123"/>
      <c r="EN206" s="123"/>
      <c r="EO206" s="123"/>
      <c r="EP206" s="123"/>
      <c r="EQ206" s="123"/>
      <c r="ER206" s="123"/>
      <c r="ES206" s="123"/>
      <c r="ET206" s="123"/>
      <c r="EU206" s="123"/>
      <c r="EV206" s="123"/>
      <c r="EW206" s="123"/>
      <c r="EX206" s="123"/>
      <c r="EY206" s="123"/>
      <c r="EZ206" s="123"/>
      <c r="FA206" s="123"/>
      <c r="FB206" s="123"/>
      <c r="FC206" s="123"/>
      <c r="FD206" s="123"/>
      <c r="FE206" s="123"/>
      <c r="FF206" s="123"/>
      <c r="FG206" s="123"/>
      <c r="FH206" s="123"/>
      <c r="FI206" s="123"/>
      <c r="FJ206" s="123"/>
      <c r="FK206" s="123"/>
      <c r="FL206" s="123"/>
      <c r="FM206" s="123"/>
      <c r="FN206" s="123"/>
      <c r="FO206" s="123"/>
      <c r="FP206" s="123"/>
      <c r="FQ206" s="123"/>
      <c r="FR206" s="123"/>
      <c r="FS206" s="123"/>
      <c r="FT206" s="123"/>
      <c r="FU206" s="123"/>
      <c r="FV206" s="123"/>
      <c r="FW206" s="123"/>
      <c r="FX206" s="123"/>
      <c r="FY206" s="123"/>
      <c r="FZ206" s="123"/>
      <c r="GA206" s="123"/>
      <c r="GB206" s="123"/>
      <c r="GC206" s="123"/>
      <c r="GD206" s="123"/>
      <c r="GE206" s="123"/>
      <c r="GF206" s="123"/>
      <c r="GG206" s="123"/>
      <c r="GH206" s="123"/>
      <c r="GI206" s="123"/>
      <c r="GJ206" s="123"/>
      <c r="GK206" s="123"/>
      <c r="GL206" s="123"/>
      <c r="GM206" s="123"/>
      <c r="GN206" s="123"/>
      <c r="GO206" s="123"/>
      <c r="GP206" s="123"/>
      <c r="GQ206" s="123"/>
      <c r="GR206" s="123"/>
      <c r="GS206" s="123"/>
      <c r="GT206" s="123"/>
      <c r="GU206" s="123"/>
      <c r="GV206" s="123"/>
      <c r="GW206" s="123"/>
      <c r="GX206" s="123"/>
      <c r="GY206" s="123"/>
      <c r="GZ206" s="123"/>
      <c r="HA206" s="123"/>
      <c r="HB206" s="123"/>
      <c r="HC206" s="123"/>
      <c r="HD206" s="123"/>
      <c r="HE206" s="123"/>
      <c r="HF206" s="123"/>
      <c r="HG206" s="123"/>
      <c r="HH206" s="123"/>
      <c r="HI206" s="123"/>
      <c r="HJ206" s="123"/>
      <c r="HK206" s="123"/>
      <c r="HL206" s="123"/>
      <c r="HM206" s="123"/>
      <c r="HN206" s="123"/>
      <c r="HO206" s="123"/>
      <c r="HP206" s="123"/>
      <c r="HQ206" s="123"/>
      <c r="HR206" s="123"/>
      <c r="HS206" s="123"/>
      <c r="HT206" s="123"/>
      <c r="HU206" s="123"/>
      <c r="HV206" s="123"/>
      <c r="HW206" s="123"/>
      <c r="HX206" s="123"/>
      <c r="HY206" s="123"/>
      <c r="HZ206" s="123"/>
      <c r="IA206" s="123"/>
      <c r="IB206" s="123"/>
      <c r="IC206" s="123"/>
      <c r="ID206" s="123"/>
      <c r="IE206" s="123"/>
      <c r="IF206" s="123"/>
      <c r="IG206" s="123"/>
      <c r="IH206" s="123"/>
      <c r="II206" s="123"/>
      <c r="IJ206" s="123"/>
      <c r="IK206" s="123"/>
      <c r="IL206" s="123"/>
      <c r="IM206" s="123"/>
      <c r="IN206" s="123"/>
      <c r="IO206" s="123"/>
      <c r="IP206" s="123"/>
      <c r="IQ206" s="123"/>
      <c r="IR206" s="123"/>
      <c r="IS206" s="123"/>
      <c r="IT206" s="123"/>
      <c r="IU206" s="123"/>
      <c r="IV206" s="123"/>
    </row>
    <row r="207" spans="1:256" s="124" customFormat="1" ht="17" customHeight="1" x14ac:dyDescent="0.15">
      <c r="A207" s="135"/>
      <c r="B207" s="136"/>
      <c r="C207" s="121"/>
      <c r="D207" s="114">
        <f t="shared" si="9"/>
        <v>0.34090909090909088</v>
      </c>
      <c r="E207" s="131"/>
      <c r="F207" s="132" t="s">
        <v>474</v>
      </c>
      <c r="G207" s="117" t="s">
        <v>67</v>
      </c>
      <c r="H207" s="133">
        <f t="shared" si="10"/>
        <v>5</v>
      </c>
      <c r="I207" s="134">
        <f>IF([2]项目总工作量!B$6="交易类",H207*1.5/22,IF([2]项目总工作量!B$6="数据分析类",H207*1.5*0.9/22,IF([2]项目总工作量!B$6="流程管理类",H207*1.5*0.8/22,IF([2]项目总工作量!B$6="渠道类",H207*1.5*0.7/22,FALSE))))</f>
        <v>0.34090909090909088</v>
      </c>
      <c r="J207" s="117" t="s">
        <v>44</v>
      </c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23"/>
      <c r="AX207" s="123"/>
      <c r="AY207" s="123"/>
      <c r="AZ207" s="123"/>
      <c r="BA207" s="123"/>
      <c r="BB207" s="123"/>
      <c r="BC207" s="123"/>
      <c r="BD207" s="123"/>
      <c r="BE207" s="123"/>
      <c r="BF207" s="123"/>
      <c r="BG207" s="123"/>
      <c r="BH207" s="123"/>
      <c r="BI207" s="123"/>
      <c r="BJ207" s="123"/>
      <c r="BK207" s="123"/>
      <c r="BL207" s="123"/>
      <c r="BM207" s="123"/>
      <c r="BN207" s="123"/>
      <c r="BO207" s="123"/>
      <c r="BP207" s="123"/>
      <c r="BQ207" s="123"/>
      <c r="BR207" s="123"/>
      <c r="BS207" s="123"/>
      <c r="BT207" s="123"/>
      <c r="BU207" s="123"/>
      <c r="BV207" s="123"/>
      <c r="BW207" s="123"/>
      <c r="BX207" s="123"/>
      <c r="BY207" s="123"/>
      <c r="BZ207" s="123"/>
      <c r="CA207" s="123"/>
      <c r="CB207" s="123"/>
      <c r="CC207" s="123"/>
      <c r="CD207" s="123"/>
      <c r="CE207" s="123"/>
      <c r="CF207" s="123"/>
      <c r="CG207" s="123"/>
      <c r="CH207" s="123"/>
      <c r="CI207" s="123"/>
      <c r="CJ207" s="123"/>
      <c r="CK207" s="123"/>
      <c r="CL207" s="123"/>
      <c r="CM207" s="123"/>
      <c r="CN207" s="123"/>
      <c r="CO207" s="123"/>
      <c r="CP207" s="123"/>
      <c r="CQ207" s="123"/>
      <c r="CR207" s="123"/>
      <c r="CS207" s="123"/>
      <c r="CT207" s="123"/>
      <c r="CU207" s="123"/>
      <c r="CV207" s="123"/>
      <c r="CW207" s="123"/>
      <c r="CX207" s="123"/>
      <c r="CY207" s="123"/>
      <c r="CZ207" s="123"/>
      <c r="DA207" s="123"/>
      <c r="DB207" s="123"/>
      <c r="DC207" s="123"/>
      <c r="DD207" s="123"/>
      <c r="DE207" s="123"/>
      <c r="DF207" s="123"/>
      <c r="DG207" s="123"/>
      <c r="DH207" s="123"/>
      <c r="DI207" s="123"/>
      <c r="DJ207" s="123"/>
      <c r="DK207" s="123"/>
      <c r="DL207" s="123"/>
      <c r="DM207" s="123"/>
      <c r="DN207" s="123"/>
      <c r="DO207" s="123"/>
      <c r="DP207" s="123"/>
      <c r="DQ207" s="123"/>
      <c r="DR207" s="123"/>
      <c r="DS207" s="123"/>
      <c r="DT207" s="123"/>
      <c r="DU207" s="123"/>
      <c r="DV207" s="123"/>
      <c r="DW207" s="123"/>
      <c r="DX207" s="123"/>
      <c r="DY207" s="123"/>
      <c r="DZ207" s="123"/>
      <c r="EA207" s="123"/>
      <c r="EB207" s="123"/>
      <c r="EC207" s="123"/>
      <c r="ED207" s="123"/>
      <c r="EE207" s="123"/>
      <c r="EF207" s="123"/>
      <c r="EG207" s="123"/>
      <c r="EH207" s="123"/>
      <c r="EI207" s="123"/>
      <c r="EJ207" s="123"/>
      <c r="EK207" s="123"/>
      <c r="EL207" s="123"/>
      <c r="EM207" s="123"/>
      <c r="EN207" s="123"/>
      <c r="EO207" s="123"/>
      <c r="EP207" s="123"/>
      <c r="EQ207" s="123"/>
      <c r="ER207" s="123"/>
      <c r="ES207" s="123"/>
      <c r="ET207" s="123"/>
      <c r="EU207" s="123"/>
      <c r="EV207" s="123"/>
      <c r="EW207" s="123"/>
      <c r="EX207" s="123"/>
      <c r="EY207" s="123"/>
      <c r="EZ207" s="123"/>
      <c r="FA207" s="123"/>
      <c r="FB207" s="123"/>
      <c r="FC207" s="123"/>
      <c r="FD207" s="123"/>
      <c r="FE207" s="123"/>
      <c r="FF207" s="123"/>
      <c r="FG207" s="123"/>
      <c r="FH207" s="123"/>
      <c r="FI207" s="123"/>
      <c r="FJ207" s="123"/>
      <c r="FK207" s="123"/>
      <c r="FL207" s="123"/>
      <c r="FM207" s="123"/>
      <c r="FN207" s="123"/>
      <c r="FO207" s="123"/>
      <c r="FP207" s="123"/>
      <c r="FQ207" s="123"/>
      <c r="FR207" s="123"/>
      <c r="FS207" s="123"/>
      <c r="FT207" s="123"/>
      <c r="FU207" s="123"/>
      <c r="FV207" s="123"/>
      <c r="FW207" s="123"/>
      <c r="FX207" s="123"/>
      <c r="FY207" s="123"/>
      <c r="FZ207" s="123"/>
      <c r="GA207" s="123"/>
      <c r="GB207" s="123"/>
      <c r="GC207" s="123"/>
      <c r="GD207" s="123"/>
      <c r="GE207" s="123"/>
      <c r="GF207" s="123"/>
      <c r="GG207" s="123"/>
      <c r="GH207" s="123"/>
      <c r="GI207" s="123"/>
      <c r="GJ207" s="123"/>
      <c r="GK207" s="123"/>
      <c r="GL207" s="123"/>
      <c r="GM207" s="123"/>
      <c r="GN207" s="123"/>
      <c r="GO207" s="123"/>
      <c r="GP207" s="123"/>
      <c r="GQ207" s="123"/>
      <c r="GR207" s="123"/>
      <c r="GS207" s="123"/>
      <c r="GT207" s="123"/>
      <c r="GU207" s="123"/>
      <c r="GV207" s="123"/>
      <c r="GW207" s="123"/>
      <c r="GX207" s="123"/>
      <c r="GY207" s="123"/>
      <c r="GZ207" s="123"/>
      <c r="HA207" s="123"/>
      <c r="HB207" s="123"/>
      <c r="HC207" s="123"/>
      <c r="HD207" s="123"/>
      <c r="HE207" s="123"/>
      <c r="HF207" s="123"/>
      <c r="HG207" s="123"/>
      <c r="HH207" s="123"/>
      <c r="HI207" s="123"/>
      <c r="HJ207" s="123"/>
      <c r="HK207" s="123"/>
      <c r="HL207" s="123"/>
      <c r="HM207" s="123"/>
      <c r="HN207" s="123"/>
      <c r="HO207" s="123"/>
      <c r="HP207" s="123"/>
      <c r="HQ207" s="123"/>
      <c r="HR207" s="123"/>
      <c r="HS207" s="123"/>
      <c r="HT207" s="123"/>
      <c r="HU207" s="123"/>
      <c r="HV207" s="123"/>
      <c r="HW207" s="123"/>
      <c r="HX207" s="123"/>
      <c r="HY207" s="123"/>
      <c r="HZ207" s="123"/>
      <c r="IA207" s="123"/>
      <c r="IB207" s="123"/>
      <c r="IC207" s="123"/>
      <c r="ID207" s="123"/>
      <c r="IE207" s="123"/>
      <c r="IF207" s="123"/>
      <c r="IG207" s="123"/>
      <c r="IH207" s="123"/>
      <c r="II207" s="123"/>
      <c r="IJ207" s="123"/>
      <c r="IK207" s="123"/>
      <c r="IL207" s="123"/>
      <c r="IM207" s="123"/>
      <c r="IN207" s="123"/>
      <c r="IO207" s="123"/>
      <c r="IP207" s="123"/>
      <c r="IQ207" s="123"/>
      <c r="IR207" s="123"/>
      <c r="IS207" s="123"/>
      <c r="IT207" s="123"/>
      <c r="IU207" s="123"/>
      <c r="IV207" s="123"/>
    </row>
    <row r="208" spans="1:256" s="119" customFormat="1" ht="15" customHeight="1" x14ac:dyDescent="0.15">
      <c r="A208" s="122">
        <v>5</v>
      </c>
      <c r="B208" s="121" t="s">
        <v>210</v>
      </c>
      <c r="C208" s="121" t="s">
        <v>211</v>
      </c>
      <c r="D208" s="114">
        <f t="shared" si="9"/>
        <v>0.27272727272727271</v>
      </c>
      <c r="E208" s="115"/>
      <c r="F208" s="116" t="s">
        <v>209</v>
      </c>
      <c r="G208" s="117" t="s">
        <v>66</v>
      </c>
      <c r="H208" s="118">
        <f t="shared" ref="H208:H239" si="11">IF(G208="EI",4,IF(G208="EO",5,IF(G208="EQ",4,0)))</f>
        <v>4</v>
      </c>
      <c r="I208" s="117">
        <f>IF([3]项目总工作量!B$6="交易类",H208*1.5/22,IF([3]项目总工作量!B$6="数据分析类",H208*1.5*0.9/22,IF([3]项目总工作量!B$6="流程管理类",H208*1.5*0.8/22,IF([3]项目总工作量!B$6="渠道类",H208*1.5*0.7/22,FALSE))))</f>
        <v>0.27272727272727271</v>
      </c>
      <c r="J208" s="117" t="s">
        <v>44</v>
      </c>
    </row>
    <row r="209" spans="1:10" s="119" customFormat="1" ht="14" x14ac:dyDescent="0.15">
      <c r="A209" s="122"/>
      <c r="B209" s="121"/>
      <c r="C209" s="121"/>
      <c r="D209" s="114">
        <f t="shared" si="9"/>
        <v>0.27272727272727271</v>
      </c>
      <c r="E209" s="115"/>
      <c r="F209" s="116" t="s">
        <v>212</v>
      </c>
      <c r="G209" s="117" t="s">
        <v>66</v>
      </c>
      <c r="H209" s="118">
        <f t="shared" si="11"/>
        <v>4</v>
      </c>
      <c r="I209" s="117">
        <f>IF([3]项目总工作量!B$6="交易类",H209*1.5/22,IF([3]项目总工作量!B$6="数据分析类",H209*1.5*0.9/22,IF([3]项目总工作量!B$6="流程管理类",H209*1.5*0.8/22,IF([3]项目总工作量!B$6="渠道类",H209*1.5*0.7/22,FALSE))))</f>
        <v>0.27272727272727271</v>
      </c>
      <c r="J209" s="117" t="s">
        <v>44</v>
      </c>
    </row>
    <row r="210" spans="1:10" s="119" customFormat="1" ht="14" x14ac:dyDescent="0.15">
      <c r="A210" s="122"/>
      <c r="B210" s="121"/>
      <c r="C210" s="121"/>
      <c r="D210" s="114">
        <f t="shared" si="9"/>
        <v>0.27272727272727271</v>
      </c>
      <c r="E210" s="115"/>
      <c r="F210" s="116" t="s">
        <v>213</v>
      </c>
      <c r="G210" s="117" t="s">
        <v>66</v>
      </c>
      <c r="H210" s="118">
        <f t="shared" si="11"/>
        <v>4</v>
      </c>
      <c r="I210" s="117">
        <f>IF([3]项目总工作量!B$6="交易类",H210*1.5/22,IF([3]项目总工作量!B$6="数据分析类",H210*1.5*0.9/22,IF([3]项目总工作量!B$6="流程管理类",H210*1.5*0.8/22,IF([3]项目总工作量!B$6="渠道类",H210*1.5*0.7/22,FALSE))))</f>
        <v>0.27272727272727271</v>
      </c>
      <c r="J210" s="117" t="s">
        <v>44</v>
      </c>
    </row>
    <row r="211" spans="1:10" s="119" customFormat="1" ht="14" x14ac:dyDescent="0.15">
      <c r="A211" s="122"/>
      <c r="B211" s="121"/>
      <c r="C211" s="121"/>
      <c r="D211" s="114">
        <f t="shared" si="9"/>
        <v>0.27272727272727271</v>
      </c>
      <c r="E211" s="115"/>
      <c r="F211" s="116" t="s">
        <v>214</v>
      </c>
      <c r="G211" s="117" t="s">
        <v>69</v>
      </c>
      <c r="H211" s="118">
        <f t="shared" si="11"/>
        <v>4</v>
      </c>
      <c r="I211" s="117">
        <f>IF([3]项目总工作量!B$6="交易类",H211*1.5/22,IF([3]项目总工作量!B$6="数据分析类",H211*1.5*0.9/22,IF([3]项目总工作量!B$6="流程管理类",H211*1.5*0.8/22,IF([3]项目总工作量!B$6="渠道类",H211*1.5*0.7/22,FALSE))))</f>
        <v>0.27272727272727271</v>
      </c>
      <c r="J211" s="117" t="s">
        <v>44</v>
      </c>
    </row>
    <row r="212" spans="1:10" s="119" customFormat="1" ht="14" x14ac:dyDescent="0.15">
      <c r="A212" s="122"/>
      <c r="B212" s="121"/>
      <c r="C212" s="121"/>
      <c r="D212" s="114">
        <f t="shared" si="9"/>
        <v>0.27272727272727271</v>
      </c>
      <c r="E212" s="115"/>
      <c r="F212" s="116" t="s">
        <v>214</v>
      </c>
      <c r="G212" s="117" t="s">
        <v>66</v>
      </c>
      <c r="H212" s="118">
        <f t="shared" si="11"/>
        <v>4</v>
      </c>
      <c r="I212" s="117">
        <f>IF([3]项目总工作量!B$6="交易类",H212*1.5/22,IF([3]项目总工作量!B$6="数据分析类",H212*1.5*0.9/22,IF([3]项目总工作量!B$6="流程管理类",H212*1.5*0.8/22,IF([3]项目总工作量!B$6="渠道类",H212*1.5*0.7/22,FALSE))))</f>
        <v>0.27272727272727271</v>
      </c>
      <c r="J212" s="117" t="s">
        <v>44</v>
      </c>
    </row>
    <row r="213" spans="1:10" s="119" customFormat="1" ht="14" x14ac:dyDescent="0.15">
      <c r="A213" s="122">
        <v>5</v>
      </c>
      <c r="B213" s="121" t="s">
        <v>210</v>
      </c>
      <c r="C213" s="121" t="s">
        <v>211</v>
      </c>
      <c r="D213" s="114">
        <f t="shared" si="9"/>
        <v>0.27272727272727271</v>
      </c>
      <c r="E213" s="115"/>
      <c r="F213" s="116" t="s">
        <v>215</v>
      </c>
      <c r="G213" s="117" t="s">
        <v>66</v>
      </c>
      <c r="H213" s="118">
        <f t="shared" si="11"/>
        <v>4</v>
      </c>
      <c r="I213" s="117">
        <f>IF([3]项目总工作量!B$6="交易类",H213*1.5/22,IF([3]项目总工作量!B$6="数据分析类",H213*1.5*0.9/22,IF([3]项目总工作量!B$6="流程管理类",H213*1.5*0.8/22,IF([3]项目总工作量!B$6="渠道类",H213*1.5*0.7/22,FALSE))))</f>
        <v>0.27272727272727271</v>
      </c>
      <c r="J213" s="117" t="s">
        <v>44</v>
      </c>
    </row>
    <row r="214" spans="1:10" s="119" customFormat="1" ht="14" x14ac:dyDescent="0.15">
      <c r="A214" s="122"/>
      <c r="B214" s="121"/>
      <c r="C214" s="121"/>
      <c r="D214" s="114">
        <f t="shared" si="9"/>
        <v>0.27272727272727271</v>
      </c>
      <c r="E214" s="115"/>
      <c r="F214" s="116" t="s">
        <v>216</v>
      </c>
      <c r="G214" s="117" t="s">
        <v>66</v>
      </c>
      <c r="H214" s="118">
        <f t="shared" si="11"/>
        <v>4</v>
      </c>
      <c r="I214" s="117">
        <f>IF([3]项目总工作量!B$6="交易类",H214*1.5/22,IF([3]项目总工作量!B$6="数据分析类",H214*1.5*0.9/22,IF([3]项目总工作量!B$6="流程管理类",H214*1.5*0.8/22,IF([3]项目总工作量!B$6="渠道类",H214*1.5*0.7/22,FALSE))))</f>
        <v>0.27272727272727271</v>
      </c>
      <c r="J214" s="117" t="s">
        <v>44</v>
      </c>
    </row>
    <row r="215" spans="1:10" s="119" customFormat="1" ht="14" x14ac:dyDescent="0.15">
      <c r="A215" s="122"/>
      <c r="B215" s="121"/>
      <c r="C215" s="121"/>
      <c r="D215" s="114">
        <f t="shared" si="9"/>
        <v>0.27272727272727271</v>
      </c>
      <c r="E215" s="115"/>
      <c r="F215" s="116" t="s">
        <v>217</v>
      </c>
      <c r="G215" s="117" t="s">
        <v>66</v>
      </c>
      <c r="H215" s="118">
        <f t="shared" si="11"/>
        <v>4</v>
      </c>
      <c r="I215" s="117">
        <f>IF([3]项目总工作量!B$6="交易类",H215*1.5/22,IF([3]项目总工作量!B$6="数据分析类",H215*1.5*0.9/22,IF([3]项目总工作量!B$6="流程管理类",H215*1.5*0.8/22,IF([3]项目总工作量!B$6="渠道类",H215*1.5*0.7/22,FALSE))))</f>
        <v>0.27272727272727271</v>
      </c>
      <c r="J215" s="117" t="s">
        <v>44</v>
      </c>
    </row>
    <row r="216" spans="1:10" s="119" customFormat="1" ht="14" x14ac:dyDescent="0.15">
      <c r="A216" s="122"/>
      <c r="B216" s="121"/>
      <c r="C216" s="121"/>
      <c r="D216" s="114">
        <f t="shared" si="9"/>
        <v>0.27272727272727271</v>
      </c>
      <c r="E216" s="115"/>
      <c r="F216" s="116" t="s">
        <v>218</v>
      </c>
      <c r="G216" s="117" t="s">
        <v>69</v>
      </c>
      <c r="H216" s="118">
        <f t="shared" si="11"/>
        <v>4</v>
      </c>
      <c r="I216" s="117">
        <f>IF([3]项目总工作量!B$6="交易类",H216*1.5/22,IF([3]项目总工作量!B$6="数据分析类",H216*1.5*0.9/22,IF([3]项目总工作量!B$6="流程管理类",H216*1.5*0.8/22,IF([3]项目总工作量!B$6="渠道类",H216*1.5*0.7/22,FALSE))))</f>
        <v>0.27272727272727271</v>
      </c>
      <c r="J216" s="117" t="s">
        <v>44</v>
      </c>
    </row>
    <row r="217" spans="1:10" s="119" customFormat="1" ht="14" x14ac:dyDescent="0.15">
      <c r="A217" s="122"/>
      <c r="B217" s="121"/>
      <c r="C217" s="121"/>
      <c r="D217" s="114">
        <f t="shared" si="9"/>
        <v>0.27272727272727271</v>
      </c>
      <c r="E217" s="115"/>
      <c r="F217" s="116" t="s">
        <v>219</v>
      </c>
      <c r="G217" s="117" t="s">
        <v>66</v>
      </c>
      <c r="H217" s="118">
        <f t="shared" si="11"/>
        <v>4</v>
      </c>
      <c r="I217" s="117">
        <f>IF([3]项目总工作量!B$6="交易类",H217*1.5/22,IF([3]项目总工作量!B$6="数据分析类",H217*1.5*0.9/22,IF([3]项目总工作量!B$6="流程管理类",H217*1.5*0.8/22,IF([3]项目总工作量!B$6="渠道类",H217*1.5*0.7/22,FALSE))))</f>
        <v>0.27272727272727271</v>
      </c>
      <c r="J217" s="117" t="s">
        <v>44</v>
      </c>
    </row>
    <row r="218" spans="1:10" s="119" customFormat="1" ht="14" x14ac:dyDescent="0.15">
      <c r="A218" s="122"/>
      <c r="B218" s="121"/>
      <c r="C218" s="121"/>
      <c r="D218" s="114">
        <f t="shared" si="9"/>
        <v>0.27272727272727271</v>
      </c>
      <c r="E218" s="115"/>
      <c r="F218" s="116" t="s">
        <v>220</v>
      </c>
      <c r="G218" s="117" t="s">
        <v>66</v>
      </c>
      <c r="H218" s="118">
        <f t="shared" si="11"/>
        <v>4</v>
      </c>
      <c r="I218" s="117">
        <f>IF([3]项目总工作量!B$6="交易类",H218*1.5/22,IF([3]项目总工作量!B$6="数据分析类",H218*1.5*0.9/22,IF([3]项目总工作量!B$6="流程管理类",H218*1.5*0.8/22,IF([3]项目总工作量!B$6="渠道类",H218*1.5*0.7/22,FALSE))))</f>
        <v>0.27272727272727271</v>
      </c>
      <c r="J218" s="117" t="s">
        <v>44</v>
      </c>
    </row>
    <row r="219" spans="1:10" s="119" customFormat="1" ht="14" x14ac:dyDescent="0.15">
      <c r="A219" s="122"/>
      <c r="B219" s="121"/>
      <c r="C219" s="121"/>
      <c r="D219" s="114">
        <f t="shared" si="9"/>
        <v>0.27272727272727271</v>
      </c>
      <c r="E219" s="115"/>
      <c r="F219" s="116" t="s">
        <v>221</v>
      </c>
      <c r="G219" s="117" t="s">
        <v>66</v>
      </c>
      <c r="H219" s="118">
        <f t="shared" si="11"/>
        <v>4</v>
      </c>
      <c r="I219" s="117">
        <f>IF([3]项目总工作量!B$6="交易类",H219*1.5/22,IF([3]项目总工作量!B$6="数据分析类",H219*1.5*0.9/22,IF([3]项目总工作量!B$6="流程管理类",H219*1.5*0.8/22,IF([3]项目总工作量!B$6="渠道类",H219*1.5*0.7/22,FALSE))))</f>
        <v>0.27272727272727271</v>
      </c>
      <c r="J219" s="117" t="s">
        <v>44</v>
      </c>
    </row>
    <row r="220" spans="1:10" s="119" customFormat="1" ht="14" x14ac:dyDescent="0.15">
      <c r="A220" s="122"/>
      <c r="B220" s="121"/>
      <c r="C220" s="121"/>
      <c r="D220" s="114">
        <f t="shared" si="9"/>
        <v>0.27272727272727271</v>
      </c>
      <c r="E220" s="115"/>
      <c r="F220" s="116" t="s">
        <v>222</v>
      </c>
      <c r="G220" s="117" t="s">
        <v>69</v>
      </c>
      <c r="H220" s="118">
        <f t="shared" si="11"/>
        <v>4</v>
      </c>
      <c r="I220" s="117">
        <f>IF([3]项目总工作量!B$6="交易类",H220*1.5/22,IF([3]项目总工作量!B$6="数据分析类",H220*1.5*0.9/22,IF([3]项目总工作量!B$6="流程管理类",H220*1.5*0.8/22,IF([3]项目总工作量!B$6="渠道类",H220*1.5*0.7/22,FALSE))))</f>
        <v>0.27272727272727271</v>
      </c>
      <c r="J220" s="117" t="s">
        <v>44</v>
      </c>
    </row>
    <row r="221" spans="1:10" s="119" customFormat="1" ht="14" x14ac:dyDescent="0.15">
      <c r="A221" s="122">
        <v>6</v>
      </c>
      <c r="B221" s="121" t="s">
        <v>397</v>
      </c>
      <c r="C221" s="121" t="s">
        <v>396</v>
      </c>
      <c r="D221" s="114">
        <f t="shared" si="9"/>
        <v>0.27272727272727271</v>
      </c>
      <c r="E221" s="115"/>
      <c r="F221" s="52" t="s">
        <v>395</v>
      </c>
      <c r="G221" s="117" t="s">
        <v>66</v>
      </c>
      <c r="H221" s="118">
        <f t="shared" si="11"/>
        <v>4</v>
      </c>
      <c r="I221" s="117">
        <f>IF([3]项目总工作量!B$6="交易类",H221*1.5/22,IF([3]项目总工作量!B$6="数据分析类",H221*1.5*0.9/22,IF([3]项目总工作量!B$6="流程管理类",H221*1.5*0.8/22,IF([3]项目总工作量!B$6="渠道类",H221*1.5*0.7/22,FALSE))))</f>
        <v>0.27272727272727271</v>
      </c>
      <c r="J221" s="117" t="s">
        <v>44</v>
      </c>
    </row>
    <row r="222" spans="1:10" s="119" customFormat="1" ht="14" x14ac:dyDescent="0.15">
      <c r="A222" s="122"/>
      <c r="B222" s="121"/>
      <c r="C222" s="121"/>
      <c r="D222" s="114">
        <f t="shared" si="9"/>
        <v>0.27272727272727271</v>
      </c>
      <c r="E222" s="115"/>
      <c r="F222" s="52" t="s">
        <v>394</v>
      </c>
      <c r="G222" s="117" t="s">
        <v>66</v>
      </c>
      <c r="H222" s="118">
        <f t="shared" si="11"/>
        <v>4</v>
      </c>
      <c r="I222" s="117">
        <f>IF([3]项目总工作量!B$6="交易类",H222*1.5/22,IF([3]项目总工作量!B$6="数据分析类",H222*1.5*0.9/22,IF([3]项目总工作量!B$6="流程管理类",H222*1.5*0.8/22,IF([3]项目总工作量!B$6="渠道类",H222*1.5*0.7/22,FALSE))))</f>
        <v>0.27272727272727271</v>
      </c>
      <c r="J222" s="117" t="s">
        <v>44</v>
      </c>
    </row>
    <row r="223" spans="1:10" s="119" customFormat="1" ht="14" x14ac:dyDescent="0.15">
      <c r="A223" s="122"/>
      <c r="B223" s="121"/>
      <c r="C223" s="121"/>
      <c r="D223" s="114">
        <f t="shared" si="9"/>
        <v>0.27272727272727271</v>
      </c>
      <c r="E223" s="115"/>
      <c r="F223" s="52" t="s">
        <v>393</v>
      </c>
      <c r="G223" s="117" t="s">
        <v>66</v>
      </c>
      <c r="H223" s="118">
        <f t="shared" si="11"/>
        <v>4</v>
      </c>
      <c r="I223" s="117">
        <f>IF([3]项目总工作量!B$6="交易类",H223*1.5/22,IF([3]项目总工作量!B$6="数据分析类",H223*1.5*0.9/22,IF([3]项目总工作量!B$6="流程管理类",H223*1.5*0.8/22,IF([3]项目总工作量!B$6="渠道类",H223*1.5*0.7/22,FALSE))))</f>
        <v>0.27272727272727271</v>
      </c>
      <c r="J223" s="117" t="s">
        <v>44</v>
      </c>
    </row>
    <row r="224" spans="1:10" s="119" customFormat="1" ht="14" x14ac:dyDescent="0.15">
      <c r="A224" s="122"/>
      <c r="B224" s="121"/>
      <c r="C224" s="121"/>
      <c r="D224" s="114">
        <f t="shared" si="9"/>
        <v>0.27272727272727271</v>
      </c>
      <c r="E224" s="115"/>
      <c r="F224" s="52" t="s">
        <v>392</v>
      </c>
      <c r="G224" s="117" t="s">
        <v>66</v>
      </c>
      <c r="H224" s="118">
        <f t="shared" si="11"/>
        <v>4</v>
      </c>
      <c r="I224" s="117">
        <f>IF([3]项目总工作量!B$6="交易类",H224*1.5/22,IF([3]项目总工作量!B$6="数据分析类",H224*1.5*0.9/22,IF([3]项目总工作量!B$6="流程管理类",H224*1.5*0.8/22,IF([3]项目总工作量!B$6="渠道类",H224*1.5*0.7/22,FALSE))))</f>
        <v>0.27272727272727271</v>
      </c>
      <c r="J224" s="117" t="s">
        <v>44</v>
      </c>
    </row>
    <row r="225" spans="1:10" s="119" customFormat="1" ht="14" x14ac:dyDescent="0.15">
      <c r="A225" s="122"/>
      <c r="B225" s="121"/>
      <c r="C225" s="121"/>
      <c r="D225" s="114">
        <f t="shared" si="9"/>
        <v>0.27272727272727271</v>
      </c>
      <c r="E225" s="115"/>
      <c r="F225" s="52" t="s">
        <v>391</v>
      </c>
      <c r="G225" s="117" t="s">
        <v>66</v>
      </c>
      <c r="H225" s="118">
        <f t="shared" si="11"/>
        <v>4</v>
      </c>
      <c r="I225" s="117">
        <f>IF([3]项目总工作量!B$6="交易类",H225*1.5/22,IF([3]项目总工作量!B$6="数据分析类",H225*1.5*0.9/22,IF([3]项目总工作量!B$6="流程管理类",H225*1.5*0.8/22,IF([3]项目总工作量!B$6="渠道类",H225*1.5*0.7/22,FALSE))))</f>
        <v>0.27272727272727271</v>
      </c>
      <c r="J225" s="117" t="s">
        <v>44</v>
      </c>
    </row>
    <row r="226" spans="1:10" s="119" customFormat="1" ht="14" x14ac:dyDescent="0.15">
      <c r="A226" s="122"/>
      <c r="B226" s="121"/>
      <c r="C226" s="121"/>
      <c r="D226" s="114">
        <f t="shared" si="9"/>
        <v>0.27272727272727271</v>
      </c>
      <c r="E226" s="115"/>
      <c r="F226" s="52" t="s">
        <v>390</v>
      </c>
      <c r="G226" s="117" t="s">
        <v>66</v>
      </c>
      <c r="H226" s="118">
        <f t="shared" si="11"/>
        <v>4</v>
      </c>
      <c r="I226" s="117">
        <f>IF([3]项目总工作量!B$6="交易类",H226*1.5/22,IF([3]项目总工作量!B$6="数据分析类",H226*1.5*0.9/22,IF([3]项目总工作量!B$6="流程管理类",H226*1.5*0.8/22,IF([3]项目总工作量!B$6="渠道类",H226*1.5*0.7/22,FALSE))))</f>
        <v>0.27272727272727271</v>
      </c>
      <c r="J226" s="117" t="s">
        <v>44</v>
      </c>
    </row>
    <row r="227" spans="1:10" s="119" customFormat="1" ht="14" x14ac:dyDescent="0.15">
      <c r="A227" s="122"/>
      <c r="B227" s="121"/>
      <c r="C227" s="121"/>
      <c r="D227" s="114">
        <f t="shared" si="9"/>
        <v>0.27272727272727271</v>
      </c>
      <c r="E227" s="115"/>
      <c r="F227" s="52" t="s">
        <v>389</v>
      </c>
      <c r="G227" s="117" t="s">
        <v>66</v>
      </c>
      <c r="H227" s="118">
        <f t="shared" si="11"/>
        <v>4</v>
      </c>
      <c r="I227" s="117">
        <f>IF([3]项目总工作量!B$6="交易类",H227*1.5/22,IF([3]项目总工作量!B$6="数据分析类",H227*1.5*0.9/22,IF([3]项目总工作量!B$6="流程管理类",H227*1.5*0.8/22,IF([3]项目总工作量!B$6="渠道类",H227*1.5*0.7/22,FALSE))))</f>
        <v>0.27272727272727271</v>
      </c>
      <c r="J227" s="117" t="s">
        <v>44</v>
      </c>
    </row>
    <row r="228" spans="1:10" s="119" customFormat="1" ht="14" x14ac:dyDescent="0.15">
      <c r="A228" s="122"/>
      <c r="B228" s="121"/>
      <c r="C228" s="121"/>
      <c r="D228" s="114">
        <f t="shared" si="9"/>
        <v>0.27272727272727271</v>
      </c>
      <c r="E228" s="115"/>
      <c r="F228" s="52" t="s">
        <v>388</v>
      </c>
      <c r="G228" s="117" t="s">
        <v>66</v>
      </c>
      <c r="H228" s="118">
        <f t="shared" si="11"/>
        <v>4</v>
      </c>
      <c r="I228" s="117">
        <f>IF([3]项目总工作量!B$6="交易类",H228*1.5/22,IF([3]项目总工作量!B$6="数据分析类",H228*1.5*0.9/22,IF([3]项目总工作量!B$6="流程管理类",H228*1.5*0.8/22,IF([3]项目总工作量!B$6="渠道类",H228*1.5*0.7/22,FALSE))))</f>
        <v>0.27272727272727271</v>
      </c>
      <c r="J228" s="117" t="s">
        <v>44</v>
      </c>
    </row>
    <row r="229" spans="1:10" s="119" customFormat="1" ht="14" x14ac:dyDescent="0.15">
      <c r="A229" s="122"/>
      <c r="B229" s="121"/>
      <c r="C229" s="121"/>
      <c r="D229" s="114">
        <f t="shared" ref="D229:D292" si="12">I229</f>
        <v>0.27272727272727271</v>
      </c>
      <c r="E229" s="115"/>
      <c r="F229" s="52" t="s">
        <v>387</v>
      </c>
      <c r="G229" s="117" t="s">
        <v>66</v>
      </c>
      <c r="H229" s="118">
        <f t="shared" si="11"/>
        <v>4</v>
      </c>
      <c r="I229" s="117">
        <f>IF([3]项目总工作量!B$6="交易类",H229*1.5/22,IF([3]项目总工作量!B$6="数据分析类",H229*1.5*0.9/22,IF([3]项目总工作量!B$6="流程管理类",H229*1.5*0.8/22,IF([3]项目总工作量!B$6="渠道类",H229*1.5*0.7/22,FALSE))))</f>
        <v>0.27272727272727271</v>
      </c>
      <c r="J229" s="117" t="s">
        <v>44</v>
      </c>
    </row>
    <row r="230" spans="1:10" s="119" customFormat="1" ht="14" x14ac:dyDescent="0.15">
      <c r="A230" s="122"/>
      <c r="B230" s="121"/>
      <c r="C230" s="121"/>
      <c r="D230" s="114">
        <f t="shared" si="12"/>
        <v>0.27272727272727271</v>
      </c>
      <c r="E230" s="115"/>
      <c r="F230" s="52" t="s">
        <v>386</v>
      </c>
      <c r="G230" s="117" t="s">
        <v>66</v>
      </c>
      <c r="H230" s="118">
        <f t="shared" si="11"/>
        <v>4</v>
      </c>
      <c r="I230" s="117">
        <f>IF([3]项目总工作量!B$6="交易类",H230*1.5/22,IF([3]项目总工作量!B$6="数据分析类",H230*1.5*0.9/22,IF([3]项目总工作量!B$6="流程管理类",H230*1.5*0.8/22,IF([3]项目总工作量!B$6="渠道类",H230*1.5*0.7/22,FALSE))))</f>
        <v>0.27272727272727271</v>
      </c>
      <c r="J230" s="117" t="s">
        <v>44</v>
      </c>
    </row>
    <row r="231" spans="1:10" s="119" customFormat="1" ht="14" x14ac:dyDescent="0.15">
      <c r="A231" s="122"/>
      <c r="B231" s="121"/>
      <c r="C231" s="121"/>
      <c r="D231" s="114">
        <f t="shared" si="12"/>
        <v>0.27272727272727271</v>
      </c>
      <c r="E231" s="115"/>
      <c r="F231" s="52" t="s">
        <v>385</v>
      </c>
      <c r="G231" s="117" t="s">
        <v>66</v>
      </c>
      <c r="H231" s="118">
        <f t="shared" si="11"/>
        <v>4</v>
      </c>
      <c r="I231" s="117">
        <f>IF([3]项目总工作量!B$6="交易类",H231*1.5/22,IF([3]项目总工作量!B$6="数据分析类",H231*1.5*0.9/22,IF([3]项目总工作量!B$6="流程管理类",H231*1.5*0.8/22,IF([3]项目总工作量!B$6="渠道类",H231*1.5*0.7/22,FALSE))))</f>
        <v>0.27272727272727271</v>
      </c>
      <c r="J231" s="117" t="s">
        <v>44</v>
      </c>
    </row>
    <row r="232" spans="1:10" s="119" customFormat="1" ht="14" x14ac:dyDescent="0.15">
      <c r="A232" s="122"/>
      <c r="B232" s="121"/>
      <c r="C232" s="121"/>
      <c r="D232" s="114">
        <f t="shared" si="12"/>
        <v>0.27272727272727271</v>
      </c>
      <c r="E232" s="115"/>
      <c r="F232" s="52" t="s">
        <v>384</v>
      </c>
      <c r="G232" s="117" t="s">
        <v>66</v>
      </c>
      <c r="H232" s="118">
        <f t="shared" si="11"/>
        <v>4</v>
      </c>
      <c r="I232" s="117">
        <f>IF([3]项目总工作量!B$6="交易类",H232*1.5/22,IF([3]项目总工作量!B$6="数据分析类",H232*1.5*0.9/22,IF([3]项目总工作量!B$6="流程管理类",H232*1.5*0.8/22,IF([3]项目总工作量!B$6="渠道类",H232*1.5*0.7/22,FALSE))))</f>
        <v>0.27272727272727271</v>
      </c>
      <c r="J232" s="117" t="s">
        <v>44</v>
      </c>
    </row>
    <row r="233" spans="1:10" s="119" customFormat="1" ht="14" x14ac:dyDescent="0.15">
      <c r="A233" s="122"/>
      <c r="B233" s="121"/>
      <c r="C233" s="121"/>
      <c r="D233" s="114">
        <f t="shared" si="12"/>
        <v>0.27272727272727271</v>
      </c>
      <c r="E233" s="115"/>
      <c r="F233" s="52" t="s">
        <v>383</v>
      </c>
      <c r="G233" s="117" t="s">
        <v>66</v>
      </c>
      <c r="H233" s="118">
        <f t="shared" si="11"/>
        <v>4</v>
      </c>
      <c r="I233" s="117">
        <f>IF([3]项目总工作量!B$6="交易类",H233*1.5/22,IF([3]项目总工作量!B$6="数据分析类",H233*1.5*0.9/22,IF([3]项目总工作量!B$6="流程管理类",H233*1.5*0.8/22,IF([3]项目总工作量!B$6="渠道类",H233*1.5*0.7/22,FALSE))))</f>
        <v>0.27272727272727271</v>
      </c>
      <c r="J233" s="117" t="s">
        <v>44</v>
      </c>
    </row>
    <row r="234" spans="1:10" s="119" customFormat="1" ht="14" x14ac:dyDescent="0.15">
      <c r="A234" s="122"/>
      <c r="B234" s="121"/>
      <c r="C234" s="121"/>
      <c r="D234" s="114">
        <f t="shared" si="12"/>
        <v>0.27272727272727271</v>
      </c>
      <c r="E234" s="115"/>
      <c r="F234" s="52" t="s">
        <v>382</v>
      </c>
      <c r="G234" s="117" t="s">
        <v>66</v>
      </c>
      <c r="H234" s="118">
        <f t="shared" si="11"/>
        <v>4</v>
      </c>
      <c r="I234" s="117">
        <f>IF([3]项目总工作量!B$6="交易类",H234*1.5/22,IF([3]项目总工作量!B$6="数据分析类",H234*1.5*0.9/22,IF([3]项目总工作量!B$6="流程管理类",H234*1.5*0.8/22,IF([3]项目总工作量!B$6="渠道类",H234*1.5*0.7/22,FALSE))))</f>
        <v>0.27272727272727271</v>
      </c>
      <c r="J234" s="117" t="s">
        <v>44</v>
      </c>
    </row>
    <row r="235" spans="1:10" s="119" customFormat="1" ht="14" x14ac:dyDescent="0.15">
      <c r="A235" s="122"/>
      <c r="B235" s="121"/>
      <c r="C235" s="121"/>
      <c r="D235" s="114">
        <f t="shared" si="12"/>
        <v>0.27272727272727271</v>
      </c>
      <c r="E235" s="115"/>
      <c r="F235" s="52" t="s">
        <v>381</v>
      </c>
      <c r="G235" s="117" t="s">
        <v>66</v>
      </c>
      <c r="H235" s="118">
        <f t="shared" si="11"/>
        <v>4</v>
      </c>
      <c r="I235" s="117">
        <f>IF([3]项目总工作量!B$6="交易类",H235*1.5/22,IF([3]项目总工作量!B$6="数据分析类",H235*1.5*0.9/22,IF([3]项目总工作量!B$6="流程管理类",H235*1.5*0.8/22,IF([3]项目总工作量!B$6="渠道类",H235*1.5*0.7/22,FALSE))))</f>
        <v>0.27272727272727271</v>
      </c>
      <c r="J235" s="117" t="s">
        <v>44</v>
      </c>
    </row>
    <row r="236" spans="1:10" s="119" customFormat="1" ht="14" x14ac:dyDescent="0.15">
      <c r="A236" s="122"/>
      <c r="B236" s="121"/>
      <c r="C236" s="121"/>
      <c r="D236" s="114">
        <f t="shared" si="12"/>
        <v>0.27272727272727271</v>
      </c>
      <c r="E236" s="115"/>
      <c r="F236" s="52" t="s">
        <v>380</v>
      </c>
      <c r="G236" s="117" t="s">
        <v>66</v>
      </c>
      <c r="H236" s="118">
        <f t="shared" si="11"/>
        <v>4</v>
      </c>
      <c r="I236" s="117">
        <f>IF([3]项目总工作量!B$6="交易类",H236*1.5/22,IF([3]项目总工作量!B$6="数据分析类",H236*1.5*0.9/22,IF([3]项目总工作量!B$6="流程管理类",H236*1.5*0.8/22,IF([3]项目总工作量!B$6="渠道类",H236*1.5*0.7/22,FALSE))))</f>
        <v>0.27272727272727271</v>
      </c>
      <c r="J236" s="117" t="s">
        <v>44</v>
      </c>
    </row>
    <row r="237" spans="1:10" s="119" customFormat="1" ht="14" x14ac:dyDescent="0.15">
      <c r="A237" s="122"/>
      <c r="B237" s="121"/>
      <c r="C237" s="121"/>
      <c r="D237" s="114">
        <f t="shared" si="12"/>
        <v>0.27272727272727271</v>
      </c>
      <c r="E237" s="115"/>
      <c r="F237" s="52" t="s">
        <v>379</v>
      </c>
      <c r="G237" s="117" t="s">
        <v>66</v>
      </c>
      <c r="H237" s="118">
        <f t="shared" si="11"/>
        <v>4</v>
      </c>
      <c r="I237" s="117">
        <f>IF([3]项目总工作量!B$6="交易类",H237*1.5/22,IF([3]项目总工作量!B$6="数据分析类",H237*1.5*0.9/22,IF([3]项目总工作量!B$6="流程管理类",H237*1.5*0.8/22,IF([3]项目总工作量!B$6="渠道类",H237*1.5*0.7/22,FALSE))))</f>
        <v>0.27272727272727271</v>
      </c>
      <c r="J237" s="117" t="s">
        <v>44</v>
      </c>
    </row>
    <row r="238" spans="1:10" s="119" customFormat="1" ht="14" x14ac:dyDescent="0.15">
      <c r="A238" s="122"/>
      <c r="B238" s="121"/>
      <c r="C238" s="121"/>
      <c r="D238" s="114">
        <f t="shared" si="12"/>
        <v>0.27272727272727271</v>
      </c>
      <c r="E238" s="115"/>
      <c r="F238" s="52" t="s">
        <v>378</v>
      </c>
      <c r="G238" s="117" t="s">
        <v>66</v>
      </c>
      <c r="H238" s="118">
        <f t="shared" si="11"/>
        <v>4</v>
      </c>
      <c r="I238" s="117">
        <f>IF([3]项目总工作量!B$6="交易类",H238*1.5/22,IF([3]项目总工作量!B$6="数据分析类",H238*1.5*0.9/22,IF([3]项目总工作量!B$6="流程管理类",H238*1.5*0.8/22,IF([3]项目总工作量!B$6="渠道类",H238*1.5*0.7/22,FALSE))))</f>
        <v>0.27272727272727271</v>
      </c>
      <c r="J238" s="117" t="s">
        <v>44</v>
      </c>
    </row>
    <row r="239" spans="1:10" s="119" customFormat="1" ht="14" x14ac:dyDescent="0.15">
      <c r="A239" s="122"/>
      <c r="B239" s="121"/>
      <c r="C239" s="121"/>
      <c r="D239" s="114">
        <f t="shared" si="12"/>
        <v>0.27272727272727271</v>
      </c>
      <c r="E239" s="115"/>
      <c r="F239" s="52" t="s">
        <v>377</v>
      </c>
      <c r="G239" s="117" t="s">
        <v>66</v>
      </c>
      <c r="H239" s="118">
        <f t="shared" si="11"/>
        <v>4</v>
      </c>
      <c r="I239" s="117">
        <f>IF([3]项目总工作量!B$6="交易类",H239*1.5/22,IF([3]项目总工作量!B$6="数据分析类",H239*1.5*0.9/22,IF([3]项目总工作量!B$6="流程管理类",H239*1.5*0.8/22,IF([3]项目总工作量!B$6="渠道类",H239*1.5*0.7/22,FALSE))))</f>
        <v>0.27272727272727271</v>
      </c>
      <c r="J239" s="117" t="s">
        <v>44</v>
      </c>
    </row>
    <row r="240" spans="1:10" s="119" customFormat="1" ht="14" x14ac:dyDescent="0.15">
      <c r="A240" s="122"/>
      <c r="B240" s="121"/>
      <c r="C240" s="121"/>
      <c r="D240" s="114">
        <f t="shared" si="12"/>
        <v>0.27272727272727271</v>
      </c>
      <c r="E240" s="115"/>
      <c r="F240" s="52" t="s">
        <v>376</v>
      </c>
      <c r="G240" s="117" t="s">
        <v>66</v>
      </c>
      <c r="H240" s="118">
        <f t="shared" ref="H240:H271" si="13">IF(G240="EI",4,IF(G240="EO",5,IF(G240="EQ",4,0)))</f>
        <v>4</v>
      </c>
      <c r="I240" s="117">
        <f>IF([3]项目总工作量!B$6="交易类",H240*1.5/22,IF([3]项目总工作量!B$6="数据分析类",H240*1.5*0.9/22,IF([3]项目总工作量!B$6="流程管理类",H240*1.5*0.8/22,IF([3]项目总工作量!B$6="渠道类",H240*1.5*0.7/22,FALSE))))</f>
        <v>0.27272727272727271</v>
      </c>
      <c r="J240" s="117" t="s">
        <v>44</v>
      </c>
    </row>
    <row r="241" spans="1:10" s="119" customFormat="1" ht="14" x14ac:dyDescent="0.15">
      <c r="A241" s="122"/>
      <c r="B241" s="121"/>
      <c r="C241" s="121"/>
      <c r="D241" s="114">
        <f t="shared" si="12"/>
        <v>0.27272727272727271</v>
      </c>
      <c r="E241" s="115"/>
      <c r="F241" s="52" t="s">
        <v>375</v>
      </c>
      <c r="G241" s="117" t="s">
        <v>66</v>
      </c>
      <c r="H241" s="118">
        <f t="shared" si="13"/>
        <v>4</v>
      </c>
      <c r="I241" s="117">
        <f>IF([3]项目总工作量!B$6="交易类",H241*1.5/22,IF([3]项目总工作量!B$6="数据分析类",H241*1.5*0.9/22,IF([3]项目总工作量!B$6="流程管理类",H241*1.5*0.8/22,IF([3]项目总工作量!B$6="渠道类",H241*1.5*0.7/22,FALSE))))</f>
        <v>0.27272727272727271</v>
      </c>
      <c r="J241" s="117" t="s">
        <v>44</v>
      </c>
    </row>
    <row r="242" spans="1:10" s="119" customFormat="1" ht="14" x14ac:dyDescent="0.15">
      <c r="A242" s="122"/>
      <c r="B242" s="121"/>
      <c r="C242" s="121"/>
      <c r="D242" s="114">
        <f t="shared" si="12"/>
        <v>0.27272727272727271</v>
      </c>
      <c r="E242" s="115"/>
      <c r="F242" s="52" t="s">
        <v>374</v>
      </c>
      <c r="G242" s="117" t="s">
        <v>66</v>
      </c>
      <c r="H242" s="118">
        <f t="shared" si="13"/>
        <v>4</v>
      </c>
      <c r="I242" s="117">
        <f>IF([3]项目总工作量!B$6="交易类",H242*1.5/22,IF([3]项目总工作量!B$6="数据分析类",H242*1.5*0.9/22,IF([3]项目总工作量!B$6="流程管理类",H242*1.5*0.8/22,IF([3]项目总工作量!B$6="渠道类",H242*1.5*0.7/22,FALSE))))</f>
        <v>0.27272727272727271</v>
      </c>
      <c r="J242" s="117" t="s">
        <v>44</v>
      </c>
    </row>
    <row r="243" spans="1:10" s="119" customFormat="1" ht="14" x14ac:dyDescent="0.15">
      <c r="A243" s="122"/>
      <c r="B243" s="121"/>
      <c r="C243" s="121"/>
      <c r="D243" s="114">
        <f t="shared" si="12"/>
        <v>0.27272727272727271</v>
      </c>
      <c r="E243" s="115"/>
      <c r="F243" s="52" t="s">
        <v>373</v>
      </c>
      <c r="G243" s="117" t="s">
        <v>66</v>
      </c>
      <c r="H243" s="118">
        <f t="shared" si="13"/>
        <v>4</v>
      </c>
      <c r="I243" s="117">
        <f>IF([3]项目总工作量!B$6="交易类",H243*1.5/22,IF([3]项目总工作量!B$6="数据分析类",H243*1.5*0.9/22,IF([3]项目总工作量!B$6="流程管理类",H243*1.5*0.8/22,IF([3]项目总工作量!B$6="渠道类",H243*1.5*0.7/22,FALSE))))</f>
        <v>0.27272727272727271</v>
      </c>
      <c r="J243" s="117" t="s">
        <v>44</v>
      </c>
    </row>
    <row r="244" spans="1:10" s="119" customFormat="1" ht="14" x14ac:dyDescent="0.15">
      <c r="A244" s="122"/>
      <c r="B244" s="121"/>
      <c r="C244" s="121"/>
      <c r="D244" s="114">
        <f t="shared" si="12"/>
        <v>0.27272727272727271</v>
      </c>
      <c r="E244" s="115"/>
      <c r="F244" s="52" t="s">
        <v>372</v>
      </c>
      <c r="G244" s="117" t="s">
        <v>66</v>
      </c>
      <c r="H244" s="118">
        <f t="shared" si="13"/>
        <v>4</v>
      </c>
      <c r="I244" s="117">
        <f>IF([3]项目总工作量!B$6="交易类",H244*1.5/22,IF([3]项目总工作量!B$6="数据分析类",H244*1.5*0.9/22,IF([3]项目总工作量!B$6="流程管理类",H244*1.5*0.8/22,IF([3]项目总工作量!B$6="渠道类",H244*1.5*0.7/22,FALSE))))</f>
        <v>0.27272727272727271</v>
      </c>
      <c r="J244" s="117" t="s">
        <v>44</v>
      </c>
    </row>
    <row r="245" spans="1:10" s="119" customFormat="1" ht="14" x14ac:dyDescent="0.15">
      <c r="A245" s="122"/>
      <c r="B245" s="121"/>
      <c r="C245" s="121"/>
      <c r="D245" s="114">
        <f t="shared" si="12"/>
        <v>0.27272727272727271</v>
      </c>
      <c r="E245" s="115"/>
      <c r="F245" s="52" t="s">
        <v>371</v>
      </c>
      <c r="G245" s="117" t="s">
        <v>66</v>
      </c>
      <c r="H245" s="118">
        <f t="shared" si="13"/>
        <v>4</v>
      </c>
      <c r="I245" s="117">
        <f>IF([3]项目总工作量!B$6="交易类",H245*1.5/22,IF([3]项目总工作量!B$6="数据分析类",H245*1.5*0.9/22,IF([3]项目总工作量!B$6="流程管理类",H245*1.5*0.8/22,IF([3]项目总工作量!B$6="渠道类",H245*1.5*0.7/22,FALSE))))</f>
        <v>0.27272727272727271</v>
      </c>
      <c r="J245" s="117" t="s">
        <v>44</v>
      </c>
    </row>
    <row r="246" spans="1:10" s="119" customFormat="1" ht="14" x14ac:dyDescent="0.15">
      <c r="A246" s="122"/>
      <c r="B246" s="121"/>
      <c r="C246" s="121"/>
      <c r="D246" s="114">
        <f t="shared" si="12"/>
        <v>0.27272727272727271</v>
      </c>
      <c r="E246" s="115"/>
      <c r="F246" s="52" t="s">
        <v>370</v>
      </c>
      <c r="G246" s="117" t="s">
        <v>66</v>
      </c>
      <c r="H246" s="118">
        <f t="shared" si="13"/>
        <v>4</v>
      </c>
      <c r="I246" s="117">
        <f>IF([3]项目总工作量!B$6="交易类",H246*1.5/22,IF([3]项目总工作量!B$6="数据分析类",H246*1.5*0.9/22,IF([3]项目总工作量!B$6="流程管理类",H246*1.5*0.8/22,IF([3]项目总工作量!B$6="渠道类",H246*1.5*0.7/22,FALSE))))</f>
        <v>0.27272727272727271</v>
      </c>
      <c r="J246" s="117" t="s">
        <v>44</v>
      </c>
    </row>
    <row r="247" spans="1:10" s="119" customFormat="1" ht="14" x14ac:dyDescent="0.15">
      <c r="A247" s="122"/>
      <c r="B247" s="121"/>
      <c r="C247" s="121"/>
      <c r="D247" s="114">
        <f t="shared" si="12"/>
        <v>0.27272727272727271</v>
      </c>
      <c r="E247" s="115"/>
      <c r="F247" s="52" t="s">
        <v>369</v>
      </c>
      <c r="G247" s="117" t="s">
        <v>66</v>
      </c>
      <c r="H247" s="118">
        <f t="shared" si="13"/>
        <v>4</v>
      </c>
      <c r="I247" s="117">
        <f>IF([3]项目总工作量!B$6="交易类",H247*1.5/22,IF([3]项目总工作量!B$6="数据分析类",H247*1.5*0.9/22,IF([3]项目总工作量!B$6="流程管理类",H247*1.5*0.8/22,IF([3]项目总工作量!B$6="渠道类",H247*1.5*0.7/22,FALSE))))</f>
        <v>0.27272727272727271</v>
      </c>
      <c r="J247" s="117" t="s">
        <v>44</v>
      </c>
    </row>
    <row r="248" spans="1:10" s="119" customFormat="1" ht="14" x14ac:dyDescent="0.15">
      <c r="A248" s="122"/>
      <c r="B248" s="121"/>
      <c r="C248" s="121"/>
      <c r="D248" s="114">
        <f t="shared" si="12"/>
        <v>0.27272727272727271</v>
      </c>
      <c r="E248" s="115"/>
      <c r="F248" s="52" t="s">
        <v>368</v>
      </c>
      <c r="G248" s="117" t="s">
        <v>66</v>
      </c>
      <c r="H248" s="118">
        <f t="shared" si="13"/>
        <v>4</v>
      </c>
      <c r="I248" s="117">
        <f>IF([3]项目总工作量!B$6="交易类",H248*1.5/22,IF([3]项目总工作量!B$6="数据分析类",H248*1.5*0.9/22,IF([3]项目总工作量!B$6="流程管理类",H248*1.5*0.8/22,IF([3]项目总工作量!B$6="渠道类",H248*1.5*0.7/22,FALSE))))</f>
        <v>0.27272727272727271</v>
      </c>
      <c r="J248" s="117" t="s">
        <v>44</v>
      </c>
    </row>
    <row r="249" spans="1:10" s="119" customFormat="1" ht="14" x14ac:dyDescent="0.15">
      <c r="A249" s="122"/>
      <c r="B249" s="121"/>
      <c r="C249" s="121"/>
      <c r="D249" s="114">
        <f t="shared" si="12"/>
        <v>0.27272727272727271</v>
      </c>
      <c r="E249" s="115"/>
      <c r="F249" s="52" t="s">
        <v>367</v>
      </c>
      <c r="G249" s="117" t="s">
        <v>66</v>
      </c>
      <c r="H249" s="118">
        <f t="shared" si="13"/>
        <v>4</v>
      </c>
      <c r="I249" s="117">
        <f>IF([3]项目总工作量!B$6="交易类",H249*1.5/22,IF([3]项目总工作量!B$6="数据分析类",H249*1.5*0.9/22,IF([3]项目总工作量!B$6="流程管理类",H249*1.5*0.8/22,IF([3]项目总工作量!B$6="渠道类",H249*1.5*0.7/22,FALSE))))</f>
        <v>0.27272727272727271</v>
      </c>
      <c r="J249" s="117" t="s">
        <v>44</v>
      </c>
    </row>
    <row r="250" spans="1:10" s="119" customFormat="1" ht="14" x14ac:dyDescent="0.15">
      <c r="A250" s="122"/>
      <c r="B250" s="121"/>
      <c r="C250" s="121"/>
      <c r="D250" s="114">
        <f t="shared" si="12"/>
        <v>0.27272727272727271</v>
      </c>
      <c r="E250" s="115"/>
      <c r="F250" s="52" t="s">
        <v>366</v>
      </c>
      <c r="G250" s="117" t="s">
        <v>66</v>
      </c>
      <c r="H250" s="118">
        <f t="shared" si="13"/>
        <v>4</v>
      </c>
      <c r="I250" s="117">
        <f>IF([3]项目总工作量!B$6="交易类",H250*1.5/22,IF([3]项目总工作量!B$6="数据分析类",H250*1.5*0.9/22,IF([3]项目总工作量!B$6="流程管理类",H250*1.5*0.8/22,IF([3]项目总工作量!B$6="渠道类",H250*1.5*0.7/22,FALSE))))</f>
        <v>0.27272727272727271</v>
      </c>
      <c r="J250" s="117" t="s">
        <v>44</v>
      </c>
    </row>
    <row r="251" spans="1:10" s="119" customFormat="1" ht="14" x14ac:dyDescent="0.15">
      <c r="A251" s="122"/>
      <c r="B251" s="121"/>
      <c r="C251" s="121"/>
      <c r="D251" s="114">
        <f t="shared" si="12"/>
        <v>0.27272727272727271</v>
      </c>
      <c r="E251" s="115"/>
      <c r="F251" s="52" t="s">
        <v>365</v>
      </c>
      <c r="G251" s="117" t="s">
        <v>66</v>
      </c>
      <c r="H251" s="118">
        <f t="shared" si="13"/>
        <v>4</v>
      </c>
      <c r="I251" s="117">
        <f>IF([3]项目总工作量!B$6="交易类",H251*1.5/22,IF([3]项目总工作量!B$6="数据分析类",H251*1.5*0.9/22,IF([3]项目总工作量!B$6="流程管理类",H251*1.5*0.8/22,IF([3]项目总工作量!B$6="渠道类",H251*1.5*0.7/22,FALSE))))</f>
        <v>0.27272727272727271</v>
      </c>
      <c r="J251" s="117" t="s">
        <v>44</v>
      </c>
    </row>
    <row r="252" spans="1:10" s="119" customFormat="1" ht="14" x14ac:dyDescent="0.15">
      <c r="A252" s="122"/>
      <c r="B252" s="121"/>
      <c r="C252" s="121"/>
      <c r="D252" s="114">
        <f t="shared" si="12"/>
        <v>0.27272727272727271</v>
      </c>
      <c r="E252" s="115"/>
      <c r="F252" s="52" t="s">
        <v>364</v>
      </c>
      <c r="G252" s="117" t="s">
        <v>66</v>
      </c>
      <c r="H252" s="118">
        <f t="shared" si="13"/>
        <v>4</v>
      </c>
      <c r="I252" s="117">
        <f>IF([3]项目总工作量!B$6="交易类",H252*1.5/22,IF([3]项目总工作量!B$6="数据分析类",H252*1.5*0.9/22,IF([3]项目总工作量!B$6="流程管理类",H252*1.5*0.8/22,IF([3]项目总工作量!B$6="渠道类",H252*1.5*0.7/22,FALSE))))</f>
        <v>0.27272727272727271</v>
      </c>
      <c r="J252" s="117" t="s">
        <v>44</v>
      </c>
    </row>
    <row r="253" spans="1:10" s="119" customFormat="1" ht="14" x14ac:dyDescent="0.15">
      <c r="A253" s="122"/>
      <c r="B253" s="121"/>
      <c r="C253" s="121"/>
      <c r="D253" s="114">
        <f t="shared" si="12"/>
        <v>0.27272727272727271</v>
      </c>
      <c r="E253" s="115"/>
      <c r="F253" s="52" t="s">
        <v>363</v>
      </c>
      <c r="G253" s="117" t="s">
        <v>66</v>
      </c>
      <c r="H253" s="118">
        <f t="shared" si="13"/>
        <v>4</v>
      </c>
      <c r="I253" s="117">
        <f>IF([3]项目总工作量!B$6="交易类",H253*1.5/22,IF([3]项目总工作量!B$6="数据分析类",H253*1.5*0.9/22,IF([3]项目总工作量!B$6="流程管理类",H253*1.5*0.8/22,IF([3]项目总工作量!B$6="渠道类",H253*1.5*0.7/22,FALSE))))</f>
        <v>0.27272727272727271</v>
      </c>
      <c r="J253" s="117" t="s">
        <v>44</v>
      </c>
    </row>
    <row r="254" spans="1:10" s="119" customFormat="1" ht="14" x14ac:dyDescent="0.15">
      <c r="A254" s="122"/>
      <c r="B254" s="121"/>
      <c r="C254" s="121"/>
      <c r="D254" s="114">
        <f t="shared" si="12"/>
        <v>0.27272727272727271</v>
      </c>
      <c r="E254" s="115"/>
      <c r="F254" s="52" t="s">
        <v>362</v>
      </c>
      <c r="G254" s="117" t="s">
        <v>66</v>
      </c>
      <c r="H254" s="118">
        <f t="shared" si="13"/>
        <v>4</v>
      </c>
      <c r="I254" s="117">
        <f>IF([3]项目总工作量!B$6="交易类",H254*1.5/22,IF([3]项目总工作量!B$6="数据分析类",H254*1.5*0.9/22,IF([3]项目总工作量!B$6="流程管理类",H254*1.5*0.8/22,IF([3]项目总工作量!B$6="渠道类",H254*1.5*0.7/22,FALSE))))</f>
        <v>0.27272727272727271</v>
      </c>
      <c r="J254" s="117" t="s">
        <v>44</v>
      </c>
    </row>
    <row r="255" spans="1:10" s="119" customFormat="1" ht="14" x14ac:dyDescent="0.15">
      <c r="A255" s="122"/>
      <c r="B255" s="121"/>
      <c r="C255" s="121"/>
      <c r="D255" s="114">
        <f t="shared" si="12"/>
        <v>0.27272727272727271</v>
      </c>
      <c r="E255" s="115"/>
      <c r="F255" s="52" t="s">
        <v>361</v>
      </c>
      <c r="G255" s="117" t="s">
        <v>66</v>
      </c>
      <c r="H255" s="118">
        <f t="shared" si="13"/>
        <v>4</v>
      </c>
      <c r="I255" s="117">
        <f>IF([3]项目总工作量!B$6="交易类",H255*1.5/22,IF([3]项目总工作量!B$6="数据分析类",H255*1.5*0.9/22,IF([3]项目总工作量!B$6="流程管理类",H255*1.5*0.8/22,IF([3]项目总工作量!B$6="渠道类",H255*1.5*0.7/22,FALSE))))</f>
        <v>0.27272727272727271</v>
      </c>
      <c r="J255" s="117" t="s">
        <v>44</v>
      </c>
    </row>
    <row r="256" spans="1:10" s="119" customFormat="1" ht="14" x14ac:dyDescent="0.15">
      <c r="A256" s="122"/>
      <c r="B256" s="121"/>
      <c r="C256" s="121"/>
      <c r="D256" s="114">
        <f t="shared" si="12"/>
        <v>0.27272727272727271</v>
      </c>
      <c r="E256" s="115"/>
      <c r="F256" s="52" t="s">
        <v>360</v>
      </c>
      <c r="G256" s="117" t="s">
        <v>66</v>
      </c>
      <c r="H256" s="118">
        <f t="shared" si="13"/>
        <v>4</v>
      </c>
      <c r="I256" s="117">
        <f>IF([3]项目总工作量!B$6="交易类",H256*1.5/22,IF([3]项目总工作量!B$6="数据分析类",H256*1.5*0.9/22,IF([3]项目总工作量!B$6="流程管理类",H256*1.5*0.8/22,IF([3]项目总工作量!B$6="渠道类",H256*1.5*0.7/22,FALSE))))</f>
        <v>0.27272727272727271</v>
      </c>
      <c r="J256" s="117" t="s">
        <v>44</v>
      </c>
    </row>
    <row r="257" spans="1:10" s="119" customFormat="1" ht="14" x14ac:dyDescent="0.15">
      <c r="A257" s="122"/>
      <c r="B257" s="121"/>
      <c r="C257" s="121"/>
      <c r="D257" s="114">
        <f t="shared" si="12"/>
        <v>0.27272727272727271</v>
      </c>
      <c r="E257" s="115"/>
      <c r="F257" s="52" t="s">
        <v>359</v>
      </c>
      <c r="G257" s="117" t="s">
        <v>66</v>
      </c>
      <c r="H257" s="118">
        <f t="shared" si="13"/>
        <v>4</v>
      </c>
      <c r="I257" s="117">
        <f>IF([3]项目总工作量!B$6="交易类",H257*1.5/22,IF([3]项目总工作量!B$6="数据分析类",H257*1.5*0.9/22,IF([3]项目总工作量!B$6="流程管理类",H257*1.5*0.8/22,IF([3]项目总工作量!B$6="渠道类",H257*1.5*0.7/22,FALSE))))</f>
        <v>0.27272727272727271</v>
      </c>
      <c r="J257" s="117" t="s">
        <v>44</v>
      </c>
    </row>
    <row r="258" spans="1:10" s="119" customFormat="1" ht="14" x14ac:dyDescent="0.15">
      <c r="A258" s="122"/>
      <c r="B258" s="121"/>
      <c r="C258" s="121"/>
      <c r="D258" s="114">
        <f t="shared" si="12"/>
        <v>0.27272727272727271</v>
      </c>
      <c r="E258" s="115"/>
      <c r="F258" s="52" t="s">
        <v>358</v>
      </c>
      <c r="G258" s="117" t="s">
        <v>66</v>
      </c>
      <c r="H258" s="118">
        <f t="shared" si="13"/>
        <v>4</v>
      </c>
      <c r="I258" s="117">
        <f>IF([3]项目总工作量!B$6="交易类",H258*1.5/22,IF([3]项目总工作量!B$6="数据分析类",H258*1.5*0.9/22,IF([3]项目总工作量!B$6="流程管理类",H258*1.5*0.8/22,IF([3]项目总工作量!B$6="渠道类",H258*1.5*0.7/22,FALSE))))</f>
        <v>0.27272727272727271</v>
      </c>
      <c r="J258" s="117" t="s">
        <v>44</v>
      </c>
    </row>
    <row r="259" spans="1:10" s="119" customFormat="1" ht="14" x14ac:dyDescent="0.15">
      <c r="A259" s="122"/>
      <c r="B259" s="121"/>
      <c r="C259" s="121"/>
      <c r="D259" s="114">
        <f t="shared" si="12"/>
        <v>0.27272727272727271</v>
      </c>
      <c r="E259" s="115"/>
      <c r="F259" s="52" t="s">
        <v>357</v>
      </c>
      <c r="G259" s="117" t="s">
        <v>66</v>
      </c>
      <c r="H259" s="118">
        <f t="shared" si="13"/>
        <v>4</v>
      </c>
      <c r="I259" s="117">
        <f>IF([3]项目总工作量!B$6="交易类",H259*1.5/22,IF([3]项目总工作量!B$6="数据分析类",H259*1.5*0.9/22,IF([3]项目总工作量!B$6="流程管理类",H259*1.5*0.8/22,IF([3]项目总工作量!B$6="渠道类",H259*1.5*0.7/22,FALSE))))</f>
        <v>0.27272727272727271</v>
      </c>
      <c r="J259" s="117" t="s">
        <v>44</v>
      </c>
    </row>
    <row r="260" spans="1:10" s="119" customFormat="1" ht="14" x14ac:dyDescent="0.15">
      <c r="A260" s="122"/>
      <c r="B260" s="121"/>
      <c r="C260" s="121"/>
      <c r="D260" s="114">
        <f t="shared" si="12"/>
        <v>0.27272727272727271</v>
      </c>
      <c r="E260" s="115"/>
      <c r="F260" s="52" t="s">
        <v>356</v>
      </c>
      <c r="G260" s="117" t="s">
        <v>66</v>
      </c>
      <c r="H260" s="118">
        <f t="shared" si="13"/>
        <v>4</v>
      </c>
      <c r="I260" s="117">
        <f>IF([3]项目总工作量!B$6="交易类",H260*1.5/22,IF([3]项目总工作量!B$6="数据分析类",H260*1.5*0.9/22,IF([3]项目总工作量!B$6="流程管理类",H260*1.5*0.8/22,IF([3]项目总工作量!B$6="渠道类",H260*1.5*0.7/22,FALSE))))</f>
        <v>0.27272727272727271</v>
      </c>
      <c r="J260" s="117" t="s">
        <v>44</v>
      </c>
    </row>
    <row r="261" spans="1:10" s="119" customFormat="1" ht="14" x14ac:dyDescent="0.15">
      <c r="A261" s="122"/>
      <c r="B261" s="121"/>
      <c r="C261" s="121"/>
      <c r="D261" s="114">
        <f t="shared" si="12"/>
        <v>0.27272727272727271</v>
      </c>
      <c r="E261" s="115"/>
      <c r="F261" s="52" t="s">
        <v>355</v>
      </c>
      <c r="G261" s="117" t="s">
        <v>66</v>
      </c>
      <c r="H261" s="118">
        <f t="shared" si="13"/>
        <v>4</v>
      </c>
      <c r="I261" s="117">
        <f>IF([3]项目总工作量!B$6="交易类",H261*1.5/22,IF([3]项目总工作量!B$6="数据分析类",H261*1.5*0.9/22,IF([3]项目总工作量!B$6="流程管理类",H261*1.5*0.8/22,IF([3]项目总工作量!B$6="渠道类",H261*1.5*0.7/22,FALSE))))</f>
        <v>0.27272727272727271</v>
      </c>
      <c r="J261" s="117" t="s">
        <v>44</v>
      </c>
    </row>
    <row r="262" spans="1:10" s="119" customFormat="1" ht="14" x14ac:dyDescent="0.15">
      <c r="A262" s="122"/>
      <c r="B262" s="121"/>
      <c r="C262" s="121"/>
      <c r="D262" s="114">
        <f t="shared" si="12"/>
        <v>0.27272727272727271</v>
      </c>
      <c r="E262" s="115"/>
      <c r="F262" s="52" t="s">
        <v>354</v>
      </c>
      <c r="G262" s="117" t="s">
        <v>66</v>
      </c>
      <c r="H262" s="118">
        <f t="shared" si="13"/>
        <v>4</v>
      </c>
      <c r="I262" s="117">
        <f>IF([3]项目总工作量!B$6="交易类",H262*1.5/22,IF([3]项目总工作量!B$6="数据分析类",H262*1.5*0.9/22,IF([3]项目总工作量!B$6="流程管理类",H262*1.5*0.8/22,IF([3]项目总工作量!B$6="渠道类",H262*1.5*0.7/22,FALSE))))</f>
        <v>0.27272727272727271</v>
      </c>
      <c r="J262" s="117" t="s">
        <v>44</v>
      </c>
    </row>
    <row r="263" spans="1:10" s="119" customFormat="1" ht="14" x14ac:dyDescent="0.15">
      <c r="A263" s="122"/>
      <c r="B263" s="121"/>
      <c r="C263" s="121"/>
      <c r="D263" s="114">
        <f t="shared" si="12"/>
        <v>0.27272727272727271</v>
      </c>
      <c r="E263" s="115"/>
      <c r="F263" s="52" t="s">
        <v>353</v>
      </c>
      <c r="G263" s="117" t="s">
        <v>66</v>
      </c>
      <c r="H263" s="118">
        <f t="shared" si="13"/>
        <v>4</v>
      </c>
      <c r="I263" s="117">
        <f>IF([3]项目总工作量!B$6="交易类",H263*1.5/22,IF([3]项目总工作量!B$6="数据分析类",H263*1.5*0.9/22,IF([3]项目总工作量!B$6="流程管理类",H263*1.5*0.8/22,IF([3]项目总工作量!B$6="渠道类",H263*1.5*0.7/22,FALSE))))</f>
        <v>0.27272727272727271</v>
      </c>
      <c r="J263" s="117" t="s">
        <v>44</v>
      </c>
    </row>
    <row r="264" spans="1:10" s="119" customFormat="1" ht="14" x14ac:dyDescent="0.15">
      <c r="A264" s="122"/>
      <c r="B264" s="121"/>
      <c r="C264" s="121"/>
      <c r="D264" s="114">
        <f t="shared" si="12"/>
        <v>0.27272727272727271</v>
      </c>
      <c r="E264" s="115"/>
      <c r="F264" s="52" t="s">
        <v>352</v>
      </c>
      <c r="G264" s="117" t="s">
        <v>66</v>
      </c>
      <c r="H264" s="118">
        <f t="shared" si="13"/>
        <v>4</v>
      </c>
      <c r="I264" s="117">
        <f>IF([3]项目总工作量!B$6="交易类",H264*1.5/22,IF([3]项目总工作量!B$6="数据分析类",H264*1.5*0.9/22,IF([3]项目总工作量!B$6="流程管理类",H264*1.5*0.8/22,IF([3]项目总工作量!B$6="渠道类",H264*1.5*0.7/22,FALSE))))</f>
        <v>0.27272727272727271</v>
      </c>
      <c r="J264" s="117" t="s">
        <v>44</v>
      </c>
    </row>
    <row r="265" spans="1:10" s="119" customFormat="1" ht="14" x14ac:dyDescent="0.15">
      <c r="A265" s="122"/>
      <c r="B265" s="121"/>
      <c r="C265" s="121"/>
      <c r="D265" s="114">
        <f t="shared" si="12"/>
        <v>0.27272727272727271</v>
      </c>
      <c r="E265" s="115"/>
      <c r="F265" s="52" t="s">
        <v>351</v>
      </c>
      <c r="G265" s="117" t="s">
        <v>66</v>
      </c>
      <c r="H265" s="118">
        <f t="shared" si="13"/>
        <v>4</v>
      </c>
      <c r="I265" s="117">
        <f>IF([3]项目总工作量!B$6="交易类",H265*1.5/22,IF([3]项目总工作量!B$6="数据分析类",H265*1.5*0.9/22,IF([3]项目总工作量!B$6="流程管理类",H265*1.5*0.8/22,IF([3]项目总工作量!B$6="渠道类",H265*1.5*0.7/22,FALSE))))</f>
        <v>0.27272727272727271</v>
      </c>
      <c r="J265" s="117" t="s">
        <v>44</v>
      </c>
    </row>
    <row r="266" spans="1:10" s="119" customFormat="1" ht="14" x14ac:dyDescent="0.15">
      <c r="A266" s="122"/>
      <c r="B266" s="121"/>
      <c r="C266" s="121"/>
      <c r="D266" s="114">
        <f t="shared" si="12"/>
        <v>0.27272727272727271</v>
      </c>
      <c r="E266" s="115"/>
      <c r="F266" s="52" t="s">
        <v>350</v>
      </c>
      <c r="G266" s="117" t="s">
        <v>66</v>
      </c>
      <c r="H266" s="118">
        <f t="shared" si="13"/>
        <v>4</v>
      </c>
      <c r="I266" s="117">
        <f>IF([3]项目总工作量!B$6="交易类",H266*1.5/22,IF([3]项目总工作量!B$6="数据分析类",H266*1.5*0.9/22,IF([3]项目总工作量!B$6="流程管理类",H266*1.5*0.8/22,IF([3]项目总工作量!B$6="渠道类",H266*1.5*0.7/22,FALSE))))</f>
        <v>0.27272727272727271</v>
      </c>
      <c r="J266" s="117" t="s">
        <v>44</v>
      </c>
    </row>
    <row r="267" spans="1:10" s="119" customFormat="1" ht="14" x14ac:dyDescent="0.15">
      <c r="A267" s="122"/>
      <c r="B267" s="121"/>
      <c r="C267" s="121"/>
      <c r="D267" s="114">
        <f t="shared" si="12"/>
        <v>0.27272727272727271</v>
      </c>
      <c r="E267" s="115"/>
      <c r="F267" s="52" t="s">
        <v>349</v>
      </c>
      <c r="G267" s="117" t="s">
        <v>66</v>
      </c>
      <c r="H267" s="118">
        <f t="shared" si="13"/>
        <v>4</v>
      </c>
      <c r="I267" s="117">
        <f>IF([3]项目总工作量!B$6="交易类",H267*1.5/22,IF([3]项目总工作量!B$6="数据分析类",H267*1.5*0.9/22,IF([3]项目总工作量!B$6="流程管理类",H267*1.5*0.8/22,IF([3]项目总工作量!B$6="渠道类",H267*1.5*0.7/22,FALSE))))</f>
        <v>0.27272727272727271</v>
      </c>
      <c r="J267" s="117" t="s">
        <v>44</v>
      </c>
    </row>
    <row r="268" spans="1:10" s="119" customFormat="1" ht="14" x14ac:dyDescent="0.15">
      <c r="A268" s="122"/>
      <c r="B268" s="121"/>
      <c r="C268" s="121"/>
      <c r="D268" s="114">
        <f t="shared" si="12"/>
        <v>0.27272727272727271</v>
      </c>
      <c r="E268" s="115"/>
      <c r="F268" s="52" t="s">
        <v>348</v>
      </c>
      <c r="G268" s="117" t="s">
        <v>66</v>
      </c>
      <c r="H268" s="118">
        <f t="shared" si="13"/>
        <v>4</v>
      </c>
      <c r="I268" s="117">
        <f>IF([3]项目总工作量!B$6="交易类",H268*1.5/22,IF([3]项目总工作量!B$6="数据分析类",H268*1.5*0.9/22,IF([3]项目总工作量!B$6="流程管理类",H268*1.5*0.8/22,IF([3]项目总工作量!B$6="渠道类",H268*1.5*0.7/22,FALSE))))</f>
        <v>0.27272727272727271</v>
      </c>
      <c r="J268" s="117" t="s">
        <v>44</v>
      </c>
    </row>
    <row r="269" spans="1:10" s="126" customFormat="1" ht="14" x14ac:dyDescent="0.15">
      <c r="A269" s="122"/>
      <c r="B269" s="121"/>
      <c r="C269" s="121"/>
      <c r="D269" s="114">
        <f t="shared" si="12"/>
        <v>0.27272727272727271</v>
      </c>
      <c r="E269" s="125"/>
      <c r="F269" s="52" t="s">
        <v>347</v>
      </c>
      <c r="G269" s="117" t="s">
        <v>66</v>
      </c>
      <c r="H269" s="118">
        <f t="shared" si="13"/>
        <v>4</v>
      </c>
      <c r="I269" s="117">
        <f>IF([3]项目总工作量!B$6="交易类",H269*1.5/22,IF([3]项目总工作量!B$6="数据分析类",H269*1.5*0.9/22,IF([3]项目总工作量!B$6="流程管理类",H269*1.5*0.8/22,IF([3]项目总工作量!B$6="渠道类",H269*1.5*0.7/22,FALSE))))</f>
        <v>0.27272727272727271</v>
      </c>
      <c r="J269" s="117" t="s">
        <v>44</v>
      </c>
    </row>
    <row r="270" spans="1:10" s="119" customFormat="1" ht="14" x14ac:dyDescent="0.15">
      <c r="A270" s="122"/>
      <c r="B270" s="121"/>
      <c r="C270" s="121"/>
      <c r="D270" s="114">
        <f t="shared" si="12"/>
        <v>0.27272727272727271</v>
      </c>
      <c r="E270" s="115"/>
      <c r="F270" s="52" t="s">
        <v>346</v>
      </c>
      <c r="G270" s="117" t="s">
        <v>66</v>
      </c>
      <c r="H270" s="118">
        <f t="shared" si="13"/>
        <v>4</v>
      </c>
      <c r="I270" s="117">
        <f>IF([3]项目总工作量!B$6="交易类",H270*1.5/22,IF([3]项目总工作量!B$6="数据分析类",H270*1.5*0.9/22,IF([3]项目总工作量!B$6="流程管理类",H270*1.5*0.8/22,IF([3]项目总工作量!B$6="渠道类",H270*1.5*0.7/22,FALSE))))</f>
        <v>0.27272727272727271</v>
      </c>
      <c r="J270" s="117" t="s">
        <v>44</v>
      </c>
    </row>
    <row r="271" spans="1:10" s="119" customFormat="1" ht="14" x14ac:dyDescent="0.15">
      <c r="A271" s="122"/>
      <c r="B271" s="121"/>
      <c r="C271" s="121"/>
      <c r="D271" s="114">
        <f t="shared" si="12"/>
        <v>0.27272727272727271</v>
      </c>
      <c r="E271" s="115"/>
      <c r="F271" s="52" t="s">
        <v>345</v>
      </c>
      <c r="G271" s="117" t="s">
        <v>66</v>
      </c>
      <c r="H271" s="118">
        <f t="shared" si="13"/>
        <v>4</v>
      </c>
      <c r="I271" s="117">
        <f>IF([3]项目总工作量!B$6="交易类",H271*1.5/22,IF([3]项目总工作量!B$6="数据分析类",H271*1.5*0.9/22,IF([3]项目总工作量!B$6="流程管理类",H271*1.5*0.8/22,IF([3]项目总工作量!B$6="渠道类",H271*1.5*0.7/22,FALSE))))</f>
        <v>0.27272727272727271</v>
      </c>
      <c r="J271" s="117" t="s">
        <v>44</v>
      </c>
    </row>
    <row r="272" spans="1:10" s="119" customFormat="1" ht="14" x14ac:dyDescent="0.15">
      <c r="A272" s="122"/>
      <c r="B272" s="121"/>
      <c r="C272" s="121"/>
      <c r="D272" s="114">
        <f t="shared" si="12"/>
        <v>0.27272727272727271</v>
      </c>
      <c r="E272" s="115"/>
      <c r="F272" s="52" t="s">
        <v>344</v>
      </c>
      <c r="G272" s="117" t="s">
        <v>66</v>
      </c>
      <c r="H272" s="118">
        <f t="shared" ref="H272:H303" si="14">IF(G272="EI",4,IF(G272="EO",5,IF(G272="EQ",4,0)))</f>
        <v>4</v>
      </c>
      <c r="I272" s="117">
        <f>IF([3]项目总工作量!B$6="交易类",H272*1.5/22,IF([3]项目总工作量!B$6="数据分析类",H272*1.5*0.9/22,IF([3]项目总工作量!B$6="流程管理类",H272*1.5*0.8/22,IF([3]项目总工作量!B$6="渠道类",H272*1.5*0.7/22,FALSE))))</f>
        <v>0.27272727272727271</v>
      </c>
      <c r="J272" s="117" t="s">
        <v>44</v>
      </c>
    </row>
    <row r="273" spans="1:10" s="119" customFormat="1" ht="14" x14ac:dyDescent="0.15">
      <c r="A273" s="122"/>
      <c r="B273" s="121"/>
      <c r="C273" s="121"/>
      <c r="D273" s="114">
        <f t="shared" si="12"/>
        <v>0.27272727272727271</v>
      </c>
      <c r="E273" s="115"/>
      <c r="F273" s="52" t="s">
        <v>343</v>
      </c>
      <c r="G273" s="117" t="s">
        <v>66</v>
      </c>
      <c r="H273" s="118">
        <f t="shared" si="14"/>
        <v>4</v>
      </c>
      <c r="I273" s="117">
        <f>IF([3]项目总工作量!B$6="交易类",H273*1.5/22,IF([3]项目总工作量!B$6="数据分析类",H273*1.5*0.9/22,IF([3]项目总工作量!B$6="流程管理类",H273*1.5*0.8/22,IF([3]项目总工作量!B$6="渠道类",H273*1.5*0.7/22,FALSE))))</f>
        <v>0.27272727272727271</v>
      </c>
      <c r="J273" s="117" t="s">
        <v>44</v>
      </c>
    </row>
    <row r="274" spans="1:10" s="119" customFormat="1" ht="14" x14ac:dyDescent="0.15">
      <c r="A274" s="122"/>
      <c r="B274" s="121"/>
      <c r="C274" s="121"/>
      <c r="D274" s="114">
        <f t="shared" si="12"/>
        <v>0.27272727272727271</v>
      </c>
      <c r="E274" s="115"/>
      <c r="F274" s="52" t="s">
        <v>342</v>
      </c>
      <c r="G274" s="117" t="s">
        <v>66</v>
      </c>
      <c r="H274" s="118">
        <f t="shared" si="14"/>
        <v>4</v>
      </c>
      <c r="I274" s="117">
        <f>IF([3]项目总工作量!B$6="交易类",H274*1.5/22,IF([3]项目总工作量!B$6="数据分析类",H274*1.5*0.9/22,IF([3]项目总工作量!B$6="流程管理类",H274*1.5*0.8/22,IF([3]项目总工作量!B$6="渠道类",H274*1.5*0.7/22,FALSE))))</f>
        <v>0.27272727272727271</v>
      </c>
      <c r="J274" s="117" t="s">
        <v>44</v>
      </c>
    </row>
    <row r="275" spans="1:10" s="119" customFormat="1" ht="14" x14ac:dyDescent="0.15">
      <c r="A275" s="122"/>
      <c r="B275" s="121"/>
      <c r="C275" s="121"/>
      <c r="D275" s="114">
        <f t="shared" si="12"/>
        <v>0.27272727272727271</v>
      </c>
      <c r="E275" s="115"/>
      <c r="F275" s="52" t="s">
        <v>341</v>
      </c>
      <c r="G275" s="117" t="s">
        <v>66</v>
      </c>
      <c r="H275" s="118">
        <f t="shared" si="14"/>
        <v>4</v>
      </c>
      <c r="I275" s="117">
        <f>IF([3]项目总工作量!B$6="交易类",H275*1.5/22,IF([3]项目总工作量!B$6="数据分析类",H275*1.5*0.9/22,IF([3]项目总工作量!B$6="流程管理类",H275*1.5*0.8/22,IF([3]项目总工作量!B$6="渠道类",H275*1.5*0.7/22,FALSE))))</f>
        <v>0.27272727272727271</v>
      </c>
      <c r="J275" s="117" t="s">
        <v>44</v>
      </c>
    </row>
    <row r="276" spans="1:10" s="119" customFormat="1" ht="14" x14ac:dyDescent="0.15">
      <c r="A276" s="122"/>
      <c r="B276" s="121"/>
      <c r="C276" s="121"/>
      <c r="D276" s="114">
        <f t="shared" si="12"/>
        <v>0.27272727272727271</v>
      </c>
      <c r="E276" s="115"/>
      <c r="F276" s="52" t="s">
        <v>340</v>
      </c>
      <c r="G276" s="117" t="s">
        <v>66</v>
      </c>
      <c r="H276" s="118">
        <f t="shared" si="14"/>
        <v>4</v>
      </c>
      <c r="I276" s="117">
        <f>IF([3]项目总工作量!B$6="交易类",H276*1.5/22,IF([3]项目总工作量!B$6="数据分析类",H276*1.5*0.9/22,IF([3]项目总工作量!B$6="流程管理类",H276*1.5*0.8/22,IF([3]项目总工作量!B$6="渠道类",H276*1.5*0.7/22,FALSE))))</f>
        <v>0.27272727272727271</v>
      </c>
      <c r="J276" s="117" t="s">
        <v>44</v>
      </c>
    </row>
    <row r="277" spans="1:10" s="119" customFormat="1" ht="14" x14ac:dyDescent="0.15">
      <c r="A277" s="122"/>
      <c r="B277" s="121"/>
      <c r="C277" s="121"/>
      <c r="D277" s="114">
        <f t="shared" si="12"/>
        <v>0.27272727272727271</v>
      </c>
      <c r="E277" s="115"/>
      <c r="F277" s="52" t="s">
        <v>339</v>
      </c>
      <c r="G277" s="117" t="s">
        <v>66</v>
      </c>
      <c r="H277" s="118">
        <f t="shared" si="14"/>
        <v>4</v>
      </c>
      <c r="I277" s="117">
        <f>IF([3]项目总工作量!B$6="交易类",H277*1.5/22,IF([3]项目总工作量!B$6="数据分析类",H277*1.5*0.9/22,IF([3]项目总工作量!B$6="流程管理类",H277*1.5*0.8/22,IF([3]项目总工作量!B$6="渠道类",H277*1.5*0.7/22,FALSE))))</f>
        <v>0.27272727272727271</v>
      </c>
      <c r="J277" s="117" t="s">
        <v>44</v>
      </c>
    </row>
    <row r="278" spans="1:10" s="119" customFormat="1" ht="14" x14ac:dyDescent="0.15">
      <c r="A278" s="122"/>
      <c r="B278" s="121"/>
      <c r="C278" s="121"/>
      <c r="D278" s="114">
        <f t="shared" si="12"/>
        <v>0.27272727272727271</v>
      </c>
      <c r="E278" s="115"/>
      <c r="F278" s="52" t="s">
        <v>338</v>
      </c>
      <c r="G278" s="117" t="s">
        <v>66</v>
      </c>
      <c r="H278" s="118">
        <f t="shared" si="14"/>
        <v>4</v>
      </c>
      <c r="I278" s="117">
        <f>IF([3]项目总工作量!B$6="交易类",H278*1.5/22,IF([3]项目总工作量!B$6="数据分析类",H278*1.5*0.9/22,IF([3]项目总工作量!B$6="流程管理类",H278*1.5*0.8/22,IF([3]项目总工作量!B$6="渠道类",H278*1.5*0.7/22,FALSE))))</f>
        <v>0.27272727272727271</v>
      </c>
      <c r="J278" s="117" t="s">
        <v>44</v>
      </c>
    </row>
    <row r="279" spans="1:10" s="119" customFormat="1" ht="14" x14ac:dyDescent="0.15">
      <c r="A279" s="122"/>
      <c r="B279" s="121"/>
      <c r="C279" s="121"/>
      <c r="D279" s="114">
        <f t="shared" si="12"/>
        <v>0.27272727272727271</v>
      </c>
      <c r="E279" s="115"/>
      <c r="F279" s="52" t="s">
        <v>337</v>
      </c>
      <c r="G279" s="117" t="s">
        <v>66</v>
      </c>
      <c r="H279" s="118">
        <f t="shared" si="14"/>
        <v>4</v>
      </c>
      <c r="I279" s="117">
        <f>IF([3]项目总工作量!B$6="交易类",H279*1.5/22,IF([3]项目总工作量!B$6="数据分析类",H279*1.5*0.9/22,IF([3]项目总工作量!B$6="流程管理类",H279*1.5*0.8/22,IF([3]项目总工作量!B$6="渠道类",H279*1.5*0.7/22,FALSE))))</f>
        <v>0.27272727272727271</v>
      </c>
      <c r="J279" s="117" t="s">
        <v>44</v>
      </c>
    </row>
    <row r="280" spans="1:10" s="119" customFormat="1" ht="14" x14ac:dyDescent="0.15">
      <c r="A280" s="122"/>
      <c r="B280" s="121"/>
      <c r="C280" s="121"/>
      <c r="D280" s="114">
        <f t="shared" si="12"/>
        <v>0.27272727272727271</v>
      </c>
      <c r="E280" s="115"/>
      <c r="F280" s="52" t="s">
        <v>336</v>
      </c>
      <c r="G280" s="117" t="s">
        <v>66</v>
      </c>
      <c r="H280" s="118">
        <f t="shared" si="14"/>
        <v>4</v>
      </c>
      <c r="I280" s="117">
        <f>IF([3]项目总工作量!B$6="交易类",H280*1.5/22,IF([3]项目总工作量!B$6="数据分析类",H280*1.5*0.9/22,IF([3]项目总工作量!B$6="流程管理类",H280*1.5*0.8/22,IF([3]项目总工作量!B$6="渠道类",H280*1.5*0.7/22,FALSE))))</f>
        <v>0.27272727272727271</v>
      </c>
      <c r="J280" s="117" t="s">
        <v>44</v>
      </c>
    </row>
    <row r="281" spans="1:10" s="119" customFormat="1" ht="14" x14ac:dyDescent="0.15">
      <c r="A281" s="122"/>
      <c r="B281" s="121"/>
      <c r="C281" s="121"/>
      <c r="D281" s="114">
        <f t="shared" si="12"/>
        <v>0.27272727272727271</v>
      </c>
      <c r="E281" s="115"/>
      <c r="F281" s="52" t="s">
        <v>335</v>
      </c>
      <c r="G281" s="117" t="s">
        <v>66</v>
      </c>
      <c r="H281" s="118">
        <f t="shared" si="14"/>
        <v>4</v>
      </c>
      <c r="I281" s="117">
        <f>IF([3]项目总工作量!B$6="交易类",H281*1.5/22,IF([3]项目总工作量!B$6="数据分析类",H281*1.5*0.9/22,IF([3]项目总工作量!B$6="流程管理类",H281*1.5*0.8/22,IF([3]项目总工作量!B$6="渠道类",H281*1.5*0.7/22,FALSE))))</f>
        <v>0.27272727272727271</v>
      </c>
      <c r="J281" s="117" t="s">
        <v>44</v>
      </c>
    </row>
    <row r="282" spans="1:10" s="119" customFormat="1" ht="14" x14ac:dyDescent="0.15">
      <c r="A282" s="122"/>
      <c r="B282" s="121"/>
      <c r="C282" s="121"/>
      <c r="D282" s="114">
        <f t="shared" si="12"/>
        <v>0.27272727272727271</v>
      </c>
      <c r="E282" s="115"/>
      <c r="F282" s="52" t="s">
        <v>334</v>
      </c>
      <c r="G282" s="117" t="s">
        <v>66</v>
      </c>
      <c r="H282" s="118">
        <f t="shared" si="14"/>
        <v>4</v>
      </c>
      <c r="I282" s="117">
        <f>IF([3]项目总工作量!B$6="交易类",H282*1.5/22,IF([3]项目总工作量!B$6="数据分析类",H282*1.5*0.9/22,IF([3]项目总工作量!B$6="流程管理类",H282*1.5*0.8/22,IF([3]项目总工作量!B$6="渠道类",H282*1.5*0.7/22,FALSE))))</f>
        <v>0.27272727272727271</v>
      </c>
      <c r="J282" s="117" t="s">
        <v>44</v>
      </c>
    </row>
    <row r="283" spans="1:10" s="119" customFormat="1" ht="14" x14ac:dyDescent="0.15">
      <c r="A283" s="122"/>
      <c r="B283" s="121"/>
      <c r="C283" s="121"/>
      <c r="D283" s="114">
        <f t="shared" si="12"/>
        <v>0.27272727272727271</v>
      </c>
      <c r="E283" s="115"/>
      <c r="F283" s="52" t="s">
        <v>333</v>
      </c>
      <c r="G283" s="117" t="s">
        <v>66</v>
      </c>
      <c r="H283" s="118">
        <f t="shared" si="14"/>
        <v>4</v>
      </c>
      <c r="I283" s="117">
        <f>IF([3]项目总工作量!B$6="交易类",H283*1.5/22,IF([3]项目总工作量!B$6="数据分析类",H283*1.5*0.9/22,IF([3]项目总工作量!B$6="流程管理类",H283*1.5*0.8/22,IF([3]项目总工作量!B$6="渠道类",H283*1.5*0.7/22,FALSE))))</f>
        <v>0.27272727272727271</v>
      </c>
      <c r="J283" s="117" t="s">
        <v>44</v>
      </c>
    </row>
    <row r="284" spans="1:10" s="119" customFormat="1" ht="14" x14ac:dyDescent="0.15">
      <c r="A284" s="122"/>
      <c r="B284" s="121"/>
      <c r="C284" s="121"/>
      <c r="D284" s="114">
        <f t="shared" si="12"/>
        <v>0.27272727272727271</v>
      </c>
      <c r="E284" s="115"/>
      <c r="F284" s="52" t="s">
        <v>332</v>
      </c>
      <c r="G284" s="117" t="s">
        <v>66</v>
      </c>
      <c r="H284" s="118">
        <f t="shared" si="14"/>
        <v>4</v>
      </c>
      <c r="I284" s="117">
        <f>IF([3]项目总工作量!B$6="交易类",H284*1.5/22,IF([3]项目总工作量!B$6="数据分析类",H284*1.5*0.9/22,IF([3]项目总工作量!B$6="流程管理类",H284*1.5*0.8/22,IF([3]项目总工作量!B$6="渠道类",H284*1.5*0.7/22,FALSE))))</f>
        <v>0.27272727272727271</v>
      </c>
      <c r="J284" s="117" t="s">
        <v>44</v>
      </c>
    </row>
    <row r="285" spans="1:10" s="119" customFormat="1" ht="14" x14ac:dyDescent="0.15">
      <c r="A285" s="122"/>
      <c r="B285" s="121"/>
      <c r="C285" s="121"/>
      <c r="D285" s="114">
        <f t="shared" si="12"/>
        <v>0.27272727272727271</v>
      </c>
      <c r="E285" s="115"/>
      <c r="F285" s="52" t="s">
        <v>331</v>
      </c>
      <c r="G285" s="117" t="s">
        <v>66</v>
      </c>
      <c r="H285" s="118">
        <f t="shared" si="14"/>
        <v>4</v>
      </c>
      <c r="I285" s="117">
        <f>IF([3]项目总工作量!B$6="交易类",H285*1.5/22,IF([3]项目总工作量!B$6="数据分析类",H285*1.5*0.9/22,IF([3]项目总工作量!B$6="流程管理类",H285*1.5*0.8/22,IF([3]项目总工作量!B$6="渠道类",H285*1.5*0.7/22,FALSE))))</f>
        <v>0.27272727272727271</v>
      </c>
      <c r="J285" s="117" t="s">
        <v>44</v>
      </c>
    </row>
    <row r="286" spans="1:10" s="119" customFormat="1" ht="14" x14ac:dyDescent="0.15">
      <c r="A286" s="122"/>
      <c r="B286" s="121"/>
      <c r="C286" s="121"/>
      <c r="D286" s="114">
        <f t="shared" si="12"/>
        <v>0.27272727272727271</v>
      </c>
      <c r="E286" s="115"/>
      <c r="F286" s="52" t="s">
        <v>330</v>
      </c>
      <c r="G286" s="117" t="s">
        <v>66</v>
      </c>
      <c r="H286" s="118">
        <f t="shared" si="14"/>
        <v>4</v>
      </c>
      <c r="I286" s="117">
        <f>IF([3]项目总工作量!B$6="交易类",H286*1.5/22,IF([3]项目总工作量!B$6="数据分析类",H286*1.5*0.9/22,IF([3]项目总工作量!B$6="流程管理类",H286*1.5*0.8/22,IF([3]项目总工作量!B$6="渠道类",H286*1.5*0.7/22,FALSE))))</f>
        <v>0.27272727272727271</v>
      </c>
      <c r="J286" s="117" t="s">
        <v>44</v>
      </c>
    </row>
    <row r="287" spans="1:10" s="119" customFormat="1" ht="14" x14ac:dyDescent="0.15">
      <c r="A287" s="122"/>
      <c r="B287" s="121"/>
      <c r="C287" s="121"/>
      <c r="D287" s="114">
        <f t="shared" si="12"/>
        <v>0.27272727272727271</v>
      </c>
      <c r="E287" s="115"/>
      <c r="F287" s="52" t="s">
        <v>329</v>
      </c>
      <c r="G287" s="117" t="s">
        <v>66</v>
      </c>
      <c r="H287" s="118">
        <f t="shared" si="14"/>
        <v>4</v>
      </c>
      <c r="I287" s="117">
        <f>IF([3]项目总工作量!B$6="交易类",H287*1.5/22,IF([3]项目总工作量!B$6="数据分析类",H287*1.5*0.9/22,IF([3]项目总工作量!B$6="流程管理类",H287*1.5*0.8/22,IF([3]项目总工作量!B$6="渠道类",H287*1.5*0.7/22,FALSE))))</f>
        <v>0.27272727272727271</v>
      </c>
      <c r="J287" s="117" t="s">
        <v>44</v>
      </c>
    </row>
    <row r="288" spans="1:10" s="119" customFormat="1" ht="14" x14ac:dyDescent="0.15">
      <c r="A288" s="122"/>
      <c r="B288" s="121"/>
      <c r="C288" s="121"/>
      <c r="D288" s="114">
        <f t="shared" si="12"/>
        <v>0.27272727272727271</v>
      </c>
      <c r="E288" s="115"/>
      <c r="F288" s="52" t="s">
        <v>328</v>
      </c>
      <c r="G288" s="117" t="s">
        <v>66</v>
      </c>
      <c r="H288" s="118">
        <f t="shared" si="14"/>
        <v>4</v>
      </c>
      <c r="I288" s="117">
        <f>IF([3]项目总工作量!B$6="交易类",H288*1.5/22,IF([3]项目总工作量!B$6="数据分析类",H288*1.5*0.9/22,IF([3]项目总工作量!B$6="流程管理类",H288*1.5*0.8/22,IF([3]项目总工作量!B$6="渠道类",H288*1.5*0.7/22,FALSE))))</f>
        <v>0.27272727272727271</v>
      </c>
      <c r="J288" s="117" t="s">
        <v>44</v>
      </c>
    </row>
    <row r="289" spans="1:10" s="119" customFormat="1" ht="14" x14ac:dyDescent="0.15">
      <c r="A289" s="122"/>
      <c r="B289" s="121"/>
      <c r="C289" s="121"/>
      <c r="D289" s="114">
        <f t="shared" si="12"/>
        <v>0.27272727272727271</v>
      </c>
      <c r="E289" s="115"/>
      <c r="F289" s="52" t="s">
        <v>327</v>
      </c>
      <c r="G289" s="117" t="s">
        <v>66</v>
      </c>
      <c r="H289" s="118">
        <f t="shared" si="14"/>
        <v>4</v>
      </c>
      <c r="I289" s="117">
        <f>IF([3]项目总工作量!B$6="交易类",H289*1.5/22,IF([3]项目总工作量!B$6="数据分析类",H289*1.5*0.9/22,IF([3]项目总工作量!B$6="流程管理类",H289*1.5*0.8/22,IF([3]项目总工作量!B$6="渠道类",H289*1.5*0.7/22,FALSE))))</f>
        <v>0.27272727272727271</v>
      </c>
      <c r="J289" s="117" t="s">
        <v>44</v>
      </c>
    </row>
    <row r="290" spans="1:10" s="119" customFormat="1" ht="14" x14ac:dyDescent="0.15">
      <c r="A290" s="122"/>
      <c r="B290" s="121"/>
      <c r="C290" s="121"/>
      <c r="D290" s="114">
        <f t="shared" si="12"/>
        <v>0.27272727272727271</v>
      </c>
      <c r="E290" s="115"/>
      <c r="F290" s="52" t="s">
        <v>326</v>
      </c>
      <c r="G290" s="117" t="s">
        <v>66</v>
      </c>
      <c r="H290" s="118">
        <f t="shared" si="14"/>
        <v>4</v>
      </c>
      <c r="I290" s="117">
        <f>IF([3]项目总工作量!B$6="交易类",H290*1.5/22,IF([3]项目总工作量!B$6="数据分析类",H290*1.5*0.9/22,IF([3]项目总工作量!B$6="流程管理类",H290*1.5*0.8/22,IF([3]项目总工作量!B$6="渠道类",H290*1.5*0.7/22,FALSE))))</f>
        <v>0.27272727272727271</v>
      </c>
      <c r="J290" s="117" t="s">
        <v>44</v>
      </c>
    </row>
    <row r="291" spans="1:10" s="119" customFormat="1" ht="14" x14ac:dyDescent="0.15">
      <c r="A291" s="122"/>
      <c r="B291" s="121"/>
      <c r="C291" s="121"/>
      <c r="D291" s="114">
        <f t="shared" si="12"/>
        <v>0.27272727272727271</v>
      </c>
      <c r="E291" s="115"/>
      <c r="F291" s="52" t="s">
        <v>325</v>
      </c>
      <c r="G291" s="117" t="s">
        <v>66</v>
      </c>
      <c r="H291" s="118">
        <f t="shared" si="14"/>
        <v>4</v>
      </c>
      <c r="I291" s="117">
        <f>IF([3]项目总工作量!B$6="交易类",H291*1.5/22,IF([3]项目总工作量!B$6="数据分析类",H291*1.5*0.9/22,IF([3]项目总工作量!B$6="流程管理类",H291*1.5*0.8/22,IF([3]项目总工作量!B$6="渠道类",H291*1.5*0.7/22,FALSE))))</f>
        <v>0.27272727272727271</v>
      </c>
      <c r="J291" s="117" t="s">
        <v>44</v>
      </c>
    </row>
    <row r="292" spans="1:10" s="119" customFormat="1" ht="14" x14ac:dyDescent="0.15">
      <c r="A292" s="122"/>
      <c r="B292" s="121"/>
      <c r="C292" s="121"/>
      <c r="D292" s="114">
        <f t="shared" si="12"/>
        <v>0.27272727272727271</v>
      </c>
      <c r="E292" s="115"/>
      <c r="F292" s="52" t="s">
        <v>324</v>
      </c>
      <c r="G292" s="117" t="s">
        <v>66</v>
      </c>
      <c r="H292" s="118">
        <f t="shared" si="14"/>
        <v>4</v>
      </c>
      <c r="I292" s="117">
        <f>IF([3]项目总工作量!B$6="交易类",H292*1.5/22,IF([3]项目总工作量!B$6="数据分析类",H292*1.5*0.9/22,IF([3]项目总工作量!B$6="流程管理类",H292*1.5*0.8/22,IF([3]项目总工作量!B$6="渠道类",H292*1.5*0.7/22,FALSE))))</f>
        <v>0.27272727272727271</v>
      </c>
      <c r="J292" s="117" t="s">
        <v>44</v>
      </c>
    </row>
    <row r="293" spans="1:10" s="119" customFormat="1" ht="14" x14ac:dyDescent="0.15">
      <c r="A293" s="122"/>
      <c r="B293" s="121"/>
      <c r="C293" s="121"/>
      <c r="D293" s="114">
        <f t="shared" ref="D293:D356" si="15">I293</f>
        <v>0.27272727272727271</v>
      </c>
      <c r="E293" s="115"/>
      <c r="F293" s="52" t="s">
        <v>323</v>
      </c>
      <c r="G293" s="117" t="s">
        <v>66</v>
      </c>
      <c r="H293" s="118">
        <f t="shared" si="14"/>
        <v>4</v>
      </c>
      <c r="I293" s="117">
        <f>IF([3]项目总工作量!B$6="交易类",H293*1.5/22,IF([3]项目总工作量!B$6="数据分析类",H293*1.5*0.9/22,IF([3]项目总工作量!B$6="流程管理类",H293*1.5*0.8/22,IF([3]项目总工作量!B$6="渠道类",H293*1.5*0.7/22,FALSE))))</f>
        <v>0.27272727272727271</v>
      </c>
      <c r="J293" s="117" t="s">
        <v>44</v>
      </c>
    </row>
    <row r="294" spans="1:10" s="119" customFormat="1" ht="14" x14ac:dyDescent="0.15">
      <c r="A294" s="122"/>
      <c r="B294" s="121"/>
      <c r="C294" s="121"/>
      <c r="D294" s="114">
        <f t="shared" si="15"/>
        <v>0.27272727272727271</v>
      </c>
      <c r="E294" s="115"/>
      <c r="F294" s="52" t="s">
        <v>322</v>
      </c>
      <c r="G294" s="117" t="s">
        <v>66</v>
      </c>
      <c r="H294" s="118">
        <f t="shared" si="14"/>
        <v>4</v>
      </c>
      <c r="I294" s="117">
        <f>IF([3]项目总工作量!B$6="交易类",H294*1.5/22,IF([3]项目总工作量!B$6="数据分析类",H294*1.5*0.9/22,IF([3]项目总工作量!B$6="流程管理类",H294*1.5*0.8/22,IF([3]项目总工作量!B$6="渠道类",H294*1.5*0.7/22,FALSE))))</f>
        <v>0.27272727272727271</v>
      </c>
      <c r="J294" s="117" t="s">
        <v>44</v>
      </c>
    </row>
    <row r="295" spans="1:10" s="119" customFormat="1" ht="14" x14ac:dyDescent="0.15">
      <c r="A295" s="122"/>
      <c r="B295" s="121"/>
      <c r="C295" s="121"/>
      <c r="D295" s="114">
        <f t="shared" si="15"/>
        <v>0.27272727272727271</v>
      </c>
      <c r="E295" s="115"/>
      <c r="F295" s="52" t="s">
        <v>321</v>
      </c>
      <c r="G295" s="117" t="s">
        <v>66</v>
      </c>
      <c r="H295" s="118">
        <f t="shared" si="14"/>
        <v>4</v>
      </c>
      <c r="I295" s="117">
        <f>IF([3]项目总工作量!B$6="交易类",H295*1.5/22,IF([3]项目总工作量!B$6="数据分析类",H295*1.5*0.9/22,IF([3]项目总工作量!B$6="流程管理类",H295*1.5*0.8/22,IF([3]项目总工作量!B$6="渠道类",H295*1.5*0.7/22,FALSE))))</f>
        <v>0.27272727272727271</v>
      </c>
      <c r="J295" s="117" t="s">
        <v>44</v>
      </c>
    </row>
    <row r="296" spans="1:10" s="119" customFormat="1" ht="14" x14ac:dyDescent="0.15">
      <c r="A296" s="122"/>
      <c r="B296" s="121"/>
      <c r="C296" s="121"/>
      <c r="D296" s="114">
        <f t="shared" si="15"/>
        <v>0.27272727272727271</v>
      </c>
      <c r="E296" s="115"/>
      <c r="F296" s="52" t="s">
        <v>320</v>
      </c>
      <c r="G296" s="117" t="s">
        <v>66</v>
      </c>
      <c r="H296" s="118">
        <f t="shared" si="14"/>
        <v>4</v>
      </c>
      <c r="I296" s="117">
        <f>IF([3]项目总工作量!B$6="交易类",H296*1.5/22,IF([3]项目总工作量!B$6="数据分析类",H296*1.5*0.9/22,IF([3]项目总工作量!B$6="流程管理类",H296*1.5*0.8/22,IF([3]项目总工作量!B$6="渠道类",H296*1.5*0.7/22,FALSE))))</f>
        <v>0.27272727272727271</v>
      </c>
      <c r="J296" s="117" t="s">
        <v>44</v>
      </c>
    </row>
    <row r="297" spans="1:10" s="119" customFormat="1" ht="28" x14ac:dyDescent="0.15">
      <c r="A297" s="122"/>
      <c r="B297" s="121"/>
      <c r="C297" s="121"/>
      <c r="D297" s="114">
        <f t="shared" si="15"/>
        <v>0.27272727272727271</v>
      </c>
      <c r="E297" s="115"/>
      <c r="F297" s="52" t="s">
        <v>319</v>
      </c>
      <c r="G297" s="117" t="s">
        <v>66</v>
      </c>
      <c r="H297" s="118">
        <f t="shared" si="14"/>
        <v>4</v>
      </c>
      <c r="I297" s="117">
        <f>IF([3]项目总工作量!B$6="交易类",H297*1.5/22,IF([3]项目总工作量!B$6="数据分析类",H297*1.5*0.9/22,IF([3]项目总工作量!B$6="流程管理类",H297*1.5*0.8/22,IF([3]项目总工作量!B$6="渠道类",H297*1.5*0.7/22,FALSE))))</f>
        <v>0.27272727272727271</v>
      </c>
      <c r="J297" s="117" t="s">
        <v>44</v>
      </c>
    </row>
    <row r="298" spans="1:10" s="119" customFormat="1" ht="28" x14ac:dyDescent="0.15">
      <c r="A298" s="122"/>
      <c r="B298" s="121"/>
      <c r="C298" s="121"/>
      <c r="D298" s="114">
        <f t="shared" si="15"/>
        <v>0.27272727272727271</v>
      </c>
      <c r="E298" s="115"/>
      <c r="F298" s="52" t="s">
        <v>318</v>
      </c>
      <c r="G298" s="117" t="s">
        <v>66</v>
      </c>
      <c r="H298" s="118">
        <f t="shared" si="14"/>
        <v>4</v>
      </c>
      <c r="I298" s="117">
        <f>IF([3]项目总工作量!B$6="交易类",H298*1.5/22,IF([3]项目总工作量!B$6="数据分析类",H298*1.5*0.9/22,IF([3]项目总工作量!B$6="流程管理类",H298*1.5*0.8/22,IF([3]项目总工作量!B$6="渠道类",H298*1.5*0.7/22,FALSE))))</f>
        <v>0.27272727272727271</v>
      </c>
      <c r="J298" s="117" t="s">
        <v>44</v>
      </c>
    </row>
    <row r="299" spans="1:10" s="119" customFormat="1" ht="28" x14ac:dyDescent="0.15">
      <c r="A299" s="122"/>
      <c r="B299" s="121"/>
      <c r="C299" s="121"/>
      <c r="D299" s="114">
        <f t="shared" si="15"/>
        <v>0.27272727272727271</v>
      </c>
      <c r="E299" s="115"/>
      <c r="F299" s="52" t="s">
        <v>317</v>
      </c>
      <c r="G299" s="117" t="s">
        <v>66</v>
      </c>
      <c r="H299" s="118">
        <f t="shared" si="14"/>
        <v>4</v>
      </c>
      <c r="I299" s="117">
        <f>IF([3]项目总工作量!B$6="交易类",H299*1.5/22,IF([3]项目总工作量!B$6="数据分析类",H299*1.5*0.9/22,IF([3]项目总工作量!B$6="流程管理类",H299*1.5*0.8/22,IF([3]项目总工作量!B$6="渠道类",H299*1.5*0.7/22,FALSE))))</f>
        <v>0.27272727272727271</v>
      </c>
      <c r="J299" s="117" t="s">
        <v>44</v>
      </c>
    </row>
    <row r="300" spans="1:10" s="119" customFormat="1" ht="28" x14ac:dyDescent="0.15">
      <c r="A300" s="122"/>
      <c r="B300" s="121"/>
      <c r="C300" s="121"/>
      <c r="D300" s="114">
        <f t="shared" si="15"/>
        <v>0.27272727272727271</v>
      </c>
      <c r="E300" s="115"/>
      <c r="F300" s="52" t="s">
        <v>316</v>
      </c>
      <c r="G300" s="117" t="s">
        <v>66</v>
      </c>
      <c r="H300" s="118">
        <f t="shared" si="14"/>
        <v>4</v>
      </c>
      <c r="I300" s="117">
        <f>IF([3]项目总工作量!B$6="交易类",H300*1.5/22,IF([3]项目总工作量!B$6="数据分析类",H300*1.5*0.9/22,IF([3]项目总工作量!B$6="流程管理类",H300*1.5*0.8/22,IF([3]项目总工作量!B$6="渠道类",H300*1.5*0.7/22,FALSE))))</f>
        <v>0.27272727272727271</v>
      </c>
      <c r="J300" s="117" t="s">
        <v>44</v>
      </c>
    </row>
    <row r="301" spans="1:10" s="119" customFormat="1" ht="28" x14ac:dyDescent="0.15">
      <c r="A301" s="122"/>
      <c r="B301" s="121"/>
      <c r="C301" s="121"/>
      <c r="D301" s="114">
        <f t="shared" si="15"/>
        <v>0.27272727272727271</v>
      </c>
      <c r="E301" s="115"/>
      <c r="F301" s="52" t="s">
        <v>315</v>
      </c>
      <c r="G301" s="117" t="s">
        <v>66</v>
      </c>
      <c r="H301" s="118">
        <f t="shared" si="14"/>
        <v>4</v>
      </c>
      <c r="I301" s="117">
        <f>IF([3]项目总工作量!B$6="交易类",H301*1.5/22,IF([3]项目总工作量!B$6="数据分析类",H301*1.5*0.9/22,IF([3]项目总工作量!B$6="流程管理类",H301*1.5*0.8/22,IF([3]项目总工作量!B$6="渠道类",H301*1.5*0.7/22,FALSE))))</f>
        <v>0.27272727272727271</v>
      </c>
      <c r="J301" s="117" t="s">
        <v>44</v>
      </c>
    </row>
    <row r="302" spans="1:10" s="119" customFormat="1" ht="28" x14ac:dyDescent="0.15">
      <c r="A302" s="122"/>
      <c r="B302" s="121"/>
      <c r="C302" s="121"/>
      <c r="D302" s="114">
        <f t="shared" si="15"/>
        <v>0.27272727272727271</v>
      </c>
      <c r="E302" s="115"/>
      <c r="F302" s="52" t="s">
        <v>314</v>
      </c>
      <c r="G302" s="117" t="s">
        <v>66</v>
      </c>
      <c r="H302" s="118">
        <f t="shared" si="14"/>
        <v>4</v>
      </c>
      <c r="I302" s="117">
        <f>IF([3]项目总工作量!B$6="交易类",H302*1.5/22,IF([3]项目总工作量!B$6="数据分析类",H302*1.5*0.9/22,IF([3]项目总工作量!B$6="流程管理类",H302*1.5*0.8/22,IF([3]项目总工作量!B$6="渠道类",H302*1.5*0.7/22,FALSE))))</f>
        <v>0.27272727272727271</v>
      </c>
      <c r="J302" s="117" t="s">
        <v>44</v>
      </c>
    </row>
    <row r="303" spans="1:10" s="119" customFormat="1" ht="28" x14ac:dyDescent="0.15">
      <c r="A303" s="122"/>
      <c r="B303" s="121"/>
      <c r="C303" s="121"/>
      <c r="D303" s="114">
        <f t="shared" si="15"/>
        <v>0.27272727272727271</v>
      </c>
      <c r="E303" s="115"/>
      <c r="F303" s="52" t="s">
        <v>313</v>
      </c>
      <c r="G303" s="117" t="s">
        <v>66</v>
      </c>
      <c r="H303" s="118">
        <f t="shared" si="14"/>
        <v>4</v>
      </c>
      <c r="I303" s="117">
        <f>IF([3]项目总工作量!B$6="交易类",H303*1.5/22,IF([3]项目总工作量!B$6="数据分析类",H303*1.5*0.9/22,IF([3]项目总工作量!B$6="流程管理类",H303*1.5*0.8/22,IF([3]项目总工作量!B$6="渠道类",H303*1.5*0.7/22,FALSE))))</f>
        <v>0.27272727272727271</v>
      </c>
      <c r="J303" s="117" t="s">
        <v>44</v>
      </c>
    </row>
    <row r="304" spans="1:10" s="119" customFormat="1" ht="28" x14ac:dyDescent="0.15">
      <c r="A304" s="122"/>
      <c r="B304" s="121"/>
      <c r="C304" s="121"/>
      <c r="D304" s="114">
        <f t="shared" si="15"/>
        <v>0.27272727272727271</v>
      </c>
      <c r="E304" s="115"/>
      <c r="F304" s="52" t="s">
        <v>312</v>
      </c>
      <c r="G304" s="117" t="s">
        <v>66</v>
      </c>
      <c r="H304" s="118">
        <f t="shared" ref="H304:H335" si="16">IF(G304="EI",4,IF(G304="EO",5,IF(G304="EQ",4,0)))</f>
        <v>4</v>
      </c>
      <c r="I304" s="117">
        <f>IF([3]项目总工作量!B$6="交易类",H304*1.5/22,IF([3]项目总工作量!B$6="数据分析类",H304*1.5*0.9/22,IF([3]项目总工作量!B$6="流程管理类",H304*1.5*0.8/22,IF([3]项目总工作量!B$6="渠道类",H304*1.5*0.7/22,FALSE))))</f>
        <v>0.27272727272727271</v>
      </c>
      <c r="J304" s="117" t="s">
        <v>44</v>
      </c>
    </row>
    <row r="305" spans="1:10" s="119" customFormat="1" ht="28" x14ac:dyDescent="0.15">
      <c r="A305" s="122"/>
      <c r="B305" s="121"/>
      <c r="C305" s="121"/>
      <c r="D305" s="114">
        <f t="shared" si="15"/>
        <v>0.27272727272727271</v>
      </c>
      <c r="E305" s="115"/>
      <c r="F305" s="52" t="s">
        <v>311</v>
      </c>
      <c r="G305" s="117" t="s">
        <v>66</v>
      </c>
      <c r="H305" s="118">
        <f t="shared" si="16"/>
        <v>4</v>
      </c>
      <c r="I305" s="117">
        <f>IF([3]项目总工作量!B$6="交易类",H305*1.5/22,IF([3]项目总工作量!B$6="数据分析类",H305*1.5*0.9/22,IF([3]项目总工作量!B$6="流程管理类",H305*1.5*0.8/22,IF([3]项目总工作量!B$6="渠道类",H305*1.5*0.7/22,FALSE))))</f>
        <v>0.27272727272727271</v>
      </c>
      <c r="J305" s="117" t="s">
        <v>44</v>
      </c>
    </row>
    <row r="306" spans="1:10" s="119" customFormat="1" ht="28" x14ac:dyDescent="0.15">
      <c r="A306" s="122"/>
      <c r="B306" s="121"/>
      <c r="C306" s="121"/>
      <c r="D306" s="114">
        <f t="shared" si="15"/>
        <v>0.27272727272727271</v>
      </c>
      <c r="E306" s="115"/>
      <c r="F306" s="52" t="s">
        <v>310</v>
      </c>
      <c r="G306" s="117" t="s">
        <v>66</v>
      </c>
      <c r="H306" s="118">
        <f t="shared" si="16"/>
        <v>4</v>
      </c>
      <c r="I306" s="117">
        <f>IF([3]项目总工作量!B$6="交易类",H306*1.5/22,IF([3]项目总工作量!B$6="数据分析类",H306*1.5*0.9/22,IF([3]项目总工作量!B$6="流程管理类",H306*1.5*0.8/22,IF([3]项目总工作量!B$6="渠道类",H306*1.5*0.7/22,FALSE))))</f>
        <v>0.27272727272727271</v>
      </c>
      <c r="J306" s="117" t="s">
        <v>44</v>
      </c>
    </row>
    <row r="307" spans="1:10" s="119" customFormat="1" ht="14" x14ac:dyDescent="0.15">
      <c r="A307" s="122"/>
      <c r="B307" s="121"/>
      <c r="C307" s="121"/>
      <c r="D307" s="114">
        <f t="shared" si="15"/>
        <v>0.27272727272727271</v>
      </c>
      <c r="E307" s="115"/>
      <c r="F307" s="52" t="s">
        <v>309</v>
      </c>
      <c r="G307" s="117" t="s">
        <v>66</v>
      </c>
      <c r="H307" s="118">
        <f t="shared" si="16"/>
        <v>4</v>
      </c>
      <c r="I307" s="117">
        <f>IF([3]项目总工作量!B$6="交易类",H307*1.5/22,IF([3]项目总工作量!B$6="数据分析类",H307*1.5*0.9/22,IF([3]项目总工作量!B$6="流程管理类",H307*1.5*0.8/22,IF([3]项目总工作量!B$6="渠道类",H307*1.5*0.7/22,FALSE))))</f>
        <v>0.27272727272727271</v>
      </c>
      <c r="J307" s="117" t="s">
        <v>44</v>
      </c>
    </row>
    <row r="308" spans="1:10" s="119" customFormat="1" ht="14" x14ac:dyDescent="0.15">
      <c r="A308" s="122"/>
      <c r="B308" s="121"/>
      <c r="C308" s="121"/>
      <c r="D308" s="114">
        <f t="shared" si="15"/>
        <v>0.27272727272727271</v>
      </c>
      <c r="E308" s="115"/>
      <c r="F308" s="52" t="s">
        <v>308</v>
      </c>
      <c r="G308" s="117" t="s">
        <v>66</v>
      </c>
      <c r="H308" s="118">
        <f t="shared" si="16"/>
        <v>4</v>
      </c>
      <c r="I308" s="117">
        <f>IF([3]项目总工作量!B$6="交易类",H308*1.5/22,IF([3]项目总工作量!B$6="数据分析类",H308*1.5*0.9/22,IF([3]项目总工作量!B$6="流程管理类",H308*1.5*0.8/22,IF([3]项目总工作量!B$6="渠道类",H308*1.5*0.7/22,FALSE))))</f>
        <v>0.27272727272727271</v>
      </c>
      <c r="J308" s="117" t="s">
        <v>44</v>
      </c>
    </row>
    <row r="309" spans="1:10" s="119" customFormat="1" ht="14" x14ac:dyDescent="0.15">
      <c r="A309" s="122"/>
      <c r="B309" s="121"/>
      <c r="C309" s="121"/>
      <c r="D309" s="114">
        <f t="shared" si="15"/>
        <v>0.27272727272727271</v>
      </c>
      <c r="E309" s="115"/>
      <c r="F309" s="52" t="s">
        <v>307</v>
      </c>
      <c r="G309" s="117" t="s">
        <v>66</v>
      </c>
      <c r="H309" s="118">
        <f t="shared" si="16"/>
        <v>4</v>
      </c>
      <c r="I309" s="117">
        <f>IF([3]项目总工作量!B$6="交易类",H309*1.5/22,IF([3]项目总工作量!B$6="数据分析类",H309*1.5*0.9/22,IF([3]项目总工作量!B$6="流程管理类",H309*1.5*0.8/22,IF([3]项目总工作量!B$6="渠道类",H309*1.5*0.7/22,FALSE))))</f>
        <v>0.27272727272727271</v>
      </c>
      <c r="J309" s="117" t="s">
        <v>44</v>
      </c>
    </row>
    <row r="310" spans="1:10" s="119" customFormat="1" ht="14" x14ac:dyDescent="0.15">
      <c r="A310" s="122"/>
      <c r="B310" s="121"/>
      <c r="C310" s="121"/>
      <c r="D310" s="114">
        <f t="shared" si="15"/>
        <v>0.27272727272727271</v>
      </c>
      <c r="E310" s="115"/>
      <c r="F310" s="52" t="s">
        <v>306</v>
      </c>
      <c r="G310" s="117" t="s">
        <v>66</v>
      </c>
      <c r="H310" s="118">
        <f t="shared" si="16"/>
        <v>4</v>
      </c>
      <c r="I310" s="117">
        <f>IF([3]项目总工作量!B$6="交易类",H310*1.5/22,IF([3]项目总工作量!B$6="数据分析类",H310*1.5*0.9/22,IF([3]项目总工作量!B$6="流程管理类",H310*1.5*0.8/22,IF([3]项目总工作量!B$6="渠道类",H310*1.5*0.7/22,FALSE))))</f>
        <v>0.27272727272727271</v>
      </c>
      <c r="J310" s="117" t="s">
        <v>44</v>
      </c>
    </row>
    <row r="311" spans="1:10" s="119" customFormat="1" ht="14" x14ac:dyDescent="0.15">
      <c r="A311" s="122"/>
      <c r="B311" s="121"/>
      <c r="C311" s="121"/>
      <c r="D311" s="114">
        <f t="shared" si="15"/>
        <v>0.27272727272727271</v>
      </c>
      <c r="E311" s="115"/>
      <c r="F311" s="52" t="s">
        <v>305</v>
      </c>
      <c r="G311" s="117" t="s">
        <v>66</v>
      </c>
      <c r="H311" s="118">
        <f t="shared" si="16"/>
        <v>4</v>
      </c>
      <c r="I311" s="117">
        <f>IF([3]项目总工作量!B$6="交易类",H311*1.5/22,IF([3]项目总工作量!B$6="数据分析类",H311*1.5*0.9/22,IF([3]项目总工作量!B$6="流程管理类",H311*1.5*0.8/22,IF([3]项目总工作量!B$6="渠道类",H311*1.5*0.7/22,FALSE))))</f>
        <v>0.27272727272727271</v>
      </c>
      <c r="J311" s="117" t="s">
        <v>44</v>
      </c>
    </row>
    <row r="312" spans="1:10" s="119" customFormat="1" ht="14" x14ac:dyDescent="0.15">
      <c r="A312" s="122"/>
      <c r="B312" s="121"/>
      <c r="C312" s="121"/>
      <c r="D312" s="114">
        <f t="shared" si="15"/>
        <v>0.27272727272727271</v>
      </c>
      <c r="E312" s="115"/>
      <c r="F312" s="52" t="s">
        <v>304</v>
      </c>
      <c r="G312" s="117" t="s">
        <v>66</v>
      </c>
      <c r="H312" s="118">
        <f t="shared" si="16"/>
        <v>4</v>
      </c>
      <c r="I312" s="117">
        <f>IF([3]项目总工作量!B$6="交易类",H312*1.5/22,IF([3]项目总工作量!B$6="数据分析类",H312*1.5*0.9/22,IF([3]项目总工作量!B$6="流程管理类",H312*1.5*0.8/22,IF([3]项目总工作量!B$6="渠道类",H312*1.5*0.7/22,FALSE))))</f>
        <v>0.27272727272727271</v>
      </c>
      <c r="J312" s="117" t="s">
        <v>44</v>
      </c>
    </row>
    <row r="313" spans="1:10" s="119" customFormat="1" ht="14" x14ac:dyDescent="0.15">
      <c r="A313" s="122"/>
      <c r="B313" s="121"/>
      <c r="C313" s="121"/>
      <c r="D313" s="114">
        <f t="shared" si="15"/>
        <v>0.27272727272727271</v>
      </c>
      <c r="E313" s="115"/>
      <c r="F313" s="52" t="s">
        <v>303</v>
      </c>
      <c r="G313" s="117" t="s">
        <v>66</v>
      </c>
      <c r="H313" s="118">
        <f t="shared" si="16"/>
        <v>4</v>
      </c>
      <c r="I313" s="117">
        <f>IF([3]项目总工作量!B$6="交易类",H313*1.5/22,IF([3]项目总工作量!B$6="数据分析类",H313*1.5*0.9/22,IF([3]项目总工作量!B$6="流程管理类",H313*1.5*0.8/22,IF([3]项目总工作量!B$6="渠道类",H313*1.5*0.7/22,FALSE))))</f>
        <v>0.27272727272727271</v>
      </c>
      <c r="J313" s="117" t="s">
        <v>44</v>
      </c>
    </row>
    <row r="314" spans="1:10" s="119" customFormat="1" ht="14" x14ac:dyDescent="0.15">
      <c r="A314" s="122"/>
      <c r="B314" s="121"/>
      <c r="C314" s="121"/>
      <c r="D314" s="114">
        <f t="shared" si="15"/>
        <v>0.27272727272727271</v>
      </c>
      <c r="E314" s="115"/>
      <c r="F314" s="52" t="s">
        <v>302</v>
      </c>
      <c r="G314" s="117" t="s">
        <v>66</v>
      </c>
      <c r="H314" s="118">
        <f t="shared" si="16"/>
        <v>4</v>
      </c>
      <c r="I314" s="117">
        <f>IF([3]项目总工作量!B$6="交易类",H314*1.5/22,IF([3]项目总工作量!B$6="数据分析类",H314*1.5*0.9/22,IF([3]项目总工作量!B$6="流程管理类",H314*1.5*0.8/22,IF([3]项目总工作量!B$6="渠道类",H314*1.5*0.7/22,FALSE))))</f>
        <v>0.27272727272727271</v>
      </c>
      <c r="J314" s="117" t="s">
        <v>44</v>
      </c>
    </row>
    <row r="315" spans="1:10" s="119" customFormat="1" ht="14" x14ac:dyDescent="0.15">
      <c r="A315" s="122"/>
      <c r="B315" s="121"/>
      <c r="C315" s="121"/>
      <c r="D315" s="114">
        <f t="shared" si="15"/>
        <v>0.27272727272727271</v>
      </c>
      <c r="E315" s="115"/>
      <c r="F315" s="52" t="s">
        <v>301</v>
      </c>
      <c r="G315" s="117" t="s">
        <v>66</v>
      </c>
      <c r="H315" s="118">
        <f t="shared" si="16"/>
        <v>4</v>
      </c>
      <c r="I315" s="117">
        <f>IF([3]项目总工作量!B$6="交易类",H315*1.5/22,IF([3]项目总工作量!B$6="数据分析类",H315*1.5*0.9/22,IF([3]项目总工作量!B$6="流程管理类",H315*1.5*0.8/22,IF([3]项目总工作量!B$6="渠道类",H315*1.5*0.7/22,FALSE))))</f>
        <v>0.27272727272727271</v>
      </c>
      <c r="J315" s="117" t="s">
        <v>44</v>
      </c>
    </row>
    <row r="316" spans="1:10" s="119" customFormat="1" ht="14" x14ac:dyDescent="0.15">
      <c r="A316" s="122"/>
      <c r="B316" s="121"/>
      <c r="C316" s="121"/>
      <c r="D316" s="114">
        <f t="shared" si="15"/>
        <v>0.27272727272727271</v>
      </c>
      <c r="E316" s="115"/>
      <c r="F316" s="52" t="s">
        <v>300</v>
      </c>
      <c r="G316" s="117" t="s">
        <v>66</v>
      </c>
      <c r="H316" s="118">
        <f t="shared" si="16"/>
        <v>4</v>
      </c>
      <c r="I316" s="117">
        <f>IF([3]项目总工作量!B$6="交易类",H316*1.5/22,IF([3]项目总工作量!B$6="数据分析类",H316*1.5*0.9/22,IF([3]项目总工作量!B$6="流程管理类",H316*1.5*0.8/22,IF([3]项目总工作量!B$6="渠道类",H316*1.5*0.7/22,FALSE))))</f>
        <v>0.27272727272727271</v>
      </c>
      <c r="J316" s="117" t="s">
        <v>44</v>
      </c>
    </row>
    <row r="317" spans="1:10" s="119" customFormat="1" ht="14" x14ac:dyDescent="0.15">
      <c r="A317" s="122"/>
      <c r="B317" s="121"/>
      <c r="C317" s="121"/>
      <c r="D317" s="114">
        <f t="shared" si="15"/>
        <v>0.27272727272727271</v>
      </c>
      <c r="E317" s="115"/>
      <c r="F317" s="52" t="s">
        <v>299</v>
      </c>
      <c r="G317" s="117" t="s">
        <v>66</v>
      </c>
      <c r="H317" s="118">
        <f t="shared" si="16"/>
        <v>4</v>
      </c>
      <c r="I317" s="117">
        <f>IF([3]项目总工作量!B$6="交易类",H317*1.5/22,IF([3]项目总工作量!B$6="数据分析类",H317*1.5*0.9/22,IF([3]项目总工作量!B$6="流程管理类",H317*1.5*0.8/22,IF([3]项目总工作量!B$6="渠道类",H317*1.5*0.7/22,FALSE))))</f>
        <v>0.27272727272727271</v>
      </c>
      <c r="J317" s="117" t="s">
        <v>44</v>
      </c>
    </row>
    <row r="318" spans="1:10" s="119" customFormat="1" ht="14" x14ac:dyDescent="0.15">
      <c r="A318" s="122"/>
      <c r="B318" s="121"/>
      <c r="C318" s="121"/>
      <c r="D318" s="114">
        <f t="shared" si="15"/>
        <v>0.27272727272727271</v>
      </c>
      <c r="E318" s="115"/>
      <c r="F318" s="52" t="s">
        <v>298</v>
      </c>
      <c r="G318" s="117" t="s">
        <v>66</v>
      </c>
      <c r="H318" s="118">
        <f t="shared" si="16"/>
        <v>4</v>
      </c>
      <c r="I318" s="117">
        <f>IF([3]项目总工作量!B$6="交易类",H318*1.5/22,IF([3]项目总工作量!B$6="数据分析类",H318*1.5*0.9/22,IF([3]项目总工作量!B$6="流程管理类",H318*1.5*0.8/22,IF([3]项目总工作量!B$6="渠道类",H318*1.5*0.7/22,FALSE))))</f>
        <v>0.27272727272727271</v>
      </c>
      <c r="J318" s="117" t="s">
        <v>44</v>
      </c>
    </row>
    <row r="319" spans="1:10" s="119" customFormat="1" ht="14" x14ac:dyDescent="0.15">
      <c r="A319" s="122"/>
      <c r="B319" s="121"/>
      <c r="C319" s="121"/>
      <c r="D319" s="114">
        <f t="shared" si="15"/>
        <v>0.27272727272727271</v>
      </c>
      <c r="E319" s="115"/>
      <c r="F319" s="52" t="s">
        <v>297</v>
      </c>
      <c r="G319" s="117" t="s">
        <v>66</v>
      </c>
      <c r="H319" s="118">
        <f t="shared" si="16"/>
        <v>4</v>
      </c>
      <c r="I319" s="117">
        <f>IF([3]项目总工作量!B$6="交易类",H319*1.5/22,IF([3]项目总工作量!B$6="数据分析类",H319*1.5*0.9/22,IF([3]项目总工作量!B$6="流程管理类",H319*1.5*0.8/22,IF([3]项目总工作量!B$6="渠道类",H319*1.5*0.7/22,FALSE))))</f>
        <v>0.27272727272727271</v>
      </c>
      <c r="J319" s="117" t="s">
        <v>44</v>
      </c>
    </row>
    <row r="320" spans="1:10" s="119" customFormat="1" ht="14" x14ac:dyDescent="0.15">
      <c r="A320" s="122"/>
      <c r="B320" s="121"/>
      <c r="C320" s="121"/>
      <c r="D320" s="114">
        <f t="shared" si="15"/>
        <v>0.27272727272727271</v>
      </c>
      <c r="E320" s="115"/>
      <c r="F320" s="52" t="s">
        <v>296</v>
      </c>
      <c r="G320" s="117" t="s">
        <v>66</v>
      </c>
      <c r="H320" s="118">
        <f t="shared" si="16"/>
        <v>4</v>
      </c>
      <c r="I320" s="117">
        <f>IF([3]项目总工作量!B$6="交易类",H320*1.5/22,IF([3]项目总工作量!B$6="数据分析类",H320*1.5*0.9/22,IF([3]项目总工作量!B$6="流程管理类",H320*1.5*0.8/22,IF([3]项目总工作量!B$6="渠道类",H320*1.5*0.7/22,FALSE))))</f>
        <v>0.27272727272727271</v>
      </c>
      <c r="J320" s="117" t="s">
        <v>44</v>
      </c>
    </row>
    <row r="321" spans="1:10" s="119" customFormat="1" ht="14" x14ac:dyDescent="0.15">
      <c r="A321" s="122"/>
      <c r="B321" s="121"/>
      <c r="C321" s="121"/>
      <c r="D321" s="114">
        <f t="shared" si="15"/>
        <v>0.27272727272727271</v>
      </c>
      <c r="E321" s="115"/>
      <c r="F321" s="52" t="s">
        <v>295</v>
      </c>
      <c r="G321" s="117" t="s">
        <v>66</v>
      </c>
      <c r="H321" s="118">
        <f t="shared" si="16"/>
        <v>4</v>
      </c>
      <c r="I321" s="117">
        <f>IF([3]项目总工作量!B$6="交易类",H321*1.5/22,IF([3]项目总工作量!B$6="数据分析类",H321*1.5*0.9/22,IF([3]项目总工作量!B$6="流程管理类",H321*1.5*0.8/22,IF([3]项目总工作量!B$6="渠道类",H321*1.5*0.7/22,FALSE))))</f>
        <v>0.27272727272727271</v>
      </c>
      <c r="J321" s="117" t="s">
        <v>44</v>
      </c>
    </row>
    <row r="322" spans="1:10" s="119" customFormat="1" ht="14" x14ac:dyDescent="0.15">
      <c r="A322" s="122"/>
      <c r="B322" s="121"/>
      <c r="C322" s="121"/>
      <c r="D322" s="114">
        <f t="shared" si="15"/>
        <v>0.27272727272727271</v>
      </c>
      <c r="E322" s="115"/>
      <c r="F322" s="52" t="s">
        <v>294</v>
      </c>
      <c r="G322" s="117" t="s">
        <v>66</v>
      </c>
      <c r="H322" s="118">
        <f t="shared" si="16"/>
        <v>4</v>
      </c>
      <c r="I322" s="117">
        <f>IF([3]项目总工作量!B$6="交易类",H322*1.5/22,IF([3]项目总工作量!B$6="数据分析类",H322*1.5*0.9/22,IF([3]项目总工作量!B$6="流程管理类",H322*1.5*0.8/22,IF([3]项目总工作量!B$6="渠道类",H322*1.5*0.7/22,FALSE))))</f>
        <v>0.27272727272727271</v>
      </c>
      <c r="J322" s="117" t="s">
        <v>44</v>
      </c>
    </row>
    <row r="323" spans="1:10" s="119" customFormat="1" ht="14" x14ac:dyDescent="0.15">
      <c r="A323" s="122"/>
      <c r="B323" s="121"/>
      <c r="C323" s="121"/>
      <c r="D323" s="114">
        <f t="shared" si="15"/>
        <v>0.27272727272727271</v>
      </c>
      <c r="E323" s="115"/>
      <c r="F323" s="52" t="s">
        <v>293</v>
      </c>
      <c r="G323" s="117" t="s">
        <v>66</v>
      </c>
      <c r="H323" s="118">
        <f t="shared" si="16"/>
        <v>4</v>
      </c>
      <c r="I323" s="117">
        <f>IF([3]项目总工作量!B$6="交易类",H323*1.5/22,IF([3]项目总工作量!B$6="数据分析类",H323*1.5*0.9/22,IF([3]项目总工作量!B$6="流程管理类",H323*1.5*0.8/22,IF([3]项目总工作量!B$6="渠道类",H323*1.5*0.7/22,FALSE))))</f>
        <v>0.27272727272727271</v>
      </c>
      <c r="J323" s="117" t="s">
        <v>44</v>
      </c>
    </row>
    <row r="324" spans="1:10" s="119" customFormat="1" ht="14" x14ac:dyDescent="0.15">
      <c r="A324" s="122"/>
      <c r="B324" s="121"/>
      <c r="C324" s="121"/>
      <c r="D324" s="114">
        <f t="shared" si="15"/>
        <v>0.27272727272727271</v>
      </c>
      <c r="E324" s="115"/>
      <c r="F324" s="52" t="s">
        <v>292</v>
      </c>
      <c r="G324" s="117" t="s">
        <v>66</v>
      </c>
      <c r="H324" s="118">
        <f t="shared" si="16"/>
        <v>4</v>
      </c>
      <c r="I324" s="117">
        <f>IF([3]项目总工作量!B$6="交易类",H324*1.5/22,IF([3]项目总工作量!B$6="数据分析类",H324*1.5*0.9/22,IF([3]项目总工作量!B$6="流程管理类",H324*1.5*0.8/22,IF([3]项目总工作量!B$6="渠道类",H324*1.5*0.7/22,FALSE))))</f>
        <v>0.27272727272727271</v>
      </c>
      <c r="J324" s="117" t="s">
        <v>44</v>
      </c>
    </row>
    <row r="325" spans="1:10" s="119" customFormat="1" ht="14" x14ac:dyDescent="0.15">
      <c r="A325" s="122"/>
      <c r="B325" s="121"/>
      <c r="C325" s="121"/>
      <c r="D325" s="114">
        <f t="shared" si="15"/>
        <v>0.27272727272727271</v>
      </c>
      <c r="E325" s="115"/>
      <c r="F325" s="52" t="s">
        <v>291</v>
      </c>
      <c r="G325" s="117" t="s">
        <v>66</v>
      </c>
      <c r="H325" s="118">
        <f t="shared" si="16"/>
        <v>4</v>
      </c>
      <c r="I325" s="117">
        <f>IF([3]项目总工作量!B$6="交易类",H325*1.5/22,IF([3]项目总工作量!B$6="数据分析类",H325*1.5*0.9/22,IF([3]项目总工作量!B$6="流程管理类",H325*1.5*0.8/22,IF([3]项目总工作量!B$6="渠道类",H325*1.5*0.7/22,FALSE))))</f>
        <v>0.27272727272727271</v>
      </c>
      <c r="J325" s="117" t="s">
        <v>44</v>
      </c>
    </row>
    <row r="326" spans="1:10" s="119" customFormat="1" ht="14" x14ac:dyDescent="0.15">
      <c r="A326" s="122"/>
      <c r="B326" s="121"/>
      <c r="C326" s="121"/>
      <c r="D326" s="114">
        <f t="shared" si="15"/>
        <v>0.27272727272727271</v>
      </c>
      <c r="E326" s="115"/>
      <c r="F326" s="52" t="s">
        <v>290</v>
      </c>
      <c r="G326" s="117" t="s">
        <v>66</v>
      </c>
      <c r="H326" s="118">
        <f t="shared" si="16"/>
        <v>4</v>
      </c>
      <c r="I326" s="117">
        <f>IF([3]项目总工作量!B$6="交易类",H326*1.5/22,IF([3]项目总工作量!B$6="数据分析类",H326*1.5*0.9/22,IF([3]项目总工作量!B$6="流程管理类",H326*1.5*0.8/22,IF([3]项目总工作量!B$6="渠道类",H326*1.5*0.7/22,FALSE))))</f>
        <v>0.27272727272727271</v>
      </c>
      <c r="J326" s="117" t="s">
        <v>44</v>
      </c>
    </row>
    <row r="327" spans="1:10" s="119" customFormat="1" ht="14" x14ac:dyDescent="0.15">
      <c r="A327" s="122">
        <v>7</v>
      </c>
      <c r="B327" s="121" t="s">
        <v>223</v>
      </c>
      <c r="C327" s="121" t="s">
        <v>224</v>
      </c>
      <c r="D327" s="114">
        <f t="shared" si="15"/>
        <v>0.27272727272727271</v>
      </c>
      <c r="E327" s="115"/>
      <c r="F327" s="52" t="s">
        <v>225</v>
      </c>
      <c r="G327" s="117" t="s">
        <v>66</v>
      </c>
      <c r="H327" s="118">
        <f t="shared" si="16"/>
        <v>4</v>
      </c>
      <c r="I327" s="117">
        <f>IF([3]项目总工作量!B$6="交易类",H327*1.5/22,IF([3]项目总工作量!B$6="数据分析类",H327*1.5*0.9/22,IF([3]项目总工作量!B$6="流程管理类",H327*1.5*0.8/22,IF([3]项目总工作量!B$6="渠道类",H327*1.5*0.7/22,FALSE))))</f>
        <v>0.27272727272727271</v>
      </c>
      <c r="J327" s="117" t="s">
        <v>44</v>
      </c>
    </row>
    <row r="328" spans="1:10" s="119" customFormat="1" ht="14" x14ac:dyDescent="0.15">
      <c r="A328" s="122"/>
      <c r="B328" s="121"/>
      <c r="C328" s="121"/>
      <c r="D328" s="114">
        <f t="shared" si="15"/>
        <v>0.27272727272727271</v>
      </c>
      <c r="E328" s="115"/>
      <c r="F328" s="52" t="s">
        <v>226</v>
      </c>
      <c r="G328" s="117" t="s">
        <v>66</v>
      </c>
      <c r="H328" s="118">
        <f t="shared" si="16"/>
        <v>4</v>
      </c>
      <c r="I328" s="117">
        <f>IF([3]项目总工作量!B$6="交易类",H328*1.5/22,IF([3]项目总工作量!B$6="数据分析类",H328*1.5*0.9/22,IF([3]项目总工作量!B$6="流程管理类",H328*1.5*0.8/22,IF([3]项目总工作量!B$6="渠道类",H328*1.5*0.7/22,FALSE))))</f>
        <v>0.27272727272727271</v>
      </c>
      <c r="J328" s="117" t="s">
        <v>44</v>
      </c>
    </row>
    <row r="329" spans="1:10" s="119" customFormat="1" ht="14" x14ac:dyDescent="0.15">
      <c r="A329" s="122"/>
      <c r="B329" s="121"/>
      <c r="C329" s="121"/>
      <c r="D329" s="114">
        <f t="shared" si="15"/>
        <v>0.27272727272727271</v>
      </c>
      <c r="E329" s="115"/>
      <c r="F329" s="52" t="s">
        <v>227</v>
      </c>
      <c r="G329" s="117" t="s">
        <v>66</v>
      </c>
      <c r="H329" s="118">
        <f t="shared" si="16"/>
        <v>4</v>
      </c>
      <c r="I329" s="117">
        <f>IF([3]项目总工作量!B$6="交易类",H329*1.5/22,IF([3]项目总工作量!B$6="数据分析类",H329*1.5*0.9/22,IF([3]项目总工作量!B$6="流程管理类",H329*1.5*0.8/22,IF([3]项目总工作量!B$6="渠道类",H329*1.5*0.7/22,FALSE))))</f>
        <v>0.27272727272727271</v>
      </c>
      <c r="J329" s="117" t="s">
        <v>44</v>
      </c>
    </row>
    <row r="330" spans="1:10" s="119" customFormat="1" ht="28" x14ac:dyDescent="0.15">
      <c r="A330" s="122"/>
      <c r="B330" s="121"/>
      <c r="C330" s="121"/>
      <c r="D330" s="114">
        <f t="shared" si="15"/>
        <v>0.27272727272727271</v>
      </c>
      <c r="E330" s="115"/>
      <c r="F330" s="52" t="s">
        <v>228</v>
      </c>
      <c r="G330" s="117" t="s">
        <v>66</v>
      </c>
      <c r="H330" s="118">
        <f t="shared" si="16"/>
        <v>4</v>
      </c>
      <c r="I330" s="117">
        <f>IF([3]项目总工作量!B$6="交易类",H330*1.5/22,IF([3]项目总工作量!B$6="数据分析类",H330*1.5*0.9/22,IF([3]项目总工作量!B$6="流程管理类",H330*1.5*0.8/22,IF([3]项目总工作量!B$6="渠道类",H330*1.5*0.7/22,FALSE))))</f>
        <v>0.27272727272727271</v>
      </c>
      <c r="J330" s="117" t="s">
        <v>44</v>
      </c>
    </row>
    <row r="331" spans="1:10" s="119" customFormat="1" ht="28" x14ac:dyDescent="0.15">
      <c r="A331" s="122"/>
      <c r="B331" s="121"/>
      <c r="C331" s="121"/>
      <c r="D331" s="114">
        <f t="shared" si="15"/>
        <v>0.27272727272727271</v>
      </c>
      <c r="E331" s="115"/>
      <c r="F331" s="52" t="s">
        <v>229</v>
      </c>
      <c r="G331" s="117" t="s">
        <v>66</v>
      </c>
      <c r="H331" s="118">
        <f t="shared" si="16"/>
        <v>4</v>
      </c>
      <c r="I331" s="117">
        <f>IF([3]项目总工作量!B$6="交易类",H331*1.5/22,IF([3]项目总工作量!B$6="数据分析类",H331*1.5*0.9/22,IF([3]项目总工作量!B$6="流程管理类",H331*1.5*0.8/22,IF([3]项目总工作量!B$6="渠道类",H331*1.5*0.7/22,FALSE))))</f>
        <v>0.27272727272727271</v>
      </c>
      <c r="J331" s="117" t="s">
        <v>44</v>
      </c>
    </row>
    <row r="332" spans="1:10" s="119" customFormat="1" ht="14" x14ac:dyDescent="0.15">
      <c r="A332" s="122"/>
      <c r="B332" s="121"/>
      <c r="C332" s="121"/>
      <c r="D332" s="114">
        <f t="shared" si="15"/>
        <v>0.27272727272727271</v>
      </c>
      <c r="E332" s="115"/>
      <c r="F332" s="52" t="s">
        <v>230</v>
      </c>
      <c r="G332" s="117" t="s">
        <v>66</v>
      </c>
      <c r="H332" s="118">
        <f t="shared" si="16"/>
        <v>4</v>
      </c>
      <c r="I332" s="117">
        <f>IF([3]项目总工作量!B$6="交易类",H332*1.5/22,IF([3]项目总工作量!B$6="数据分析类",H332*1.5*0.9/22,IF([3]项目总工作量!B$6="流程管理类",H332*1.5*0.8/22,IF([3]项目总工作量!B$6="渠道类",H332*1.5*0.7/22,FALSE))))</f>
        <v>0.27272727272727271</v>
      </c>
      <c r="J332" s="117" t="s">
        <v>44</v>
      </c>
    </row>
    <row r="333" spans="1:10" s="119" customFormat="1" ht="14" x14ac:dyDescent="0.15">
      <c r="A333" s="122"/>
      <c r="B333" s="121"/>
      <c r="C333" s="121"/>
      <c r="D333" s="114">
        <f t="shared" si="15"/>
        <v>0.27272727272727271</v>
      </c>
      <c r="E333" s="115"/>
      <c r="F333" s="52" t="s">
        <v>231</v>
      </c>
      <c r="G333" s="117" t="s">
        <v>66</v>
      </c>
      <c r="H333" s="118">
        <f t="shared" si="16"/>
        <v>4</v>
      </c>
      <c r="I333" s="117">
        <f>IF([3]项目总工作量!B$6="交易类",H333*1.5/22,IF([3]项目总工作量!B$6="数据分析类",H333*1.5*0.9/22,IF([3]项目总工作量!B$6="流程管理类",H333*1.5*0.8/22,IF([3]项目总工作量!B$6="渠道类",H333*1.5*0.7/22,FALSE))))</f>
        <v>0.27272727272727271</v>
      </c>
      <c r="J333" s="117" t="s">
        <v>44</v>
      </c>
    </row>
    <row r="334" spans="1:10" s="119" customFormat="1" ht="14" x14ac:dyDescent="0.15">
      <c r="A334" s="122"/>
      <c r="B334" s="121"/>
      <c r="C334" s="121"/>
      <c r="D334" s="114">
        <f t="shared" si="15"/>
        <v>0.27272727272727271</v>
      </c>
      <c r="E334" s="115"/>
      <c r="F334" s="52" t="s">
        <v>232</v>
      </c>
      <c r="G334" s="117" t="s">
        <v>66</v>
      </c>
      <c r="H334" s="118">
        <f t="shared" si="16"/>
        <v>4</v>
      </c>
      <c r="I334" s="117">
        <f>IF([3]项目总工作量!B$6="交易类",H334*1.5/22,IF([3]项目总工作量!B$6="数据分析类",H334*1.5*0.9/22,IF([3]项目总工作量!B$6="流程管理类",H334*1.5*0.8/22,IF([3]项目总工作量!B$6="渠道类",H334*1.5*0.7/22,FALSE))))</f>
        <v>0.27272727272727271</v>
      </c>
      <c r="J334" s="117" t="s">
        <v>44</v>
      </c>
    </row>
    <row r="335" spans="1:10" s="119" customFormat="1" ht="14" x14ac:dyDescent="0.15">
      <c r="A335" s="122"/>
      <c r="B335" s="121"/>
      <c r="C335" s="121"/>
      <c r="D335" s="114">
        <f t="shared" si="15"/>
        <v>0.27272727272727271</v>
      </c>
      <c r="E335" s="115"/>
      <c r="F335" s="52" t="s">
        <v>233</v>
      </c>
      <c r="G335" s="117" t="s">
        <v>66</v>
      </c>
      <c r="H335" s="118">
        <f t="shared" si="16"/>
        <v>4</v>
      </c>
      <c r="I335" s="117">
        <f>IF([3]项目总工作量!B$6="交易类",H335*1.5/22,IF([3]项目总工作量!B$6="数据分析类",H335*1.5*0.9/22,IF([3]项目总工作量!B$6="流程管理类",H335*1.5*0.8/22,IF([3]项目总工作量!B$6="渠道类",H335*1.5*0.7/22,FALSE))))</f>
        <v>0.27272727272727271</v>
      </c>
      <c r="J335" s="117" t="s">
        <v>44</v>
      </c>
    </row>
    <row r="336" spans="1:10" s="119" customFormat="1" ht="14" x14ac:dyDescent="0.15">
      <c r="A336" s="122"/>
      <c r="B336" s="121"/>
      <c r="C336" s="121"/>
      <c r="D336" s="114">
        <f t="shared" si="15"/>
        <v>0.27272727272727271</v>
      </c>
      <c r="E336" s="115"/>
      <c r="F336" s="52" t="s">
        <v>234</v>
      </c>
      <c r="G336" s="117" t="s">
        <v>66</v>
      </c>
      <c r="H336" s="118">
        <f t="shared" ref="H336:H367" si="17">IF(G336="EI",4,IF(G336="EO",5,IF(G336="EQ",4,0)))</f>
        <v>4</v>
      </c>
      <c r="I336" s="117">
        <f>IF([3]项目总工作量!B$6="交易类",H336*1.5/22,IF([3]项目总工作量!B$6="数据分析类",H336*1.5*0.9/22,IF([3]项目总工作量!B$6="流程管理类",H336*1.5*0.8/22,IF([3]项目总工作量!B$6="渠道类",H336*1.5*0.7/22,FALSE))))</f>
        <v>0.27272727272727271</v>
      </c>
      <c r="J336" s="117" t="s">
        <v>44</v>
      </c>
    </row>
    <row r="337" spans="1:10" s="119" customFormat="1" ht="14" x14ac:dyDescent="0.15">
      <c r="A337" s="122"/>
      <c r="B337" s="121"/>
      <c r="C337" s="121"/>
      <c r="D337" s="114">
        <f t="shared" si="15"/>
        <v>0.27272727272727271</v>
      </c>
      <c r="E337" s="115"/>
      <c r="F337" s="52" t="s">
        <v>235</v>
      </c>
      <c r="G337" s="117" t="s">
        <v>66</v>
      </c>
      <c r="H337" s="118">
        <f t="shared" si="17"/>
        <v>4</v>
      </c>
      <c r="I337" s="117">
        <f>IF([3]项目总工作量!B$6="交易类",H337*1.5/22,IF([3]项目总工作量!B$6="数据分析类",H337*1.5*0.9/22,IF([3]项目总工作量!B$6="流程管理类",H337*1.5*0.8/22,IF([3]项目总工作量!B$6="渠道类",H337*1.5*0.7/22,FALSE))))</f>
        <v>0.27272727272727271</v>
      </c>
      <c r="J337" s="117" t="s">
        <v>44</v>
      </c>
    </row>
    <row r="338" spans="1:10" s="119" customFormat="1" ht="28" x14ac:dyDescent="0.15">
      <c r="A338" s="122"/>
      <c r="B338" s="121"/>
      <c r="C338" s="121"/>
      <c r="D338" s="114">
        <f t="shared" si="15"/>
        <v>0.27272727272727271</v>
      </c>
      <c r="E338" s="115"/>
      <c r="F338" s="52" t="s">
        <v>236</v>
      </c>
      <c r="G338" s="117" t="s">
        <v>66</v>
      </c>
      <c r="H338" s="118">
        <f t="shared" si="17"/>
        <v>4</v>
      </c>
      <c r="I338" s="117">
        <f>IF([3]项目总工作量!B$6="交易类",H338*1.5/22,IF([3]项目总工作量!B$6="数据分析类",H338*1.5*0.9/22,IF([3]项目总工作量!B$6="流程管理类",H338*1.5*0.8/22,IF([3]项目总工作量!B$6="渠道类",H338*1.5*0.7/22,FALSE))))</f>
        <v>0.27272727272727271</v>
      </c>
      <c r="J338" s="117" t="s">
        <v>44</v>
      </c>
    </row>
    <row r="339" spans="1:10" s="119" customFormat="1" ht="14" x14ac:dyDescent="0.15">
      <c r="A339" s="122"/>
      <c r="B339" s="121"/>
      <c r="C339" s="121"/>
      <c r="D339" s="114">
        <f t="shared" si="15"/>
        <v>0.27272727272727271</v>
      </c>
      <c r="E339" s="115"/>
      <c r="F339" s="52" t="s">
        <v>237</v>
      </c>
      <c r="G339" s="117" t="s">
        <v>66</v>
      </c>
      <c r="H339" s="118">
        <f t="shared" si="17"/>
        <v>4</v>
      </c>
      <c r="I339" s="117">
        <f>IF([3]项目总工作量!B$6="交易类",H339*1.5/22,IF([3]项目总工作量!B$6="数据分析类",H339*1.5*0.9/22,IF([3]项目总工作量!B$6="流程管理类",H339*1.5*0.8/22,IF([3]项目总工作量!B$6="渠道类",H339*1.5*0.7/22,FALSE))))</f>
        <v>0.27272727272727271</v>
      </c>
      <c r="J339" s="117" t="s">
        <v>44</v>
      </c>
    </row>
    <row r="340" spans="1:10" s="119" customFormat="1" ht="14" x14ac:dyDescent="0.15">
      <c r="A340" s="122"/>
      <c r="B340" s="121"/>
      <c r="C340" s="121"/>
      <c r="D340" s="114">
        <f t="shared" si="15"/>
        <v>0.27272727272727271</v>
      </c>
      <c r="E340" s="115"/>
      <c r="F340" s="52" t="s">
        <v>238</v>
      </c>
      <c r="G340" s="117" t="s">
        <v>66</v>
      </c>
      <c r="H340" s="118">
        <f t="shared" si="17"/>
        <v>4</v>
      </c>
      <c r="I340" s="117">
        <f>IF([3]项目总工作量!B$6="交易类",H340*1.5/22,IF([3]项目总工作量!B$6="数据分析类",H340*1.5*0.9/22,IF([3]项目总工作量!B$6="流程管理类",H340*1.5*0.8/22,IF([3]项目总工作量!B$6="渠道类",H340*1.5*0.7/22,FALSE))))</f>
        <v>0.27272727272727271</v>
      </c>
      <c r="J340" s="117" t="s">
        <v>44</v>
      </c>
    </row>
    <row r="341" spans="1:10" s="119" customFormat="1" ht="14" x14ac:dyDescent="0.15">
      <c r="A341" s="122"/>
      <c r="B341" s="121"/>
      <c r="C341" s="121"/>
      <c r="D341" s="114">
        <f t="shared" si="15"/>
        <v>0.27272727272727271</v>
      </c>
      <c r="E341" s="115"/>
      <c r="F341" s="52" t="s">
        <v>239</v>
      </c>
      <c r="G341" s="117" t="s">
        <v>66</v>
      </c>
      <c r="H341" s="118">
        <f t="shared" si="17"/>
        <v>4</v>
      </c>
      <c r="I341" s="117">
        <f>IF([3]项目总工作量!B$6="交易类",H341*1.5/22,IF([3]项目总工作量!B$6="数据分析类",H341*1.5*0.9/22,IF([3]项目总工作量!B$6="流程管理类",H341*1.5*0.8/22,IF([3]项目总工作量!B$6="渠道类",H341*1.5*0.7/22,FALSE))))</f>
        <v>0.27272727272727271</v>
      </c>
      <c r="J341" s="117" t="s">
        <v>44</v>
      </c>
    </row>
    <row r="342" spans="1:10" s="119" customFormat="1" ht="14" x14ac:dyDescent="0.15">
      <c r="A342" s="122"/>
      <c r="B342" s="121"/>
      <c r="C342" s="121"/>
      <c r="D342" s="114">
        <f t="shared" si="15"/>
        <v>0.27272727272727271</v>
      </c>
      <c r="E342" s="115"/>
      <c r="F342" s="52" t="s">
        <v>240</v>
      </c>
      <c r="G342" s="117" t="s">
        <v>66</v>
      </c>
      <c r="H342" s="118">
        <f t="shared" si="17"/>
        <v>4</v>
      </c>
      <c r="I342" s="117">
        <f>IF([3]项目总工作量!B$6="交易类",H342*1.5/22,IF([3]项目总工作量!B$6="数据分析类",H342*1.5*0.9/22,IF([3]项目总工作量!B$6="流程管理类",H342*1.5*0.8/22,IF([3]项目总工作量!B$6="渠道类",H342*1.5*0.7/22,FALSE))))</f>
        <v>0.27272727272727271</v>
      </c>
      <c r="J342" s="117" t="s">
        <v>44</v>
      </c>
    </row>
    <row r="343" spans="1:10" s="119" customFormat="1" ht="14" x14ac:dyDescent="0.15">
      <c r="A343" s="122"/>
      <c r="B343" s="121"/>
      <c r="C343" s="121"/>
      <c r="D343" s="114">
        <f t="shared" si="15"/>
        <v>0.27272727272727271</v>
      </c>
      <c r="E343" s="115"/>
      <c r="F343" s="52" t="s">
        <v>241</v>
      </c>
      <c r="G343" s="117" t="s">
        <v>66</v>
      </c>
      <c r="H343" s="118">
        <f t="shared" si="17"/>
        <v>4</v>
      </c>
      <c r="I343" s="117">
        <f>IF([3]项目总工作量!B$6="交易类",H343*1.5/22,IF([3]项目总工作量!B$6="数据分析类",H343*1.5*0.9/22,IF([3]项目总工作量!B$6="流程管理类",H343*1.5*0.8/22,IF([3]项目总工作量!B$6="渠道类",H343*1.5*0.7/22,FALSE))))</f>
        <v>0.27272727272727271</v>
      </c>
      <c r="J343" s="117" t="s">
        <v>44</v>
      </c>
    </row>
    <row r="344" spans="1:10" s="119" customFormat="1" ht="14" x14ac:dyDescent="0.15">
      <c r="A344" s="122"/>
      <c r="B344" s="121"/>
      <c r="C344" s="121"/>
      <c r="D344" s="114">
        <f t="shared" si="15"/>
        <v>0.27272727272727271</v>
      </c>
      <c r="E344" s="115"/>
      <c r="F344" s="52" t="s">
        <v>242</v>
      </c>
      <c r="G344" s="117" t="s">
        <v>66</v>
      </c>
      <c r="H344" s="118">
        <f t="shared" si="17"/>
        <v>4</v>
      </c>
      <c r="I344" s="117">
        <f>IF([3]项目总工作量!B$6="交易类",H344*1.5/22,IF([3]项目总工作量!B$6="数据分析类",H344*1.5*0.9/22,IF([3]项目总工作量!B$6="流程管理类",H344*1.5*0.8/22,IF([3]项目总工作量!B$6="渠道类",H344*1.5*0.7/22,FALSE))))</f>
        <v>0.27272727272727271</v>
      </c>
      <c r="J344" s="117" t="s">
        <v>44</v>
      </c>
    </row>
    <row r="345" spans="1:10" s="119" customFormat="1" ht="14" x14ac:dyDescent="0.15">
      <c r="A345" s="122"/>
      <c r="B345" s="121"/>
      <c r="C345" s="121"/>
      <c r="D345" s="114">
        <f t="shared" si="15"/>
        <v>0.27272727272727271</v>
      </c>
      <c r="E345" s="115"/>
      <c r="F345" s="52" t="s">
        <v>243</v>
      </c>
      <c r="G345" s="117" t="s">
        <v>66</v>
      </c>
      <c r="H345" s="118">
        <f t="shared" si="17"/>
        <v>4</v>
      </c>
      <c r="I345" s="117">
        <f>IF([3]项目总工作量!B$6="交易类",H345*1.5/22,IF([3]项目总工作量!B$6="数据分析类",H345*1.5*0.9/22,IF([3]项目总工作量!B$6="流程管理类",H345*1.5*0.8/22,IF([3]项目总工作量!B$6="渠道类",H345*1.5*0.7/22,FALSE))))</f>
        <v>0.27272727272727271</v>
      </c>
      <c r="J345" s="117" t="s">
        <v>44</v>
      </c>
    </row>
    <row r="346" spans="1:10" s="119" customFormat="1" ht="14" x14ac:dyDescent="0.15">
      <c r="A346" s="122"/>
      <c r="B346" s="121"/>
      <c r="C346" s="121"/>
      <c r="D346" s="114">
        <f t="shared" si="15"/>
        <v>0.27272727272727271</v>
      </c>
      <c r="E346" s="115"/>
      <c r="F346" s="52" t="s">
        <v>244</v>
      </c>
      <c r="G346" s="117" t="s">
        <v>66</v>
      </c>
      <c r="H346" s="118">
        <f t="shared" si="17"/>
        <v>4</v>
      </c>
      <c r="I346" s="117">
        <f>IF([3]项目总工作量!B$6="交易类",H346*1.5/22,IF([3]项目总工作量!B$6="数据分析类",H346*1.5*0.9/22,IF([3]项目总工作量!B$6="流程管理类",H346*1.5*0.8/22,IF([3]项目总工作量!B$6="渠道类",H346*1.5*0.7/22,FALSE))))</f>
        <v>0.27272727272727271</v>
      </c>
      <c r="J346" s="117" t="s">
        <v>44</v>
      </c>
    </row>
    <row r="347" spans="1:10" s="119" customFormat="1" ht="14" x14ac:dyDescent="0.15">
      <c r="A347" s="122"/>
      <c r="B347" s="121"/>
      <c r="C347" s="121"/>
      <c r="D347" s="114">
        <f t="shared" si="15"/>
        <v>0.27272727272727271</v>
      </c>
      <c r="E347" s="115"/>
      <c r="F347" s="52" t="s">
        <v>245</v>
      </c>
      <c r="G347" s="117" t="s">
        <v>66</v>
      </c>
      <c r="H347" s="118">
        <f t="shared" si="17"/>
        <v>4</v>
      </c>
      <c r="I347" s="117">
        <f>IF([3]项目总工作量!B$6="交易类",H347*1.5/22,IF([3]项目总工作量!B$6="数据分析类",H347*1.5*0.9/22,IF([3]项目总工作量!B$6="流程管理类",H347*1.5*0.8/22,IF([3]项目总工作量!B$6="渠道类",H347*1.5*0.7/22,FALSE))))</f>
        <v>0.27272727272727271</v>
      </c>
      <c r="J347" s="117" t="s">
        <v>44</v>
      </c>
    </row>
    <row r="348" spans="1:10" s="119" customFormat="1" ht="14" x14ac:dyDescent="0.15">
      <c r="A348" s="122"/>
      <c r="B348" s="121"/>
      <c r="C348" s="121"/>
      <c r="D348" s="114">
        <f t="shared" si="15"/>
        <v>0.27272727272727271</v>
      </c>
      <c r="E348" s="115"/>
      <c r="F348" s="52" t="s">
        <v>246</v>
      </c>
      <c r="G348" s="117" t="s">
        <v>66</v>
      </c>
      <c r="H348" s="118">
        <f t="shared" si="17"/>
        <v>4</v>
      </c>
      <c r="I348" s="117">
        <f>IF([3]项目总工作量!B$6="交易类",H348*1.5/22,IF([3]项目总工作量!B$6="数据分析类",H348*1.5*0.9/22,IF([3]项目总工作量!B$6="流程管理类",H348*1.5*0.8/22,IF([3]项目总工作量!B$6="渠道类",H348*1.5*0.7/22,FALSE))))</f>
        <v>0.27272727272727271</v>
      </c>
      <c r="J348" s="117" t="s">
        <v>44</v>
      </c>
    </row>
    <row r="349" spans="1:10" s="119" customFormat="1" ht="14" x14ac:dyDescent="0.15">
      <c r="A349" s="122"/>
      <c r="B349" s="121"/>
      <c r="C349" s="121"/>
      <c r="D349" s="114">
        <f t="shared" si="15"/>
        <v>0.27272727272727271</v>
      </c>
      <c r="E349" s="115"/>
      <c r="F349" s="52" t="s">
        <v>247</v>
      </c>
      <c r="G349" s="117" t="s">
        <v>66</v>
      </c>
      <c r="H349" s="118">
        <f t="shared" si="17"/>
        <v>4</v>
      </c>
      <c r="I349" s="117">
        <f>IF([3]项目总工作量!B$6="交易类",H349*1.5/22,IF([3]项目总工作量!B$6="数据分析类",H349*1.5*0.9/22,IF([3]项目总工作量!B$6="流程管理类",H349*1.5*0.8/22,IF([3]项目总工作量!B$6="渠道类",H349*1.5*0.7/22,FALSE))))</f>
        <v>0.27272727272727271</v>
      </c>
      <c r="J349" s="117" t="s">
        <v>44</v>
      </c>
    </row>
    <row r="350" spans="1:10" s="119" customFormat="1" ht="14" x14ac:dyDescent="0.15">
      <c r="A350" s="122"/>
      <c r="B350" s="121"/>
      <c r="C350" s="121"/>
      <c r="D350" s="114">
        <f t="shared" si="15"/>
        <v>0.27272727272727271</v>
      </c>
      <c r="E350" s="115"/>
      <c r="F350" s="52" t="s">
        <v>248</v>
      </c>
      <c r="G350" s="117" t="s">
        <v>66</v>
      </c>
      <c r="H350" s="118">
        <f t="shared" si="17"/>
        <v>4</v>
      </c>
      <c r="I350" s="117">
        <f>IF([3]项目总工作量!B$6="交易类",H350*1.5/22,IF([3]项目总工作量!B$6="数据分析类",H350*1.5*0.9/22,IF([3]项目总工作量!B$6="流程管理类",H350*1.5*0.8/22,IF([3]项目总工作量!B$6="渠道类",H350*1.5*0.7/22,FALSE))))</f>
        <v>0.27272727272727271</v>
      </c>
      <c r="J350" s="117" t="s">
        <v>44</v>
      </c>
    </row>
    <row r="351" spans="1:10" s="119" customFormat="1" ht="14" x14ac:dyDescent="0.15">
      <c r="A351" s="122"/>
      <c r="B351" s="121"/>
      <c r="C351" s="121"/>
      <c r="D351" s="114">
        <f t="shared" si="15"/>
        <v>0.27272727272727271</v>
      </c>
      <c r="E351" s="115"/>
      <c r="F351" s="52" t="s">
        <v>249</v>
      </c>
      <c r="G351" s="117" t="s">
        <v>66</v>
      </c>
      <c r="H351" s="118">
        <f t="shared" si="17"/>
        <v>4</v>
      </c>
      <c r="I351" s="117">
        <f>IF([3]项目总工作量!B$6="交易类",H351*1.5/22,IF([3]项目总工作量!B$6="数据分析类",H351*1.5*0.9/22,IF([3]项目总工作量!B$6="流程管理类",H351*1.5*0.8/22,IF([3]项目总工作量!B$6="渠道类",H351*1.5*0.7/22,FALSE))))</f>
        <v>0.27272727272727271</v>
      </c>
      <c r="J351" s="117" t="s">
        <v>44</v>
      </c>
    </row>
    <row r="352" spans="1:10" s="119" customFormat="1" ht="14" x14ac:dyDescent="0.15">
      <c r="A352" s="122"/>
      <c r="B352" s="121"/>
      <c r="C352" s="121"/>
      <c r="D352" s="114">
        <f t="shared" si="15"/>
        <v>0.27272727272727271</v>
      </c>
      <c r="E352" s="115"/>
      <c r="F352" s="52" t="s">
        <v>250</v>
      </c>
      <c r="G352" s="117" t="s">
        <v>66</v>
      </c>
      <c r="H352" s="118">
        <f t="shared" si="17"/>
        <v>4</v>
      </c>
      <c r="I352" s="117">
        <f>IF([3]项目总工作量!B$6="交易类",H352*1.5/22,IF([3]项目总工作量!B$6="数据分析类",H352*1.5*0.9/22,IF([3]项目总工作量!B$6="流程管理类",H352*1.5*0.8/22,IF([3]项目总工作量!B$6="渠道类",H352*1.5*0.7/22,FALSE))))</f>
        <v>0.27272727272727271</v>
      </c>
      <c r="J352" s="117" t="s">
        <v>44</v>
      </c>
    </row>
    <row r="353" spans="1:10" s="119" customFormat="1" ht="14" x14ac:dyDescent="0.15">
      <c r="A353" s="122"/>
      <c r="B353" s="121"/>
      <c r="C353" s="121"/>
      <c r="D353" s="114">
        <f t="shared" si="15"/>
        <v>0.27272727272727271</v>
      </c>
      <c r="E353" s="115"/>
      <c r="F353" s="52" t="s">
        <v>251</v>
      </c>
      <c r="G353" s="117" t="s">
        <v>66</v>
      </c>
      <c r="H353" s="118">
        <f t="shared" si="17"/>
        <v>4</v>
      </c>
      <c r="I353" s="117">
        <f>IF([3]项目总工作量!B$6="交易类",H353*1.5/22,IF([3]项目总工作量!B$6="数据分析类",H353*1.5*0.9/22,IF([3]项目总工作量!B$6="流程管理类",H353*1.5*0.8/22,IF([3]项目总工作量!B$6="渠道类",H353*1.5*0.7/22,FALSE))))</f>
        <v>0.27272727272727271</v>
      </c>
      <c r="J353" s="117" t="s">
        <v>44</v>
      </c>
    </row>
    <row r="354" spans="1:10" s="119" customFormat="1" ht="14" x14ac:dyDescent="0.15">
      <c r="A354" s="122"/>
      <c r="B354" s="121"/>
      <c r="C354" s="121"/>
      <c r="D354" s="114">
        <f t="shared" si="15"/>
        <v>0.27272727272727271</v>
      </c>
      <c r="E354" s="115"/>
      <c r="F354" s="52" t="s">
        <v>252</v>
      </c>
      <c r="G354" s="117" t="s">
        <v>66</v>
      </c>
      <c r="H354" s="118">
        <f t="shared" si="17"/>
        <v>4</v>
      </c>
      <c r="I354" s="117">
        <f>IF([3]项目总工作量!B$6="交易类",H354*1.5/22,IF([3]项目总工作量!B$6="数据分析类",H354*1.5*0.9/22,IF([3]项目总工作量!B$6="流程管理类",H354*1.5*0.8/22,IF([3]项目总工作量!B$6="渠道类",H354*1.5*0.7/22,FALSE))))</f>
        <v>0.27272727272727271</v>
      </c>
      <c r="J354" s="117" t="s">
        <v>44</v>
      </c>
    </row>
    <row r="355" spans="1:10" s="119" customFormat="1" ht="14" x14ac:dyDescent="0.15">
      <c r="A355" s="122"/>
      <c r="B355" s="121"/>
      <c r="C355" s="121"/>
      <c r="D355" s="114">
        <f t="shared" si="15"/>
        <v>0.27272727272727271</v>
      </c>
      <c r="E355" s="115"/>
      <c r="F355" s="52" t="s">
        <v>253</v>
      </c>
      <c r="G355" s="117" t="s">
        <v>66</v>
      </c>
      <c r="H355" s="118">
        <f t="shared" si="17"/>
        <v>4</v>
      </c>
      <c r="I355" s="117">
        <f>IF([3]项目总工作量!B$6="交易类",H355*1.5/22,IF([3]项目总工作量!B$6="数据分析类",H355*1.5*0.9/22,IF([3]项目总工作量!B$6="流程管理类",H355*1.5*0.8/22,IF([3]项目总工作量!B$6="渠道类",H355*1.5*0.7/22,FALSE))))</f>
        <v>0.27272727272727271</v>
      </c>
      <c r="J355" s="117" t="s">
        <v>44</v>
      </c>
    </row>
    <row r="356" spans="1:10" s="119" customFormat="1" ht="14" x14ac:dyDescent="0.15">
      <c r="A356" s="122"/>
      <c r="B356" s="121"/>
      <c r="C356" s="121"/>
      <c r="D356" s="114">
        <f t="shared" si="15"/>
        <v>0.27272727272727271</v>
      </c>
      <c r="E356" s="115"/>
      <c r="F356" s="52" t="s">
        <v>254</v>
      </c>
      <c r="G356" s="117" t="s">
        <v>66</v>
      </c>
      <c r="H356" s="118">
        <f t="shared" si="17"/>
        <v>4</v>
      </c>
      <c r="I356" s="117">
        <f>IF([3]项目总工作量!B$6="交易类",H356*1.5/22,IF([3]项目总工作量!B$6="数据分析类",H356*1.5*0.9/22,IF([3]项目总工作量!B$6="流程管理类",H356*1.5*0.8/22,IF([3]项目总工作量!B$6="渠道类",H356*1.5*0.7/22,FALSE))))</f>
        <v>0.27272727272727271</v>
      </c>
      <c r="J356" s="117" t="s">
        <v>44</v>
      </c>
    </row>
    <row r="357" spans="1:10" s="119" customFormat="1" ht="14" x14ac:dyDescent="0.15">
      <c r="A357" s="122"/>
      <c r="B357" s="121"/>
      <c r="C357" s="121"/>
      <c r="D357" s="114">
        <f t="shared" ref="D357:D386" si="18">I357</f>
        <v>0.27272727272727271</v>
      </c>
      <c r="E357" s="115"/>
      <c r="F357" s="52" t="s">
        <v>255</v>
      </c>
      <c r="G357" s="117" t="s">
        <v>66</v>
      </c>
      <c r="H357" s="118">
        <f t="shared" si="17"/>
        <v>4</v>
      </c>
      <c r="I357" s="117">
        <f>IF([3]项目总工作量!B$6="交易类",H357*1.5/22,IF([3]项目总工作量!B$6="数据分析类",H357*1.5*0.9/22,IF([3]项目总工作量!B$6="流程管理类",H357*1.5*0.8/22,IF([3]项目总工作量!B$6="渠道类",H357*1.5*0.7/22,FALSE))))</f>
        <v>0.27272727272727271</v>
      </c>
      <c r="J357" s="117" t="s">
        <v>44</v>
      </c>
    </row>
    <row r="358" spans="1:10" s="119" customFormat="1" ht="28" x14ac:dyDescent="0.15">
      <c r="A358" s="122"/>
      <c r="B358" s="121"/>
      <c r="C358" s="121"/>
      <c r="D358" s="114">
        <f t="shared" si="18"/>
        <v>0.27272727272727271</v>
      </c>
      <c r="E358" s="115"/>
      <c r="F358" s="52" t="s">
        <v>256</v>
      </c>
      <c r="G358" s="117" t="s">
        <v>66</v>
      </c>
      <c r="H358" s="118">
        <f t="shared" si="17"/>
        <v>4</v>
      </c>
      <c r="I358" s="117">
        <f>IF([3]项目总工作量!B$6="交易类",H358*1.5/22,IF([3]项目总工作量!B$6="数据分析类",H358*1.5*0.9/22,IF([3]项目总工作量!B$6="流程管理类",H358*1.5*0.8/22,IF([3]项目总工作量!B$6="渠道类",H358*1.5*0.7/22,FALSE))))</f>
        <v>0.27272727272727271</v>
      </c>
      <c r="J358" s="117" t="s">
        <v>44</v>
      </c>
    </row>
    <row r="359" spans="1:10" s="119" customFormat="1" ht="14" x14ac:dyDescent="0.15">
      <c r="A359" s="122"/>
      <c r="B359" s="121"/>
      <c r="C359" s="121"/>
      <c r="D359" s="114">
        <f t="shared" si="18"/>
        <v>0.27272727272727271</v>
      </c>
      <c r="E359" s="115"/>
      <c r="F359" s="52" t="s">
        <v>257</v>
      </c>
      <c r="G359" s="117" t="s">
        <v>66</v>
      </c>
      <c r="H359" s="118">
        <f t="shared" si="17"/>
        <v>4</v>
      </c>
      <c r="I359" s="117">
        <f>IF([3]项目总工作量!B$6="交易类",H359*1.5/22,IF([3]项目总工作量!B$6="数据分析类",H359*1.5*0.9/22,IF([3]项目总工作量!B$6="流程管理类",H359*1.5*0.8/22,IF([3]项目总工作量!B$6="渠道类",H359*1.5*0.7/22,FALSE))))</f>
        <v>0.27272727272727271</v>
      </c>
      <c r="J359" s="117" t="s">
        <v>44</v>
      </c>
    </row>
    <row r="360" spans="1:10" s="119" customFormat="1" ht="14" x14ac:dyDescent="0.15">
      <c r="A360" s="122"/>
      <c r="B360" s="121"/>
      <c r="C360" s="121"/>
      <c r="D360" s="114">
        <f t="shared" si="18"/>
        <v>0.27272727272727271</v>
      </c>
      <c r="E360" s="115"/>
      <c r="F360" s="52" t="s">
        <v>258</v>
      </c>
      <c r="G360" s="117" t="s">
        <v>66</v>
      </c>
      <c r="H360" s="118">
        <f t="shared" si="17"/>
        <v>4</v>
      </c>
      <c r="I360" s="117">
        <f>IF([3]项目总工作量!B$6="交易类",H360*1.5/22,IF([3]项目总工作量!B$6="数据分析类",H360*1.5*0.9/22,IF([3]项目总工作量!B$6="流程管理类",H360*1.5*0.8/22,IF([3]项目总工作量!B$6="渠道类",H360*1.5*0.7/22,FALSE))))</f>
        <v>0.27272727272727271</v>
      </c>
      <c r="J360" s="117" t="s">
        <v>44</v>
      </c>
    </row>
    <row r="361" spans="1:10" s="119" customFormat="1" ht="14" x14ac:dyDescent="0.15">
      <c r="A361" s="122"/>
      <c r="B361" s="121"/>
      <c r="C361" s="121"/>
      <c r="D361" s="114">
        <f t="shared" si="18"/>
        <v>0.27272727272727271</v>
      </c>
      <c r="E361" s="115"/>
      <c r="F361" s="52" t="s">
        <v>259</v>
      </c>
      <c r="G361" s="117" t="s">
        <v>66</v>
      </c>
      <c r="H361" s="118">
        <f t="shared" si="17"/>
        <v>4</v>
      </c>
      <c r="I361" s="117">
        <f>IF([3]项目总工作量!B$6="交易类",H361*1.5/22,IF([3]项目总工作量!B$6="数据分析类",H361*1.5*0.9/22,IF([3]项目总工作量!B$6="流程管理类",H361*1.5*0.8/22,IF([3]项目总工作量!B$6="渠道类",H361*1.5*0.7/22,FALSE))))</f>
        <v>0.27272727272727271</v>
      </c>
      <c r="J361" s="117" t="s">
        <v>44</v>
      </c>
    </row>
    <row r="362" spans="1:10" s="119" customFormat="1" ht="28" x14ac:dyDescent="0.15">
      <c r="A362" s="122"/>
      <c r="B362" s="121"/>
      <c r="C362" s="121"/>
      <c r="D362" s="114">
        <f t="shared" si="18"/>
        <v>0.27272727272727271</v>
      </c>
      <c r="E362" s="115"/>
      <c r="F362" s="52" t="s">
        <v>260</v>
      </c>
      <c r="G362" s="117" t="s">
        <v>66</v>
      </c>
      <c r="H362" s="118">
        <f t="shared" si="17"/>
        <v>4</v>
      </c>
      <c r="I362" s="117">
        <f>IF([3]项目总工作量!B$6="交易类",H362*1.5/22,IF([3]项目总工作量!B$6="数据分析类",H362*1.5*0.9/22,IF([3]项目总工作量!B$6="流程管理类",H362*1.5*0.8/22,IF([3]项目总工作量!B$6="渠道类",H362*1.5*0.7/22,FALSE))))</f>
        <v>0.27272727272727271</v>
      </c>
      <c r="J362" s="117" t="s">
        <v>44</v>
      </c>
    </row>
    <row r="363" spans="1:10" s="119" customFormat="1" ht="28" x14ac:dyDescent="0.15">
      <c r="A363" s="122"/>
      <c r="B363" s="121"/>
      <c r="C363" s="121"/>
      <c r="D363" s="114">
        <f t="shared" si="18"/>
        <v>0.27272727272727271</v>
      </c>
      <c r="E363" s="115"/>
      <c r="F363" s="52" t="s">
        <v>261</v>
      </c>
      <c r="G363" s="117" t="s">
        <v>66</v>
      </c>
      <c r="H363" s="118">
        <f t="shared" si="17"/>
        <v>4</v>
      </c>
      <c r="I363" s="117">
        <f>IF([3]项目总工作量!B$6="交易类",H363*1.5/22,IF([3]项目总工作量!B$6="数据分析类",H363*1.5*0.9/22,IF([3]项目总工作量!B$6="流程管理类",H363*1.5*0.8/22,IF([3]项目总工作量!B$6="渠道类",H363*1.5*0.7/22,FALSE))))</f>
        <v>0.27272727272727271</v>
      </c>
      <c r="J363" s="117" t="s">
        <v>44</v>
      </c>
    </row>
    <row r="364" spans="1:10" s="119" customFormat="1" ht="28" x14ac:dyDescent="0.15">
      <c r="A364" s="122"/>
      <c r="B364" s="121"/>
      <c r="C364" s="121"/>
      <c r="D364" s="114">
        <f t="shared" si="18"/>
        <v>0.27272727272727271</v>
      </c>
      <c r="E364" s="115"/>
      <c r="F364" s="52" t="s">
        <v>262</v>
      </c>
      <c r="G364" s="117" t="s">
        <v>66</v>
      </c>
      <c r="H364" s="118">
        <f t="shared" si="17"/>
        <v>4</v>
      </c>
      <c r="I364" s="117">
        <f>IF([3]项目总工作量!B$6="交易类",H364*1.5/22,IF([3]项目总工作量!B$6="数据分析类",H364*1.5*0.9/22,IF([3]项目总工作量!B$6="流程管理类",H364*1.5*0.8/22,IF([3]项目总工作量!B$6="渠道类",H364*1.5*0.7/22,FALSE))))</f>
        <v>0.27272727272727271</v>
      </c>
      <c r="J364" s="117" t="s">
        <v>44</v>
      </c>
    </row>
    <row r="365" spans="1:10" s="119" customFormat="1" ht="14" x14ac:dyDescent="0.15">
      <c r="A365" s="122"/>
      <c r="B365" s="121"/>
      <c r="C365" s="121"/>
      <c r="D365" s="114">
        <f t="shared" si="18"/>
        <v>0.27272727272727271</v>
      </c>
      <c r="E365" s="115"/>
      <c r="F365" s="52" t="s">
        <v>263</v>
      </c>
      <c r="G365" s="117" t="s">
        <v>66</v>
      </c>
      <c r="H365" s="118">
        <f t="shared" si="17"/>
        <v>4</v>
      </c>
      <c r="I365" s="117">
        <f>IF([3]项目总工作量!B$6="交易类",H365*1.5/22,IF([3]项目总工作量!B$6="数据分析类",H365*1.5*0.9/22,IF([3]项目总工作量!B$6="流程管理类",H365*1.5*0.8/22,IF([3]项目总工作量!B$6="渠道类",H365*1.5*0.7/22,FALSE))))</f>
        <v>0.27272727272727271</v>
      </c>
      <c r="J365" s="117" t="s">
        <v>44</v>
      </c>
    </row>
    <row r="366" spans="1:10" s="119" customFormat="1" ht="14" x14ac:dyDescent="0.15">
      <c r="A366" s="122"/>
      <c r="B366" s="121"/>
      <c r="C366" s="121"/>
      <c r="D366" s="114">
        <f t="shared" si="18"/>
        <v>0.27272727272727271</v>
      </c>
      <c r="E366" s="115"/>
      <c r="F366" s="52" t="s">
        <v>264</v>
      </c>
      <c r="G366" s="117" t="s">
        <v>66</v>
      </c>
      <c r="H366" s="118">
        <f t="shared" si="17"/>
        <v>4</v>
      </c>
      <c r="I366" s="117">
        <f>IF([3]项目总工作量!B$6="交易类",H366*1.5/22,IF([3]项目总工作量!B$6="数据分析类",H366*1.5*0.9/22,IF([3]项目总工作量!B$6="流程管理类",H366*1.5*0.8/22,IF([3]项目总工作量!B$6="渠道类",H366*1.5*0.7/22,FALSE))))</f>
        <v>0.27272727272727271</v>
      </c>
      <c r="J366" s="117" t="s">
        <v>44</v>
      </c>
    </row>
    <row r="367" spans="1:10" s="119" customFormat="1" ht="14" x14ac:dyDescent="0.15">
      <c r="A367" s="122"/>
      <c r="B367" s="121"/>
      <c r="C367" s="121"/>
      <c r="D367" s="114">
        <f t="shared" si="18"/>
        <v>0.27272727272727271</v>
      </c>
      <c r="E367" s="115"/>
      <c r="F367" s="52" t="s">
        <v>265</v>
      </c>
      <c r="G367" s="117" t="s">
        <v>66</v>
      </c>
      <c r="H367" s="118">
        <f t="shared" si="17"/>
        <v>4</v>
      </c>
      <c r="I367" s="117">
        <f>IF([3]项目总工作量!B$6="交易类",H367*1.5/22,IF([3]项目总工作量!B$6="数据分析类",H367*1.5*0.9/22,IF([3]项目总工作量!B$6="流程管理类",H367*1.5*0.8/22,IF([3]项目总工作量!B$6="渠道类",H367*1.5*0.7/22,FALSE))))</f>
        <v>0.27272727272727271</v>
      </c>
      <c r="J367" s="117" t="s">
        <v>44</v>
      </c>
    </row>
    <row r="368" spans="1:10" s="119" customFormat="1" ht="14" x14ac:dyDescent="0.15">
      <c r="A368" s="122"/>
      <c r="B368" s="121"/>
      <c r="C368" s="121"/>
      <c r="D368" s="114">
        <f t="shared" si="18"/>
        <v>0.27272727272727271</v>
      </c>
      <c r="E368" s="115"/>
      <c r="F368" s="52" t="s">
        <v>266</v>
      </c>
      <c r="G368" s="117" t="s">
        <v>66</v>
      </c>
      <c r="H368" s="118">
        <f t="shared" ref="H368:H399" si="19">IF(G368="EI",4,IF(G368="EO",5,IF(G368="EQ",4,0)))</f>
        <v>4</v>
      </c>
      <c r="I368" s="117">
        <f>IF([3]项目总工作量!B$6="交易类",H368*1.5/22,IF([3]项目总工作量!B$6="数据分析类",H368*1.5*0.9/22,IF([3]项目总工作量!B$6="流程管理类",H368*1.5*0.8/22,IF([3]项目总工作量!B$6="渠道类",H368*1.5*0.7/22,FALSE))))</f>
        <v>0.27272727272727271</v>
      </c>
      <c r="J368" s="117" t="s">
        <v>44</v>
      </c>
    </row>
    <row r="369" spans="1:10" s="119" customFormat="1" ht="14" x14ac:dyDescent="0.15">
      <c r="A369" s="122">
        <v>8</v>
      </c>
      <c r="B369" s="121" t="s">
        <v>289</v>
      </c>
      <c r="C369" s="121" t="s">
        <v>288</v>
      </c>
      <c r="D369" s="114">
        <f t="shared" si="18"/>
        <v>0.27272727272727271</v>
      </c>
      <c r="E369" s="115"/>
      <c r="F369" s="52" t="s">
        <v>287</v>
      </c>
      <c r="G369" s="117" t="s">
        <v>66</v>
      </c>
      <c r="H369" s="118">
        <f t="shared" si="19"/>
        <v>4</v>
      </c>
      <c r="I369" s="117">
        <f>IF([3]项目总工作量!B$6="交易类",H369*1.5/22,IF([3]项目总工作量!B$6="数据分析类",H369*1.5*0.9/22,IF([3]项目总工作量!B$6="流程管理类",H369*1.5*0.8/22,IF([3]项目总工作量!B$6="渠道类",H369*1.5*0.7/22,FALSE))))</f>
        <v>0.27272727272727271</v>
      </c>
      <c r="J369" s="117" t="s">
        <v>44</v>
      </c>
    </row>
    <row r="370" spans="1:10" s="119" customFormat="1" ht="14" x14ac:dyDescent="0.15">
      <c r="A370" s="122"/>
      <c r="B370" s="121"/>
      <c r="C370" s="121"/>
      <c r="D370" s="114">
        <f t="shared" si="18"/>
        <v>0.27272727272727271</v>
      </c>
      <c r="E370" s="115"/>
      <c r="F370" s="52" t="s">
        <v>286</v>
      </c>
      <c r="G370" s="117" t="s">
        <v>66</v>
      </c>
      <c r="H370" s="118">
        <f t="shared" si="19"/>
        <v>4</v>
      </c>
      <c r="I370" s="117">
        <f>IF([3]项目总工作量!B$6="交易类",H370*1.5/22,IF([3]项目总工作量!B$6="数据分析类",H370*1.5*0.9/22,IF([3]项目总工作量!B$6="流程管理类",H370*1.5*0.8/22,IF([3]项目总工作量!B$6="渠道类",H370*1.5*0.7/22,FALSE))))</f>
        <v>0.27272727272727271</v>
      </c>
      <c r="J370" s="117" t="s">
        <v>44</v>
      </c>
    </row>
    <row r="371" spans="1:10" s="119" customFormat="1" ht="14" x14ac:dyDescent="0.15">
      <c r="A371" s="122"/>
      <c r="B371" s="121"/>
      <c r="C371" s="121"/>
      <c r="D371" s="114">
        <f t="shared" si="18"/>
        <v>0.27272727272727271</v>
      </c>
      <c r="E371" s="115"/>
      <c r="F371" s="52" t="s">
        <v>285</v>
      </c>
      <c r="G371" s="117" t="s">
        <v>66</v>
      </c>
      <c r="H371" s="118">
        <f t="shared" si="19"/>
        <v>4</v>
      </c>
      <c r="I371" s="117">
        <f>IF([3]项目总工作量!B$6="交易类",H371*1.5/22,IF([3]项目总工作量!B$6="数据分析类",H371*1.5*0.9/22,IF([3]项目总工作量!B$6="流程管理类",H371*1.5*0.8/22,IF([3]项目总工作量!B$6="渠道类",H371*1.5*0.7/22,FALSE))))</f>
        <v>0.27272727272727271</v>
      </c>
      <c r="J371" s="117" t="s">
        <v>44</v>
      </c>
    </row>
    <row r="372" spans="1:10" s="119" customFormat="1" ht="14" x14ac:dyDescent="0.15">
      <c r="A372" s="122"/>
      <c r="B372" s="121"/>
      <c r="C372" s="121"/>
      <c r="D372" s="114">
        <f t="shared" si="18"/>
        <v>0.27272727272727271</v>
      </c>
      <c r="E372" s="115"/>
      <c r="F372" s="52" t="s">
        <v>284</v>
      </c>
      <c r="G372" s="117" t="s">
        <v>66</v>
      </c>
      <c r="H372" s="118">
        <f t="shared" si="19"/>
        <v>4</v>
      </c>
      <c r="I372" s="117">
        <f>IF([3]项目总工作量!B$6="交易类",H372*1.5/22,IF([3]项目总工作量!B$6="数据分析类",H372*1.5*0.9/22,IF([3]项目总工作量!B$6="流程管理类",H372*1.5*0.8/22,IF([3]项目总工作量!B$6="渠道类",H372*1.5*0.7/22,FALSE))))</f>
        <v>0.27272727272727271</v>
      </c>
      <c r="J372" s="117" t="s">
        <v>44</v>
      </c>
    </row>
    <row r="373" spans="1:10" s="119" customFormat="1" ht="14" x14ac:dyDescent="0.15">
      <c r="A373" s="122"/>
      <c r="B373" s="121"/>
      <c r="C373" s="121"/>
      <c r="D373" s="114">
        <f t="shared" si="18"/>
        <v>0.27272727272727271</v>
      </c>
      <c r="E373" s="115"/>
      <c r="F373" s="52" t="s">
        <v>283</v>
      </c>
      <c r="G373" s="117" t="s">
        <v>66</v>
      </c>
      <c r="H373" s="118">
        <f t="shared" si="19"/>
        <v>4</v>
      </c>
      <c r="I373" s="117">
        <f>IF([3]项目总工作量!B$6="交易类",H373*1.5/22,IF([3]项目总工作量!B$6="数据分析类",H373*1.5*0.9/22,IF([3]项目总工作量!B$6="流程管理类",H373*1.5*0.8/22,IF([3]项目总工作量!B$6="渠道类",H373*1.5*0.7/22,FALSE))))</f>
        <v>0.27272727272727271</v>
      </c>
      <c r="J373" s="117" t="s">
        <v>44</v>
      </c>
    </row>
    <row r="374" spans="1:10" s="119" customFormat="1" ht="14" x14ac:dyDescent="0.15">
      <c r="A374" s="122"/>
      <c r="B374" s="121"/>
      <c r="C374" s="121"/>
      <c r="D374" s="114">
        <f t="shared" si="18"/>
        <v>0.27272727272727271</v>
      </c>
      <c r="E374" s="115"/>
      <c r="F374" s="52" t="s">
        <v>282</v>
      </c>
      <c r="G374" s="117" t="s">
        <v>66</v>
      </c>
      <c r="H374" s="118">
        <f t="shared" si="19"/>
        <v>4</v>
      </c>
      <c r="I374" s="117">
        <f>IF([3]项目总工作量!B$6="交易类",H374*1.5/22,IF([3]项目总工作量!B$6="数据分析类",H374*1.5*0.9/22,IF([3]项目总工作量!B$6="流程管理类",H374*1.5*0.8/22,IF([3]项目总工作量!B$6="渠道类",H374*1.5*0.7/22,FALSE))))</f>
        <v>0.27272727272727271</v>
      </c>
      <c r="J374" s="117" t="s">
        <v>44</v>
      </c>
    </row>
    <row r="375" spans="1:10" s="119" customFormat="1" ht="14" x14ac:dyDescent="0.15">
      <c r="A375" s="122"/>
      <c r="B375" s="121"/>
      <c r="C375" s="121"/>
      <c r="D375" s="114">
        <f t="shared" si="18"/>
        <v>0.27272727272727271</v>
      </c>
      <c r="E375" s="115"/>
      <c r="F375" s="52" t="s">
        <v>281</v>
      </c>
      <c r="G375" s="117" t="s">
        <v>66</v>
      </c>
      <c r="H375" s="118">
        <f t="shared" si="19"/>
        <v>4</v>
      </c>
      <c r="I375" s="117">
        <f>IF([3]项目总工作量!B$6="交易类",H375*1.5/22,IF([3]项目总工作量!B$6="数据分析类",H375*1.5*0.9/22,IF([3]项目总工作量!B$6="流程管理类",H375*1.5*0.8/22,IF([3]项目总工作量!B$6="渠道类",H375*1.5*0.7/22,FALSE))))</f>
        <v>0.27272727272727271</v>
      </c>
      <c r="J375" s="117" t="s">
        <v>44</v>
      </c>
    </row>
    <row r="376" spans="1:10" s="119" customFormat="1" ht="14" x14ac:dyDescent="0.15">
      <c r="A376" s="122"/>
      <c r="B376" s="121"/>
      <c r="C376" s="121"/>
      <c r="D376" s="114">
        <f t="shared" si="18"/>
        <v>0.27272727272727271</v>
      </c>
      <c r="E376" s="115"/>
      <c r="F376" s="52" t="s">
        <v>280</v>
      </c>
      <c r="G376" s="117" t="s">
        <v>66</v>
      </c>
      <c r="H376" s="118">
        <f t="shared" si="19"/>
        <v>4</v>
      </c>
      <c r="I376" s="117">
        <f>IF([3]项目总工作量!B$6="交易类",H376*1.5/22,IF([3]项目总工作量!B$6="数据分析类",H376*1.5*0.9/22,IF([3]项目总工作量!B$6="流程管理类",H376*1.5*0.8/22,IF([3]项目总工作量!B$6="渠道类",H376*1.5*0.7/22,FALSE))))</f>
        <v>0.27272727272727271</v>
      </c>
      <c r="J376" s="117" t="s">
        <v>44</v>
      </c>
    </row>
    <row r="377" spans="1:10" s="119" customFormat="1" ht="14" x14ac:dyDescent="0.15">
      <c r="A377" s="122"/>
      <c r="B377" s="121"/>
      <c r="C377" s="121"/>
      <c r="D377" s="114">
        <f t="shared" si="18"/>
        <v>0.27272727272727271</v>
      </c>
      <c r="E377" s="115"/>
      <c r="F377" s="52" t="s">
        <v>279</v>
      </c>
      <c r="G377" s="117" t="s">
        <v>66</v>
      </c>
      <c r="H377" s="118">
        <f t="shared" si="19"/>
        <v>4</v>
      </c>
      <c r="I377" s="117">
        <f>IF([3]项目总工作量!B$6="交易类",H377*1.5/22,IF([3]项目总工作量!B$6="数据分析类",H377*1.5*0.9/22,IF([3]项目总工作量!B$6="流程管理类",H377*1.5*0.8/22,IF([3]项目总工作量!B$6="渠道类",H377*1.5*0.7/22,FALSE))))</f>
        <v>0.27272727272727271</v>
      </c>
      <c r="J377" s="117" t="s">
        <v>44</v>
      </c>
    </row>
    <row r="378" spans="1:10" s="119" customFormat="1" ht="14" x14ac:dyDescent="0.15">
      <c r="A378" s="122"/>
      <c r="B378" s="121"/>
      <c r="C378" s="121" t="s">
        <v>278</v>
      </c>
      <c r="D378" s="114">
        <f t="shared" si="18"/>
        <v>0.34090909090909088</v>
      </c>
      <c r="E378" s="115"/>
      <c r="F378" s="52" t="s">
        <v>277</v>
      </c>
      <c r="G378" s="117" t="s">
        <v>67</v>
      </c>
      <c r="H378" s="118">
        <f t="shared" si="19"/>
        <v>5</v>
      </c>
      <c r="I378" s="117">
        <f>IF([3]项目总工作量!B$6="交易类",H378*1.5/22,IF([3]项目总工作量!B$6="数据分析类",H378*1.5*0.9/22,IF([3]项目总工作量!B$6="流程管理类",H378*1.5*0.8/22,IF([3]项目总工作量!B$6="渠道类",H378*1.5*0.7/22,FALSE))))</f>
        <v>0.34090909090909088</v>
      </c>
      <c r="J378" s="117" t="s">
        <v>44</v>
      </c>
    </row>
    <row r="379" spans="1:10" s="119" customFormat="1" ht="14" x14ac:dyDescent="0.15">
      <c r="A379" s="122"/>
      <c r="B379" s="121"/>
      <c r="C379" s="121"/>
      <c r="D379" s="114">
        <f t="shared" si="18"/>
        <v>0.34090909090909088</v>
      </c>
      <c r="E379" s="115"/>
      <c r="F379" s="52" t="s">
        <v>276</v>
      </c>
      <c r="G379" s="117" t="s">
        <v>67</v>
      </c>
      <c r="H379" s="118">
        <f t="shared" si="19"/>
        <v>5</v>
      </c>
      <c r="I379" s="117">
        <f>IF([3]项目总工作量!B$6="交易类",H379*1.5/22,IF([3]项目总工作量!B$6="数据分析类",H379*1.5*0.9/22,IF([3]项目总工作量!B$6="流程管理类",H379*1.5*0.8/22,IF([3]项目总工作量!B$6="渠道类",H379*1.5*0.7/22,FALSE))))</f>
        <v>0.34090909090909088</v>
      </c>
      <c r="J379" s="117" t="s">
        <v>44</v>
      </c>
    </row>
    <row r="380" spans="1:10" s="119" customFormat="1" ht="14" x14ac:dyDescent="0.15">
      <c r="A380" s="122"/>
      <c r="B380" s="121"/>
      <c r="C380" s="121"/>
      <c r="D380" s="114">
        <f t="shared" si="18"/>
        <v>0.34090909090909088</v>
      </c>
      <c r="E380" s="115"/>
      <c r="F380" s="52" t="s">
        <v>275</v>
      </c>
      <c r="G380" s="117" t="s">
        <v>67</v>
      </c>
      <c r="H380" s="118">
        <f t="shared" si="19"/>
        <v>5</v>
      </c>
      <c r="I380" s="117">
        <f>IF([3]项目总工作量!B$6="交易类",H380*1.5/22,IF([3]项目总工作量!B$6="数据分析类",H380*1.5*0.9/22,IF([3]项目总工作量!B$6="流程管理类",H380*1.5*0.8/22,IF([3]项目总工作量!B$6="渠道类",H380*1.5*0.7/22,FALSE))))</f>
        <v>0.34090909090909088</v>
      </c>
      <c r="J380" s="117" t="s">
        <v>44</v>
      </c>
    </row>
    <row r="381" spans="1:10" s="119" customFormat="1" ht="14" x14ac:dyDescent="0.15">
      <c r="A381" s="122"/>
      <c r="B381" s="121"/>
      <c r="C381" s="121"/>
      <c r="D381" s="114">
        <f t="shared" si="18"/>
        <v>0.34090909090909088</v>
      </c>
      <c r="E381" s="115"/>
      <c r="F381" s="52" t="s">
        <v>274</v>
      </c>
      <c r="G381" s="117" t="s">
        <v>67</v>
      </c>
      <c r="H381" s="118">
        <f t="shared" si="19"/>
        <v>5</v>
      </c>
      <c r="I381" s="117">
        <f>IF([3]项目总工作量!B$6="交易类",H381*1.5/22,IF([3]项目总工作量!B$6="数据分析类",H381*1.5*0.9/22,IF([3]项目总工作量!B$6="流程管理类",H381*1.5*0.8/22,IF([3]项目总工作量!B$6="渠道类",H381*1.5*0.7/22,FALSE))))</f>
        <v>0.34090909090909088</v>
      </c>
      <c r="J381" s="117" t="s">
        <v>44</v>
      </c>
    </row>
    <row r="382" spans="1:10" s="119" customFormat="1" ht="14" x14ac:dyDescent="0.15">
      <c r="A382" s="122"/>
      <c r="B382" s="121"/>
      <c r="C382" s="121"/>
      <c r="D382" s="114">
        <f t="shared" si="18"/>
        <v>0.34090909090909088</v>
      </c>
      <c r="E382" s="115"/>
      <c r="F382" s="52" t="s">
        <v>273</v>
      </c>
      <c r="G382" s="117" t="s">
        <v>67</v>
      </c>
      <c r="H382" s="118">
        <f t="shared" si="19"/>
        <v>5</v>
      </c>
      <c r="I382" s="117">
        <f>IF([3]项目总工作量!B$6="交易类",H382*1.5/22,IF([3]项目总工作量!B$6="数据分析类",H382*1.5*0.9/22,IF([3]项目总工作量!B$6="流程管理类",H382*1.5*0.8/22,IF([3]项目总工作量!B$6="渠道类",H382*1.5*0.7/22,FALSE))))</f>
        <v>0.34090909090909088</v>
      </c>
      <c r="J382" s="117" t="s">
        <v>44</v>
      </c>
    </row>
    <row r="383" spans="1:10" s="119" customFormat="1" ht="14" x14ac:dyDescent="0.15">
      <c r="A383" s="122"/>
      <c r="B383" s="121"/>
      <c r="C383" s="121"/>
      <c r="D383" s="114">
        <f t="shared" si="18"/>
        <v>0.34090909090909088</v>
      </c>
      <c r="E383" s="115"/>
      <c r="F383" s="52" t="s">
        <v>272</v>
      </c>
      <c r="G383" s="117" t="s">
        <v>67</v>
      </c>
      <c r="H383" s="118">
        <f t="shared" si="19"/>
        <v>5</v>
      </c>
      <c r="I383" s="117">
        <f>IF([3]项目总工作量!B$6="交易类",H383*1.5/22,IF([3]项目总工作量!B$6="数据分析类",H383*1.5*0.9/22,IF([3]项目总工作量!B$6="流程管理类",H383*1.5*0.8/22,IF([3]项目总工作量!B$6="渠道类",H383*1.5*0.7/22,FALSE))))</f>
        <v>0.34090909090909088</v>
      </c>
      <c r="J383" s="117" t="s">
        <v>44</v>
      </c>
    </row>
    <row r="384" spans="1:10" s="119" customFormat="1" ht="14" x14ac:dyDescent="0.15">
      <c r="A384" s="122"/>
      <c r="B384" s="121"/>
      <c r="C384" s="121"/>
      <c r="D384" s="114">
        <f t="shared" si="18"/>
        <v>0.34090909090909088</v>
      </c>
      <c r="E384" s="115"/>
      <c r="F384" s="52" t="s">
        <v>271</v>
      </c>
      <c r="G384" s="117" t="s">
        <v>67</v>
      </c>
      <c r="H384" s="118">
        <f t="shared" si="19"/>
        <v>5</v>
      </c>
      <c r="I384" s="117">
        <f>IF([3]项目总工作量!B$6="交易类",H384*1.5/22,IF([3]项目总工作量!B$6="数据分析类",H384*1.5*0.9/22,IF([3]项目总工作量!B$6="流程管理类",H384*1.5*0.8/22,IF([3]项目总工作量!B$6="渠道类",H384*1.5*0.7/22,FALSE))))</f>
        <v>0.34090909090909088</v>
      </c>
      <c r="J384" s="117" t="s">
        <v>44</v>
      </c>
    </row>
    <row r="385" spans="1:10" s="119" customFormat="1" ht="14" x14ac:dyDescent="0.15">
      <c r="A385" s="122"/>
      <c r="B385" s="121"/>
      <c r="C385" s="121"/>
      <c r="D385" s="114">
        <f t="shared" si="18"/>
        <v>0.34090909090909088</v>
      </c>
      <c r="E385" s="115"/>
      <c r="F385" s="52" t="s">
        <v>270</v>
      </c>
      <c r="G385" s="117" t="s">
        <v>67</v>
      </c>
      <c r="H385" s="118">
        <f t="shared" si="19"/>
        <v>5</v>
      </c>
      <c r="I385" s="117">
        <f>IF([3]项目总工作量!B$6="交易类",H385*1.5/22,IF([3]项目总工作量!B$6="数据分析类",H385*1.5*0.9/22,IF([3]项目总工作量!B$6="流程管理类",H385*1.5*0.8/22,IF([3]项目总工作量!B$6="渠道类",H385*1.5*0.7/22,FALSE))))</f>
        <v>0.34090909090909088</v>
      </c>
      <c r="J385" s="117" t="s">
        <v>44</v>
      </c>
    </row>
    <row r="386" spans="1:10" s="119" customFormat="1" ht="14" x14ac:dyDescent="0.15">
      <c r="A386" s="122"/>
      <c r="B386" s="121"/>
      <c r="C386" s="121"/>
      <c r="D386" s="114">
        <f t="shared" si="18"/>
        <v>0.34090909090909088</v>
      </c>
      <c r="E386" s="115"/>
      <c r="F386" s="52" t="s">
        <v>269</v>
      </c>
      <c r="G386" s="117" t="s">
        <v>67</v>
      </c>
      <c r="H386" s="118">
        <f t="shared" si="19"/>
        <v>5</v>
      </c>
      <c r="I386" s="117">
        <f>IF([3]项目总工作量!B$6="交易类",H386*1.5/22,IF([3]项目总工作量!B$6="数据分析类",H386*1.5*0.9/22,IF([3]项目总工作量!B$6="流程管理类",H386*1.5*0.8/22,IF([3]项目总工作量!B$6="渠道类",H386*1.5*0.7/22,FALSE))))</f>
        <v>0.34090909090909088</v>
      </c>
      <c r="J386" s="117" t="s">
        <v>44</v>
      </c>
    </row>
    <row r="387" spans="1:10" s="119" customFormat="1" ht="14" x14ac:dyDescent="0.15">
      <c r="A387" s="122"/>
      <c r="B387" s="121"/>
      <c r="C387" s="52" t="s">
        <v>268</v>
      </c>
      <c r="D387" s="114">
        <f>I387</f>
        <v>0.34090909090909088</v>
      </c>
      <c r="E387" s="115"/>
      <c r="F387" s="52" t="s">
        <v>267</v>
      </c>
      <c r="G387" s="117" t="s">
        <v>67</v>
      </c>
      <c r="H387" s="118">
        <f t="shared" si="19"/>
        <v>5</v>
      </c>
      <c r="I387" s="117">
        <f>IF([3]项目总工作量!B$6="交易类",H387*1.5/22,IF([3]项目总工作量!B$6="数据分析类",H387*1.5*0.9/22,IF([3]项目总工作量!B$6="流程管理类",H387*1.5*0.8/22,IF([3]项目总工作量!B$6="渠道类",H387*1.5*0.7/22,FALSE))))</f>
        <v>0.34090909090909088</v>
      </c>
      <c r="J387" s="117" t="s">
        <v>44</v>
      </c>
    </row>
    <row r="388" spans="1:10" s="41" customFormat="1" ht="14" x14ac:dyDescent="0.15">
      <c r="A388" s="141" t="s">
        <v>41</v>
      </c>
      <c r="B388" s="141"/>
      <c r="C388" s="141"/>
      <c r="D388" s="36">
        <f>SUM(D4:D387)</f>
        <v>108.3409090909083</v>
      </c>
      <c r="E388" s="36">
        <f>SUM(E4:E387)</f>
        <v>10.25</v>
      </c>
      <c r="F388" s="58"/>
      <c r="G388" s="58"/>
      <c r="H388" s="39">
        <f>SUM(H4:H387)</f>
        <v>1589</v>
      </c>
      <c r="I388" s="39">
        <f>SUM(I4:I387)</f>
        <v>108.3409090909083</v>
      </c>
      <c r="J388" s="58"/>
    </row>
  </sheetData>
  <mergeCells count="36">
    <mergeCell ref="A388:C388"/>
    <mergeCell ref="A1:J1"/>
    <mergeCell ref="C213:C220"/>
    <mergeCell ref="A327:A368"/>
    <mergeCell ref="B327:B368"/>
    <mergeCell ref="C327:C368"/>
    <mergeCell ref="A4:A35"/>
    <mergeCell ref="B4:B35"/>
    <mergeCell ref="B36:B80"/>
    <mergeCell ref="A36:A80"/>
    <mergeCell ref="B81:B134"/>
    <mergeCell ref="A81:A134"/>
    <mergeCell ref="A221:A326"/>
    <mergeCell ref="A369:A387"/>
    <mergeCell ref="A213:A220"/>
    <mergeCell ref="B213:B220"/>
    <mergeCell ref="C208:C212"/>
    <mergeCell ref="B208:B212"/>
    <mergeCell ref="A208:A212"/>
    <mergeCell ref="C369:C377"/>
    <mergeCell ref="C378:C386"/>
    <mergeCell ref="C221:C326"/>
    <mergeCell ref="B221:B326"/>
    <mergeCell ref="B369:B387"/>
    <mergeCell ref="A135:A207"/>
    <mergeCell ref="B135:B207"/>
    <mergeCell ref="C135:C149"/>
    <mergeCell ref="C150:C196"/>
    <mergeCell ref="C197:C207"/>
    <mergeCell ref="C91:C92"/>
    <mergeCell ref="C93:C134"/>
    <mergeCell ref="C4:C32"/>
    <mergeCell ref="C64:C80"/>
    <mergeCell ref="C36:C63"/>
    <mergeCell ref="C33:C35"/>
    <mergeCell ref="C81:C87"/>
  </mergeCells>
  <phoneticPr fontId="2" type="noConversion"/>
  <conditionalFormatting sqref="E135:E207">
    <cfRule type="cellIs" dxfId="0" priority="1" stopIfTrue="1" operator="lessThan">
      <formula>0</formula>
    </cfRule>
  </conditionalFormatting>
  <dataValidations count="2">
    <dataValidation type="list" allowBlank="1" showInputMessage="1" showErrorMessage="1" sqref="G4:G390">
      <formula1>"EI,EQ,EO"</formula1>
    </dataValidation>
    <dataValidation type="list" allowBlank="1" showInputMessage="1" showErrorMessage="1" sqref="J4:J390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V25"/>
  <sheetViews>
    <sheetView workbookViewId="0">
      <pane ySplit="3" topLeftCell="A4" activePane="bottomLeft" state="frozen"/>
      <selection pane="bottomLeft" activeCell="E30" sqref="E30"/>
    </sheetView>
  </sheetViews>
  <sheetFormatPr baseColWidth="10" defaultColWidth="9" defaultRowHeight="15" x14ac:dyDescent="0.15"/>
  <cols>
    <col min="1" max="1" width="6.1640625" style="28" customWidth="1"/>
    <col min="2" max="2" width="32.1640625" style="28" customWidth="1"/>
    <col min="3" max="3" width="26.5" style="28" customWidth="1"/>
    <col min="4" max="4" width="8.6640625" style="61" customWidth="1"/>
    <col min="5" max="6" width="20.1640625" style="37" customWidth="1"/>
    <col min="7" max="7" width="12.5" style="28" customWidth="1"/>
    <col min="8" max="8" width="9.6640625" style="28" customWidth="1"/>
    <col min="9" max="16384" width="9" style="28"/>
  </cols>
  <sheetData>
    <row r="1" spans="1:256" ht="31.5" customHeight="1" x14ac:dyDescent="0.15">
      <c r="A1" s="108" t="s">
        <v>6</v>
      </c>
      <c r="B1" s="108"/>
      <c r="C1" s="108"/>
      <c r="D1" s="108"/>
      <c r="E1" s="108"/>
      <c r="F1" s="108"/>
      <c r="G1" s="108"/>
      <c r="H1" s="108"/>
    </row>
    <row r="2" spans="1:256" s="30" customFormat="1" ht="34.5" customHeight="1" x14ac:dyDescent="0.15">
      <c r="A2" s="29" t="s">
        <v>0</v>
      </c>
      <c r="B2" s="29" t="s">
        <v>1</v>
      </c>
      <c r="C2" s="29" t="s">
        <v>2</v>
      </c>
      <c r="D2" s="59" t="s">
        <v>50</v>
      </c>
      <c r="E2" s="75" t="s">
        <v>12</v>
      </c>
      <c r="F2" s="75" t="s">
        <v>13</v>
      </c>
      <c r="G2" s="76" t="s">
        <v>5</v>
      </c>
      <c r="H2" s="76" t="s">
        <v>63</v>
      </c>
    </row>
    <row r="3" spans="1:256" s="30" customFormat="1" ht="74.25" customHeight="1" x14ac:dyDescent="0.15">
      <c r="A3" s="23"/>
      <c r="B3" s="31" t="s">
        <v>57</v>
      </c>
      <c r="C3" s="24" t="s">
        <v>47</v>
      </c>
      <c r="D3" s="63" t="s">
        <v>55</v>
      </c>
      <c r="E3" s="63" t="s">
        <v>55</v>
      </c>
      <c r="F3" s="35" t="s">
        <v>48</v>
      </c>
      <c r="G3" s="77" t="s">
        <v>46</v>
      </c>
      <c r="H3" s="77" t="s">
        <v>65</v>
      </c>
    </row>
    <row r="4" spans="1:256" s="80" customFormat="1" ht="17" customHeight="1" x14ac:dyDescent="0.15">
      <c r="A4" s="83">
        <v>1</v>
      </c>
      <c r="B4" s="78" t="s">
        <v>475</v>
      </c>
      <c r="C4" s="78" t="s">
        <v>68</v>
      </c>
      <c r="D4" s="64">
        <f t="shared" ref="D4:D24" si="0">IF(C4="ILF",10,IF(C4="EIF",7,0))</f>
        <v>10</v>
      </c>
      <c r="E4" s="71">
        <f>IF(项目总工作量!$B$6="交易类",D4*1.5/22,IF(项目总工作量!$B$6="数据分析类",D4*1.5*0.9/22,IF(项目总工作量!$B$6="流程管理类",D4*1.5*0.8/22,IF(项目总工作量!$B$6="渠道类",FALSE))))</f>
        <v>0.68181818181818177</v>
      </c>
      <c r="F4" s="84">
        <v>1</v>
      </c>
      <c r="G4" s="81"/>
      <c r="H4" s="81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</row>
    <row r="5" spans="1:256" s="80" customFormat="1" ht="17" customHeight="1" x14ac:dyDescent="0.15">
      <c r="A5" s="83">
        <v>2</v>
      </c>
      <c r="B5" s="78" t="s">
        <v>476</v>
      </c>
      <c r="C5" s="78" t="s">
        <v>68</v>
      </c>
      <c r="D5" s="64">
        <f t="shared" si="0"/>
        <v>10</v>
      </c>
      <c r="E5" s="71">
        <f>IF(项目总工作量!$B$6="交易类",D5*1.5/22,IF(项目总工作量!$B$6="数据分析类",D5*1.5*0.9/22,IF(项目总工作量!$B$6="流程管理类",D5*1.5*0.8/22,IF(项目总工作量!$B$6="渠道类",FALSE))))</f>
        <v>0.68181818181818177</v>
      </c>
      <c r="F5" s="84">
        <v>1</v>
      </c>
      <c r="G5" s="81"/>
      <c r="H5" s="81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</row>
    <row r="6" spans="1:256" s="80" customFormat="1" ht="17" customHeight="1" x14ac:dyDescent="0.15">
      <c r="A6" s="83">
        <v>3</v>
      </c>
      <c r="B6" s="78" t="s">
        <v>477</v>
      </c>
      <c r="C6" s="78" t="s">
        <v>68</v>
      </c>
      <c r="D6" s="64">
        <f t="shared" si="0"/>
        <v>10</v>
      </c>
      <c r="E6" s="71">
        <f>IF(项目总工作量!$B$6="交易类",D6*1.5/22,IF(项目总工作量!$B$6="数据分析类",D6*1.5*0.9/22,IF(项目总工作量!$B$6="流程管理类",D6*1.5*0.8/22,IF(项目总工作量!$B$6="渠道类",FALSE))))</f>
        <v>0.68181818181818177</v>
      </c>
      <c r="F6" s="84">
        <v>1</v>
      </c>
      <c r="G6" s="81"/>
      <c r="H6" s="81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</row>
    <row r="7" spans="1:256" s="80" customFormat="1" ht="17" customHeight="1" x14ac:dyDescent="0.15">
      <c r="A7" s="83">
        <v>4</v>
      </c>
      <c r="B7" s="78" t="s">
        <v>478</v>
      </c>
      <c r="C7" s="78" t="s">
        <v>68</v>
      </c>
      <c r="D7" s="64">
        <f t="shared" si="0"/>
        <v>10</v>
      </c>
      <c r="E7" s="71">
        <f>IF(项目总工作量!$B$6="交易类",D7*1.5/22,IF(项目总工作量!$B$6="数据分析类",D7*1.5*0.9/22,IF(项目总工作量!$B$6="流程管理类",D7*1.5*0.8/22,IF(项目总工作量!$B$6="渠道类",FALSE))))</f>
        <v>0.68181818181818177</v>
      </c>
      <c r="F7" s="84">
        <v>1</v>
      </c>
      <c r="G7" s="81"/>
      <c r="H7" s="81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</row>
    <row r="8" spans="1:256" s="80" customFormat="1" ht="17" customHeight="1" x14ac:dyDescent="0.15">
      <c r="A8" s="83">
        <v>5</v>
      </c>
      <c r="B8" s="78" t="s">
        <v>479</v>
      </c>
      <c r="C8" s="78" t="s">
        <v>68</v>
      </c>
      <c r="D8" s="64">
        <f t="shared" si="0"/>
        <v>10</v>
      </c>
      <c r="E8" s="71">
        <f>IF(项目总工作量!$B$6="交易类",D8*1.5/22,IF(项目总工作量!$B$6="数据分析类",D8*1.5*0.9/22,IF(项目总工作量!$B$6="流程管理类",D8*1.5*0.8/22,IF(项目总工作量!$B$6="渠道类",FALSE))))</f>
        <v>0.68181818181818177</v>
      </c>
      <c r="F8" s="84">
        <v>1</v>
      </c>
      <c r="G8" s="81"/>
      <c r="H8" s="81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</row>
    <row r="9" spans="1:256" s="80" customFormat="1" ht="17" customHeight="1" x14ac:dyDescent="0.15">
      <c r="A9" s="83">
        <v>6</v>
      </c>
      <c r="B9" s="78" t="s">
        <v>480</v>
      </c>
      <c r="C9" s="78" t="s">
        <v>68</v>
      </c>
      <c r="D9" s="64">
        <f t="shared" si="0"/>
        <v>10</v>
      </c>
      <c r="E9" s="71">
        <f>IF(项目总工作量!$B$6="交易类",D9*1.5/22,IF(项目总工作量!$B$6="数据分析类",D9*1.5*0.9/22,IF(项目总工作量!$B$6="流程管理类",D9*1.5*0.8/22,IF(项目总工作量!$B$6="渠道类",FALSE))))</f>
        <v>0.68181818181818177</v>
      </c>
      <c r="F9" s="84">
        <v>1</v>
      </c>
      <c r="G9" s="81"/>
      <c r="H9" s="81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</row>
    <row r="10" spans="1:256" s="80" customFormat="1" ht="17" customHeight="1" x14ac:dyDescent="0.15">
      <c r="A10" s="83">
        <v>7</v>
      </c>
      <c r="B10" s="78" t="s">
        <v>481</v>
      </c>
      <c r="C10" s="78" t="s">
        <v>68</v>
      </c>
      <c r="D10" s="64">
        <f t="shared" si="0"/>
        <v>10</v>
      </c>
      <c r="E10" s="71">
        <f>IF(项目总工作量!$B$6="交易类",D10*1.5/22,IF(项目总工作量!$B$6="数据分析类",D10*1.5*0.9/22,IF(项目总工作量!$B$6="流程管理类",D10*1.5*0.8/22,IF(项目总工作量!$B$6="渠道类",FALSE))))</f>
        <v>0.68181818181818177</v>
      </c>
      <c r="F10" s="84">
        <v>1</v>
      </c>
      <c r="G10" s="81"/>
      <c r="H10" s="81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</row>
    <row r="11" spans="1:256" s="80" customFormat="1" ht="17" customHeight="1" x14ac:dyDescent="0.15">
      <c r="A11" s="83">
        <v>8</v>
      </c>
      <c r="B11" s="78" t="s">
        <v>482</v>
      </c>
      <c r="C11" s="78" t="s">
        <v>68</v>
      </c>
      <c r="D11" s="64">
        <f t="shared" si="0"/>
        <v>10</v>
      </c>
      <c r="E11" s="71">
        <f>IF(项目总工作量!$B$6="交易类",D11*1.5/22,IF(项目总工作量!$B$6="数据分析类",D11*1.5*0.9/22,IF(项目总工作量!$B$6="流程管理类",D11*1.5*0.8/22,IF(项目总工作量!$B$6="渠道类",FALSE))))</f>
        <v>0.68181818181818177</v>
      </c>
      <c r="F11" s="84">
        <v>1</v>
      </c>
      <c r="G11" s="81"/>
      <c r="H11" s="81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</row>
    <row r="12" spans="1:256" s="80" customFormat="1" ht="17" customHeight="1" x14ac:dyDescent="0.15">
      <c r="A12" s="83">
        <v>9</v>
      </c>
      <c r="B12" s="78" t="s">
        <v>483</v>
      </c>
      <c r="C12" s="78" t="s">
        <v>68</v>
      </c>
      <c r="D12" s="64">
        <f t="shared" si="0"/>
        <v>10</v>
      </c>
      <c r="E12" s="71">
        <f>IF(项目总工作量!$B$6="交易类",D12*1.5/22,IF(项目总工作量!$B$6="数据分析类",D12*1.5*0.9/22,IF(项目总工作量!$B$6="流程管理类",D12*1.5*0.8/22,IF(项目总工作量!$B$6="渠道类",FALSE))))</f>
        <v>0.68181818181818177</v>
      </c>
      <c r="F12" s="84">
        <v>1</v>
      </c>
      <c r="G12" s="81"/>
      <c r="H12" s="81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</row>
    <row r="13" spans="1:256" s="80" customFormat="1" ht="17" customHeight="1" x14ac:dyDescent="0.15">
      <c r="A13" s="83">
        <v>10</v>
      </c>
      <c r="B13" s="78" t="s">
        <v>484</v>
      </c>
      <c r="C13" s="78" t="s">
        <v>68</v>
      </c>
      <c r="D13" s="64">
        <f t="shared" si="0"/>
        <v>10</v>
      </c>
      <c r="E13" s="71">
        <f>IF(项目总工作量!$B$6="交易类",D13*1.5/22,IF(项目总工作量!$B$6="数据分析类",D13*1.5*0.9/22,IF(项目总工作量!$B$6="流程管理类",D13*1.5*0.8/22,IF(项目总工作量!$B$6="渠道类",FALSE))))</f>
        <v>0.68181818181818177</v>
      </c>
      <c r="F13" s="84">
        <v>1</v>
      </c>
      <c r="G13" s="81"/>
      <c r="H13" s="81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</row>
    <row r="14" spans="1:256" s="80" customFormat="1" ht="17" customHeight="1" x14ac:dyDescent="0.15">
      <c r="A14" s="83">
        <v>11</v>
      </c>
      <c r="B14" s="78" t="s">
        <v>485</v>
      </c>
      <c r="C14" s="78" t="s">
        <v>68</v>
      </c>
      <c r="D14" s="64">
        <f t="shared" si="0"/>
        <v>10</v>
      </c>
      <c r="E14" s="71">
        <f>IF(项目总工作量!$B$6="交易类",D14*1.5/22,IF(项目总工作量!$B$6="数据分析类",D14*1.5*0.9/22,IF(项目总工作量!$B$6="流程管理类",D14*1.5*0.8/22,IF(项目总工作量!$B$6="渠道类",FALSE))))</f>
        <v>0.68181818181818177</v>
      </c>
      <c r="F14" s="84">
        <v>1</v>
      </c>
      <c r="G14" s="81"/>
      <c r="H14" s="81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</row>
    <row r="15" spans="1:256" s="80" customFormat="1" ht="17" customHeight="1" x14ac:dyDescent="0.15">
      <c r="A15" s="83">
        <v>12</v>
      </c>
      <c r="B15" s="78" t="s">
        <v>486</v>
      </c>
      <c r="C15" s="78" t="s">
        <v>68</v>
      </c>
      <c r="D15" s="64">
        <f t="shared" si="0"/>
        <v>10</v>
      </c>
      <c r="E15" s="71">
        <f>IF(项目总工作量!$B$6="交易类",D15*1.5/22,IF(项目总工作量!$B$6="数据分析类",D15*1.5*0.9/22,IF(项目总工作量!$B$6="流程管理类",D15*1.5*0.8/22,IF(项目总工作量!$B$6="渠道类",FALSE))))</f>
        <v>0.68181818181818177</v>
      </c>
      <c r="F15" s="84">
        <v>1</v>
      </c>
      <c r="G15" s="81"/>
      <c r="H15" s="81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</row>
    <row r="16" spans="1:256" s="80" customFormat="1" ht="17" customHeight="1" x14ac:dyDescent="0.15">
      <c r="A16" s="83">
        <v>13</v>
      </c>
      <c r="B16" s="78" t="s">
        <v>487</v>
      </c>
      <c r="C16" s="78" t="s">
        <v>68</v>
      </c>
      <c r="D16" s="64">
        <f t="shared" si="0"/>
        <v>10</v>
      </c>
      <c r="E16" s="71">
        <f>IF(项目总工作量!$B$6="交易类",D16*1.5/22,IF(项目总工作量!$B$6="数据分析类",D16*1.5*0.9/22,IF(项目总工作量!$B$6="流程管理类",D16*1.5*0.8/22,IF(项目总工作量!$B$6="渠道类",FALSE))))</f>
        <v>0.68181818181818177</v>
      </c>
      <c r="F16" s="84">
        <v>1</v>
      </c>
      <c r="G16" s="81"/>
      <c r="H16" s="81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</row>
    <row r="17" spans="1:256" s="80" customFormat="1" ht="17" customHeight="1" x14ac:dyDescent="0.15">
      <c r="A17" s="83">
        <v>14</v>
      </c>
      <c r="B17" s="78" t="s">
        <v>488</v>
      </c>
      <c r="C17" s="78" t="s">
        <v>68</v>
      </c>
      <c r="D17" s="64">
        <f t="shared" si="0"/>
        <v>10</v>
      </c>
      <c r="E17" s="71">
        <f>IF(项目总工作量!$B$6="交易类",D17*1.5/22,IF(项目总工作量!$B$6="数据分析类",D17*1.5*0.9/22,IF(项目总工作量!$B$6="流程管理类",D17*1.5*0.8/22,IF(项目总工作量!$B$6="渠道类",FALSE))))</f>
        <v>0.68181818181818177</v>
      </c>
      <c r="F17" s="84">
        <v>1</v>
      </c>
      <c r="G17" s="81"/>
      <c r="H17" s="81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</row>
    <row r="18" spans="1:256" s="80" customFormat="1" ht="17" customHeight="1" x14ac:dyDescent="0.15">
      <c r="A18" s="83">
        <v>15</v>
      </c>
      <c r="B18" s="78" t="s">
        <v>489</v>
      </c>
      <c r="C18" s="78" t="s">
        <v>68</v>
      </c>
      <c r="D18" s="64">
        <f t="shared" si="0"/>
        <v>10</v>
      </c>
      <c r="E18" s="71">
        <f>IF(项目总工作量!$B$6="交易类",D18*1.5/22,IF(项目总工作量!$B$6="数据分析类",D18*1.5*0.9/22,IF(项目总工作量!$B$6="流程管理类",D18*1.5*0.8/22,IF(项目总工作量!$B$6="渠道类",FALSE))))</f>
        <v>0.68181818181818177</v>
      </c>
      <c r="F18" s="84">
        <v>1</v>
      </c>
      <c r="G18" s="81"/>
      <c r="H18" s="81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</row>
    <row r="19" spans="1:256" s="80" customFormat="1" ht="17" customHeight="1" x14ac:dyDescent="0.15">
      <c r="A19" s="83">
        <v>16</v>
      </c>
      <c r="B19" s="78" t="s">
        <v>490</v>
      </c>
      <c r="C19" s="78" t="s">
        <v>68</v>
      </c>
      <c r="D19" s="64">
        <f t="shared" si="0"/>
        <v>10</v>
      </c>
      <c r="E19" s="71">
        <f>IF(项目总工作量!$B$6="交易类",D19*1.5/22,IF(项目总工作量!$B$6="数据分析类",D19*1.5*0.9/22,IF(项目总工作量!$B$6="流程管理类",D19*1.5*0.8/22,IF(项目总工作量!$B$6="渠道类",FALSE))))</f>
        <v>0.68181818181818177</v>
      </c>
      <c r="F19" s="84">
        <v>1</v>
      </c>
      <c r="G19" s="81"/>
      <c r="H19" s="81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</row>
    <row r="20" spans="1:256" s="80" customFormat="1" ht="17" customHeight="1" x14ac:dyDescent="0.15">
      <c r="A20" s="83">
        <v>17</v>
      </c>
      <c r="B20" s="78" t="s">
        <v>491</v>
      </c>
      <c r="C20" s="78" t="s">
        <v>68</v>
      </c>
      <c r="D20" s="64">
        <f t="shared" si="0"/>
        <v>10</v>
      </c>
      <c r="E20" s="71">
        <f>IF(项目总工作量!$B$6="交易类",D20*1.5/22,IF(项目总工作量!$B$6="数据分析类",D20*1.5*0.9/22,IF(项目总工作量!$B$6="流程管理类",D20*1.5*0.8/22,IF(项目总工作量!$B$6="渠道类",FALSE))))</f>
        <v>0.68181818181818177</v>
      </c>
      <c r="F20" s="84">
        <v>1</v>
      </c>
      <c r="G20" s="81"/>
      <c r="H20" s="81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</row>
    <row r="21" spans="1:256" s="80" customFormat="1" ht="17" customHeight="1" x14ac:dyDescent="0.15">
      <c r="A21" s="83">
        <v>18</v>
      </c>
      <c r="B21" s="82" t="s">
        <v>492</v>
      </c>
      <c r="C21" s="81" t="s">
        <v>68</v>
      </c>
      <c r="D21" s="64">
        <f t="shared" si="0"/>
        <v>10</v>
      </c>
      <c r="E21" s="71">
        <f>IF(项目总工作量!$B$6="交易类",D21*1.5/22,IF(项目总工作量!$B$6="数据分析类",D21*1.5*0.9/22,IF(项目总工作量!$B$6="流程管理类",D21*1.5*0.8/22,IF(项目总工作量!$B$6="渠道类",FALSE))))</f>
        <v>0.68181818181818177</v>
      </c>
      <c r="F21" s="84">
        <v>1</v>
      </c>
      <c r="G21" s="81"/>
      <c r="H21" s="81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</row>
    <row r="22" spans="1:256" s="40" customFormat="1" ht="14" x14ac:dyDescent="0.15">
      <c r="A22" s="42"/>
      <c r="B22" s="42"/>
      <c r="C22" s="42"/>
      <c r="D22" s="64">
        <f t="shared" si="0"/>
        <v>0</v>
      </c>
      <c r="E22" s="67">
        <f>IF(项目总工作量!$B$6="交易类",D22*1.5/22,IF(项目总工作量!$B$6="数据分析类",D22*1.5*0.9/22,IF(项目总工作量!$B$6="流程管理类",D22*1.5*0.8/22,IF(项目总工作量!$B$6="渠道类",FALSE))))</f>
        <v>0</v>
      </c>
      <c r="F22" s="38"/>
      <c r="G22" s="42"/>
      <c r="H22" s="62"/>
    </row>
    <row r="23" spans="1:256" s="40" customFormat="1" ht="14" x14ac:dyDescent="0.15">
      <c r="A23" s="42"/>
      <c r="B23" s="42"/>
      <c r="C23" s="42"/>
      <c r="D23" s="64">
        <f t="shared" si="0"/>
        <v>0</v>
      </c>
      <c r="E23" s="67">
        <f>IF(项目总工作量!$B$6="交易类",D23*1.5/22,IF(项目总工作量!$B$6="数据分析类",D23*1.5*0.9/22,IF(项目总工作量!$B$6="流程管理类",D23*1.5*0.8/22,IF(项目总工作量!$B$6="渠道类",FALSE))))</f>
        <v>0</v>
      </c>
      <c r="F23" s="38"/>
      <c r="G23" s="42"/>
      <c r="H23" s="62"/>
    </row>
    <row r="24" spans="1:256" s="40" customFormat="1" ht="14" x14ac:dyDescent="0.15">
      <c r="A24" s="42"/>
      <c r="B24" s="42"/>
      <c r="C24" s="42"/>
      <c r="D24" s="64">
        <f t="shared" si="0"/>
        <v>0</v>
      </c>
      <c r="E24" s="67">
        <f>IF(项目总工作量!$B$6="交易类",D24*1.5/22,IF(项目总工作量!$B$6="数据分析类",D24*1.5*0.9/22,IF(项目总工作量!$B$6="流程管理类",D24*1.5*0.8/22,IF(项目总工作量!$B$6="渠道类",FALSE))))</f>
        <v>0</v>
      </c>
      <c r="F24" s="38"/>
      <c r="G24" s="42"/>
      <c r="H24" s="62"/>
    </row>
    <row r="25" spans="1:256" s="40" customFormat="1" ht="14" x14ac:dyDescent="0.15">
      <c r="A25" s="103" t="s">
        <v>42</v>
      </c>
      <c r="B25" s="104"/>
      <c r="C25" s="104"/>
      <c r="D25" s="60">
        <f>SUM(D4:D24)</f>
        <v>180</v>
      </c>
      <c r="E25" s="36">
        <f>SUM(E4:E24)</f>
        <v>12.272727272727272</v>
      </c>
      <c r="F25" s="36">
        <f>SUM(F4:F24)</f>
        <v>18</v>
      </c>
      <c r="G25" s="39"/>
      <c r="H25" s="39"/>
    </row>
  </sheetData>
  <mergeCells count="2">
    <mergeCell ref="A25:C25"/>
    <mergeCell ref="A1:H1"/>
  </mergeCells>
  <phoneticPr fontId="2" type="noConversion"/>
  <dataValidations count="2">
    <dataValidation type="list" allowBlank="1" showInputMessage="1" showErrorMessage="1" sqref="C4:C24">
      <formula1>"ILF,EIF"</formula1>
    </dataValidation>
    <dataValidation type="list" allowBlank="1" showInputMessage="1" showErrorMessage="1" sqref="G4:G24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30"/>
  <sheetViews>
    <sheetView workbookViewId="0">
      <selection activeCell="L20" sqref="L20"/>
    </sheetView>
  </sheetViews>
  <sheetFormatPr baseColWidth="10" defaultColWidth="9" defaultRowHeight="14" x14ac:dyDescent="0.15"/>
  <cols>
    <col min="1" max="1" width="7.83203125" style="43" customWidth="1"/>
    <col min="2" max="2" width="16.6640625" style="56" customWidth="1"/>
    <col min="3" max="3" width="19.1640625" style="56" customWidth="1"/>
    <col min="4" max="4" width="19.6640625" style="56" customWidth="1"/>
    <col min="5" max="5" width="21.1640625" style="43" customWidth="1"/>
    <col min="6" max="6" width="20.6640625" style="43" customWidth="1"/>
    <col min="7" max="7" width="13.6640625" style="43" customWidth="1"/>
    <col min="8" max="16384" width="9" style="43"/>
  </cols>
  <sheetData>
    <row r="1" spans="1:9" ht="38.25" customHeight="1" x14ac:dyDescent="0.15">
      <c r="A1" s="109" t="s">
        <v>10</v>
      </c>
      <c r="B1" s="109"/>
      <c r="C1" s="109"/>
      <c r="D1" s="109"/>
      <c r="E1" s="109"/>
      <c r="F1" s="109"/>
      <c r="G1" s="109"/>
    </row>
    <row r="2" spans="1:9" ht="28" x14ac:dyDescent="0.15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ht="70" x14ac:dyDescent="0.15">
      <c r="A3" s="142">
        <v>1</v>
      </c>
      <c r="B3" s="113" t="s">
        <v>498</v>
      </c>
      <c r="C3" s="44" t="s">
        <v>499</v>
      </c>
      <c r="D3" s="44" t="s">
        <v>500</v>
      </c>
      <c r="E3" s="45">
        <v>0.6</v>
      </c>
      <c r="F3" s="45">
        <v>1</v>
      </c>
      <c r="G3" s="46">
        <f>SUM(E3:F3)</f>
        <v>1.6</v>
      </c>
      <c r="H3" s="47"/>
      <c r="I3" s="48"/>
    </row>
    <row r="4" spans="1:9" ht="28" x14ac:dyDescent="0.15">
      <c r="A4" s="142"/>
      <c r="B4" s="113"/>
      <c r="C4" s="44" t="s">
        <v>501</v>
      </c>
      <c r="D4" s="44" t="s">
        <v>502</v>
      </c>
      <c r="E4" s="45">
        <v>3</v>
      </c>
      <c r="F4" s="45"/>
      <c r="G4" s="46">
        <f t="shared" ref="G4:G6" si="0">SUM(E4:F4)</f>
        <v>3</v>
      </c>
      <c r="H4" s="47"/>
    </row>
    <row r="5" spans="1:9" x14ac:dyDescent="0.15">
      <c r="A5" s="142"/>
      <c r="B5" s="113"/>
      <c r="C5" s="44" t="s">
        <v>503</v>
      </c>
      <c r="D5" s="44" t="s">
        <v>504</v>
      </c>
      <c r="E5" s="45">
        <v>2</v>
      </c>
      <c r="F5" s="45"/>
      <c r="G5" s="46">
        <f t="shared" si="0"/>
        <v>2</v>
      </c>
      <c r="H5" s="47"/>
    </row>
    <row r="6" spans="1:9" ht="42" x14ac:dyDescent="0.15">
      <c r="A6" s="142"/>
      <c r="B6" s="113"/>
      <c r="C6" s="44" t="s">
        <v>505</v>
      </c>
      <c r="D6" s="44" t="s">
        <v>506</v>
      </c>
      <c r="E6" s="45">
        <v>1</v>
      </c>
      <c r="F6" s="45"/>
      <c r="G6" s="46">
        <f t="shared" si="0"/>
        <v>1</v>
      </c>
      <c r="H6" s="47"/>
    </row>
    <row r="7" spans="1:9" ht="28" x14ac:dyDescent="0.15">
      <c r="A7" s="142">
        <v>2</v>
      </c>
      <c r="B7" s="113" t="s">
        <v>507</v>
      </c>
      <c r="C7" s="44" t="s">
        <v>508</v>
      </c>
      <c r="D7" s="44" t="s">
        <v>509</v>
      </c>
      <c r="E7" s="45">
        <v>1</v>
      </c>
      <c r="F7" s="45"/>
      <c r="G7" s="46">
        <f>SUM(E7:F7)</f>
        <v>1</v>
      </c>
      <c r="H7" s="47"/>
      <c r="I7" s="48"/>
    </row>
    <row r="8" spans="1:9" ht="28" x14ac:dyDescent="0.15">
      <c r="A8" s="142"/>
      <c r="B8" s="113"/>
      <c r="C8" s="44" t="s">
        <v>510</v>
      </c>
      <c r="D8" s="44" t="s">
        <v>511</v>
      </c>
      <c r="E8" s="45">
        <v>3</v>
      </c>
      <c r="F8" s="45"/>
      <c r="G8" s="46">
        <f t="shared" ref="G8:G28" si="1">SUM(E8:F8)</f>
        <v>3</v>
      </c>
      <c r="H8" s="47"/>
    </row>
    <row r="9" spans="1:9" ht="28" x14ac:dyDescent="0.15">
      <c r="A9" s="142"/>
      <c r="B9" s="113"/>
      <c r="C9" s="44" t="s">
        <v>512</v>
      </c>
      <c r="D9" s="44" t="s">
        <v>513</v>
      </c>
      <c r="E9" s="45">
        <v>2</v>
      </c>
      <c r="F9" s="45"/>
      <c r="G9" s="46">
        <f t="shared" si="1"/>
        <v>2</v>
      </c>
      <c r="H9" s="47"/>
    </row>
    <row r="10" spans="1:9" ht="28" x14ac:dyDescent="0.15">
      <c r="A10" s="142"/>
      <c r="B10" s="113"/>
      <c r="C10" s="44" t="s">
        <v>514</v>
      </c>
      <c r="D10" s="44" t="s">
        <v>515</v>
      </c>
      <c r="E10" s="45">
        <v>1</v>
      </c>
      <c r="F10" s="45"/>
      <c r="G10" s="46">
        <f t="shared" si="1"/>
        <v>1</v>
      </c>
      <c r="H10" s="47"/>
    </row>
    <row r="11" spans="1:9" ht="28" x14ac:dyDescent="0.15">
      <c r="A11" s="142"/>
      <c r="B11" s="113"/>
      <c r="C11" s="44" t="s">
        <v>516</v>
      </c>
      <c r="D11" s="44" t="s">
        <v>517</v>
      </c>
      <c r="E11" s="45">
        <v>2</v>
      </c>
      <c r="F11" s="49"/>
      <c r="G11" s="46">
        <f t="shared" si="1"/>
        <v>2</v>
      </c>
      <c r="H11" s="50"/>
    </row>
    <row r="12" spans="1:9" ht="14" customHeight="1" x14ac:dyDescent="0.15">
      <c r="A12" s="142"/>
      <c r="B12" s="113"/>
      <c r="C12" s="44" t="s">
        <v>518</v>
      </c>
      <c r="D12" s="44" t="s">
        <v>519</v>
      </c>
      <c r="E12" s="45">
        <v>1</v>
      </c>
      <c r="F12" s="49"/>
      <c r="G12" s="46">
        <f t="shared" si="1"/>
        <v>1</v>
      </c>
      <c r="H12" s="50"/>
    </row>
    <row r="13" spans="1:9" ht="14" customHeight="1" x14ac:dyDescent="0.15">
      <c r="A13" s="142"/>
      <c r="B13" s="113"/>
      <c r="C13" s="44" t="s">
        <v>520</v>
      </c>
      <c r="D13" s="44"/>
      <c r="E13" s="45">
        <v>1</v>
      </c>
      <c r="F13" s="49"/>
      <c r="G13" s="46">
        <f t="shared" si="1"/>
        <v>1</v>
      </c>
      <c r="H13" s="50"/>
    </row>
    <row r="14" spans="1:9" ht="14" customHeight="1" x14ac:dyDescent="0.15">
      <c r="A14" s="142"/>
      <c r="B14" s="113"/>
      <c r="C14" s="44" t="s">
        <v>521</v>
      </c>
      <c r="D14" s="44"/>
      <c r="E14" s="45">
        <v>1</v>
      </c>
      <c r="F14" s="49"/>
      <c r="G14" s="46">
        <f t="shared" si="1"/>
        <v>1</v>
      </c>
      <c r="H14" s="50"/>
    </row>
    <row r="15" spans="1:9" ht="14" customHeight="1" x14ac:dyDescent="0.15">
      <c r="A15" s="142"/>
      <c r="B15" s="113"/>
      <c r="C15" s="44" t="s">
        <v>522</v>
      </c>
      <c r="D15" s="44"/>
      <c r="E15" s="45">
        <v>1</v>
      </c>
      <c r="F15" s="49"/>
      <c r="G15" s="46">
        <f t="shared" si="1"/>
        <v>1</v>
      </c>
      <c r="H15" s="50"/>
      <c r="I15" s="51"/>
    </row>
    <row r="16" spans="1:9" ht="14" customHeight="1" x14ac:dyDescent="0.15">
      <c r="A16" s="142"/>
      <c r="B16" s="113"/>
      <c r="C16" s="44" t="s">
        <v>523</v>
      </c>
      <c r="D16" s="44"/>
      <c r="E16" s="45">
        <v>1</v>
      </c>
      <c r="F16" s="49"/>
      <c r="G16" s="46">
        <f t="shared" si="1"/>
        <v>1</v>
      </c>
      <c r="H16" s="50"/>
    </row>
    <row r="17" spans="1:10" ht="14" customHeight="1" x14ac:dyDescent="0.15">
      <c r="A17" s="142"/>
      <c r="B17" s="113"/>
      <c r="C17" s="44" t="s">
        <v>524</v>
      </c>
      <c r="D17" s="44"/>
      <c r="E17" s="45">
        <v>1</v>
      </c>
      <c r="F17" s="49"/>
      <c r="G17" s="46">
        <f t="shared" si="1"/>
        <v>1</v>
      </c>
      <c r="H17" s="50"/>
    </row>
    <row r="18" spans="1:10" ht="14" customHeight="1" x14ac:dyDescent="0.15">
      <c r="A18" s="142"/>
      <c r="B18" s="113"/>
      <c r="C18" s="44" t="s">
        <v>525</v>
      </c>
      <c r="D18" s="44"/>
      <c r="E18" s="45">
        <v>1</v>
      </c>
      <c r="F18" s="49"/>
      <c r="G18" s="46">
        <f t="shared" si="1"/>
        <v>1</v>
      </c>
      <c r="H18" s="50"/>
    </row>
    <row r="19" spans="1:10" ht="14" customHeight="1" x14ac:dyDescent="0.15">
      <c r="A19" s="142"/>
      <c r="B19" s="113"/>
      <c r="C19" s="44" t="s">
        <v>526</v>
      </c>
      <c r="D19" s="44"/>
      <c r="E19" s="45">
        <v>1</v>
      </c>
      <c r="F19" s="49"/>
      <c r="G19" s="46">
        <f t="shared" si="1"/>
        <v>1</v>
      </c>
      <c r="H19" s="50"/>
    </row>
    <row r="20" spans="1:10" ht="14" customHeight="1" x14ac:dyDescent="0.15">
      <c r="A20" s="142"/>
      <c r="B20" s="113"/>
      <c r="C20" s="44" t="s">
        <v>527</v>
      </c>
      <c r="D20" s="44"/>
      <c r="E20" s="45">
        <v>2</v>
      </c>
      <c r="F20" s="49"/>
      <c r="G20" s="46">
        <f t="shared" si="1"/>
        <v>2</v>
      </c>
      <c r="H20" s="50"/>
      <c r="I20" s="51"/>
    </row>
    <row r="21" spans="1:10" ht="14" customHeight="1" x14ac:dyDescent="0.15">
      <c r="A21" s="142"/>
      <c r="B21" s="113"/>
      <c r="C21" s="44" t="s">
        <v>528</v>
      </c>
      <c r="D21" s="44"/>
      <c r="E21" s="45">
        <v>1</v>
      </c>
      <c r="F21" s="49"/>
      <c r="G21" s="46">
        <f t="shared" si="1"/>
        <v>1</v>
      </c>
      <c r="H21" s="50"/>
    </row>
    <row r="22" spans="1:10" ht="14" customHeight="1" x14ac:dyDescent="0.15">
      <c r="A22" s="142"/>
      <c r="B22" s="113"/>
      <c r="C22" s="44" t="s">
        <v>529</v>
      </c>
      <c r="D22" s="44"/>
      <c r="E22" s="45">
        <v>1</v>
      </c>
      <c r="F22" s="49"/>
      <c r="G22" s="46">
        <f t="shared" si="1"/>
        <v>1</v>
      </c>
      <c r="H22" s="50"/>
    </row>
    <row r="23" spans="1:10" ht="30" customHeight="1" x14ac:dyDescent="0.15">
      <c r="A23" s="142"/>
      <c r="B23" s="113"/>
      <c r="C23" s="44" t="s">
        <v>530</v>
      </c>
      <c r="D23" s="44" t="s">
        <v>531</v>
      </c>
      <c r="E23" s="45">
        <v>1</v>
      </c>
      <c r="F23" s="49"/>
      <c r="G23" s="46">
        <f t="shared" si="1"/>
        <v>1</v>
      </c>
      <c r="H23" s="50"/>
    </row>
    <row r="24" spans="1:10" ht="28" x14ac:dyDescent="0.15">
      <c r="A24" s="142">
        <v>3</v>
      </c>
      <c r="B24" s="113" t="s">
        <v>532</v>
      </c>
      <c r="C24" s="44" t="s">
        <v>533</v>
      </c>
      <c r="D24" s="44" t="s">
        <v>534</v>
      </c>
      <c r="E24" s="45">
        <v>3</v>
      </c>
      <c r="F24" s="49"/>
      <c r="G24" s="46">
        <f t="shared" si="1"/>
        <v>3</v>
      </c>
      <c r="H24" s="50"/>
    </row>
    <row r="25" spans="1:10" ht="28" x14ac:dyDescent="0.15">
      <c r="A25" s="142"/>
      <c r="B25" s="113"/>
      <c r="C25" s="44" t="s">
        <v>535</v>
      </c>
      <c r="D25" s="44" t="s">
        <v>536</v>
      </c>
      <c r="E25" s="45">
        <v>2</v>
      </c>
      <c r="F25" s="49"/>
      <c r="G25" s="46">
        <f t="shared" si="1"/>
        <v>2</v>
      </c>
      <c r="H25" s="50"/>
    </row>
    <row r="26" spans="1:10" ht="28" x14ac:dyDescent="0.15">
      <c r="A26" s="142">
        <v>4</v>
      </c>
      <c r="B26" s="113" t="s">
        <v>537</v>
      </c>
      <c r="C26" s="44" t="s">
        <v>538</v>
      </c>
      <c r="D26" s="52" t="s">
        <v>539</v>
      </c>
      <c r="E26" s="53">
        <v>4</v>
      </c>
      <c r="F26" s="53"/>
      <c r="G26" s="46">
        <f t="shared" si="1"/>
        <v>4</v>
      </c>
      <c r="H26" s="50"/>
      <c r="I26" s="47"/>
      <c r="J26" s="51"/>
    </row>
    <row r="27" spans="1:10" x14ac:dyDescent="0.15">
      <c r="A27" s="142"/>
      <c r="B27" s="113"/>
      <c r="C27" s="44" t="s">
        <v>540</v>
      </c>
      <c r="D27" s="52" t="s">
        <v>541</v>
      </c>
      <c r="E27" s="53">
        <v>2</v>
      </c>
      <c r="F27" s="53"/>
      <c r="G27" s="46">
        <f t="shared" si="1"/>
        <v>2</v>
      </c>
      <c r="H27" s="50"/>
      <c r="I27" s="51"/>
    </row>
    <row r="28" spans="1:10" ht="28" x14ac:dyDescent="0.15">
      <c r="A28" s="142"/>
      <c r="B28" s="113"/>
      <c r="C28" s="44" t="s">
        <v>542</v>
      </c>
      <c r="D28" s="44" t="s">
        <v>543</v>
      </c>
      <c r="E28" s="45">
        <v>3</v>
      </c>
      <c r="F28" s="49"/>
      <c r="G28" s="46">
        <f t="shared" si="1"/>
        <v>3</v>
      </c>
      <c r="H28" s="50"/>
      <c r="I28" s="51"/>
    </row>
    <row r="29" spans="1:10" ht="14.25" customHeight="1" x14ac:dyDescent="0.15">
      <c r="A29" s="110" t="s">
        <v>14</v>
      </c>
      <c r="B29" s="111"/>
      <c r="C29" s="111"/>
      <c r="D29" s="112"/>
      <c r="E29" s="54">
        <f>SUM(E3:E28)</f>
        <v>42.6</v>
      </c>
      <c r="F29" s="54">
        <f>SUM(F3:F28)</f>
        <v>1</v>
      </c>
      <c r="G29" s="55">
        <f>SUM(E29:F29)</f>
        <v>43.6</v>
      </c>
      <c r="H29" s="50"/>
    </row>
    <row r="30" spans="1:10" x14ac:dyDescent="0.15">
      <c r="H30" s="57"/>
    </row>
  </sheetData>
  <mergeCells count="10">
    <mergeCell ref="A1:G1"/>
    <mergeCell ref="A29:D29"/>
    <mergeCell ref="A3:A6"/>
    <mergeCell ref="B3:B6"/>
    <mergeCell ref="A7:A23"/>
    <mergeCell ref="B7:B23"/>
    <mergeCell ref="A24:A25"/>
    <mergeCell ref="B24:B25"/>
    <mergeCell ref="A26:A28"/>
    <mergeCell ref="B26:B28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项目总工作量</vt:lpstr>
      <vt:lpstr>事务功能</vt:lpstr>
      <vt:lpstr>数据功能</vt:lpstr>
      <vt:lpstr>非功能点估算表</vt:lpstr>
    </vt:vector>
  </TitlesOfParts>
  <Company>suiji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Microsoft Office 用户</cp:lastModifiedBy>
  <dcterms:created xsi:type="dcterms:W3CDTF">2008-05-29T08:25:26Z</dcterms:created>
  <dcterms:modified xsi:type="dcterms:W3CDTF">2018-05-18T08:38:33Z</dcterms:modified>
</cp:coreProperties>
</file>
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3096" yWindow="456" windowWidth="23256" windowHeight="13176" tabRatio="449" activeTab="1"/>
  </bookViews>
  <sheets>
    <sheet name="项目总工作量" sheetId="7" r:id="rId1"/>
    <sheet name="事务功能" sheetId="4" r:id="rId2"/>
    <sheet name="数据功能" sheetId="2" r:id="rId3"/>
    <sheet name="非功能点估算表" sheetId="6" r:id="rId4"/>
  </sheets>
  <externalReferences>
    <externalReference r:id="rId5"/>
    <externalReference r:id="rId6"/>
    <externalReference r:id="rId7"/>
  </externalReferences>
  <definedNames>
    <definedName name="DET">数据功能!#REF!</definedName>
    <definedName name="DType">事务功能!$G$1</definedName>
    <definedName name="FPRating">数据功能!$D:$D</definedName>
    <definedName name="FTR">数据功能!#REF!</definedName>
    <definedName name="TType">数据功能!$C:$C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93" i="4" l="1"/>
  <c r="I94" i="4"/>
  <c r="I95" i="4"/>
  <c r="I96" i="4"/>
  <c r="I97" i="4"/>
  <c r="H94" i="4"/>
  <c r="H95" i="4"/>
  <c r="H96" i="4"/>
  <c r="H97" i="4"/>
  <c r="H93" i="4"/>
  <c r="D93" i="4"/>
  <c r="D94" i="4"/>
  <c r="D95" i="4"/>
  <c r="H86" i="4" l="1"/>
  <c r="I86" i="4" s="1"/>
  <c r="D86" i="4" s="1"/>
  <c r="H87" i="4"/>
  <c r="I87" i="4" s="1"/>
  <c r="D87" i="4" s="1"/>
  <c r="H82" i="4"/>
  <c r="I82" i="4" s="1"/>
  <c r="D82" i="4" s="1"/>
  <c r="H83" i="4"/>
  <c r="I83" i="4" s="1"/>
  <c r="D83" i="4" s="1"/>
  <c r="H84" i="4"/>
  <c r="I84" i="4" s="1"/>
  <c r="D84" i="4" s="1"/>
  <c r="D124" i="4"/>
  <c r="D126" i="4"/>
  <c r="H102" i="4"/>
  <c r="I102" i="4" s="1"/>
  <c r="D102" i="4" s="1"/>
  <c r="H101" i="4"/>
  <c r="I101" i="4" s="1"/>
  <c r="D101" i="4" s="1"/>
  <c r="H148" i="4"/>
  <c r="I148" i="4" s="1"/>
  <c r="D148" i="4" s="1"/>
  <c r="H149" i="4"/>
  <c r="I149" i="4" s="1"/>
  <c r="H150" i="4"/>
  <c r="I150" i="4" s="1"/>
  <c r="D150" i="4" s="1"/>
  <c r="H151" i="4"/>
  <c r="I151" i="4" s="1"/>
  <c r="H152" i="4"/>
  <c r="I152" i="4" s="1"/>
  <c r="D152" i="4" s="1"/>
  <c r="H153" i="4"/>
  <c r="I153" i="4" s="1"/>
  <c r="H154" i="4"/>
  <c r="I154" i="4" s="1"/>
  <c r="D154" i="4" s="1"/>
  <c r="H155" i="4"/>
  <c r="I155" i="4" s="1"/>
  <c r="H156" i="4"/>
  <c r="I156" i="4" s="1"/>
  <c r="D156" i="4" s="1"/>
  <c r="H157" i="4"/>
  <c r="I157" i="4" s="1"/>
  <c r="H158" i="4"/>
  <c r="I158" i="4" s="1"/>
  <c r="D158" i="4" s="1"/>
  <c r="H159" i="4"/>
  <c r="I159" i="4" s="1"/>
  <c r="H160" i="4"/>
  <c r="I160" i="4" s="1"/>
  <c r="D160" i="4" s="1"/>
  <c r="H136" i="4"/>
  <c r="H134" i="4"/>
  <c r="I134" i="4" s="1"/>
  <c r="D134" i="4" s="1"/>
  <c r="H135" i="4"/>
  <c r="I135" i="4"/>
  <c r="H98" i="4"/>
  <c r="I98" i="4" s="1"/>
  <c r="D98" i="4" s="1"/>
  <c r="H99" i="4"/>
  <c r="I99" i="4" s="1"/>
  <c r="D99" i="4" s="1"/>
  <c r="H146" i="4"/>
  <c r="I136" i="4" l="1"/>
  <c r="D136" i="4" s="1"/>
  <c r="D135" i="4"/>
  <c r="F29" i="6"/>
  <c r="E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H4" i="4"/>
  <c r="I4" i="4" s="1"/>
  <c r="D4" i="4" s="1"/>
  <c r="H5" i="4"/>
  <c r="I5" i="4" s="1"/>
  <c r="D5" i="4" s="1"/>
  <c r="H6" i="4"/>
  <c r="I6" i="4" s="1"/>
  <c r="D6" i="4" s="1"/>
  <c r="H7" i="4"/>
  <c r="I7" i="4" s="1"/>
  <c r="D7" i="4" s="1"/>
  <c r="H8" i="4"/>
  <c r="I8" i="4" s="1"/>
  <c r="D8" i="4" s="1"/>
  <c r="H9" i="4"/>
  <c r="I9" i="4" s="1"/>
  <c r="D9" i="4" s="1"/>
  <c r="H10" i="4"/>
  <c r="I10" i="4" s="1"/>
  <c r="D10" i="4" s="1"/>
  <c r="H11" i="4"/>
  <c r="I11" i="4" s="1"/>
  <c r="D11" i="4" s="1"/>
  <c r="H12" i="4"/>
  <c r="I12" i="4" s="1"/>
  <c r="D12" i="4" s="1"/>
  <c r="H13" i="4"/>
  <c r="I13" i="4" s="1"/>
  <c r="D13" i="4" s="1"/>
  <c r="H14" i="4"/>
  <c r="I14" i="4" s="1"/>
  <c r="D14" i="4" s="1"/>
  <c r="H15" i="4"/>
  <c r="I15" i="4" s="1"/>
  <c r="D15" i="4" s="1"/>
  <c r="H16" i="4"/>
  <c r="I16" i="4" s="1"/>
  <c r="D16" i="4" s="1"/>
  <c r="H17" i="4"/>
  <c r="I17" i="4" s="1"/>
  <c r="D17" i="4" s="1"/>
  <c r="H18" i="4"/>
  <c r="I18" i="4" s="1"/>
  <c r="D18" i="4" s="1"/>
  <c r="H19" i="4"/>
  <c r="I19" i="4" s="1"/>
  <c r="D19" i="4" s="1"/>
  <c r="H20" i="4"/>
  <c r="I20" i="4" s="1"/>
  <c r="D20" i="4" s="1"/>
  <c r="H21" i="4"/>
  <c r="I21" i="4" s="1"/>
  <c r="D21" i="4" s="1"/>
  <c r="H22" i="4"/>
  <c r="I22" i="4" s="1"/>
  <c r="D22" i="4" s="1"/>
  <c r="H23" i="4"/>
  <c r="I23" i="4" s="1"/>
  <c r="D23" i="4" s="1"/>
  <c r="H24" i="4"/>
  <c r="I24" i="4" s="1"/>
  <c r="D24" i="4" s="1"/>
  <c r="H25" i="4"/>
  <c r="I25" i="4" s="1"/>
  <c r="D25" i="4" s="1"/>
  <c r="H26" i="4"/>
  <c r="I26" i="4" s="1"/>
  <c r="D26" i="4" s="1"/>
  <c r="H27" i="4"/>
  <c r="I27" i="4" s="1"/>
  <c r="D27" i="4" s="1"/>
  <c r="H28" i="4"/>
  <c r="I28" i="4" s="1"/>
  <c r="D28" i="4" s="1"/>
  <c r="H29" i="4"/>
  <c r="I29" i="4" s="1"/>
  <c r="D29" i="4" s="1"/>
  <c r="H30" i="4"/>
  <c r="I30" i="4" s="1"/>
  <c r="D30" i="4" s="1"/>
  <c r="H31" i="4"/>
  <c r="I31" i="4" s="1"/>
  <c r="D31" i="4" s="1"/>
  <c r="H32" i="4"/>
  <c r="I32" i="4" s="1"/>
  <c r="D32" i="4" s="1"/>
  <c r="H33" i="4"/>
  <c r="I33" i="4" s="1"/>
  <c r="D33" i="4" s="1"/>
  <c r="H34" i="4"/>
  <c r="I34" i="4" s="1"/>
  <c r="D34" i="4" s="1"/>
  <c r="H35" i="4"/>
  <c r="I35" i="4" s="1"/>
  <c r="D35" i="4" s="1"/>
  <c r="H36" i="4"/>
  <c r="I36" i="4" s="1"/>
  <c r="D36" i="4" s="1"/>
  <c r="H37" i="4"/>
  <c r="I37" i="4" s="1"/>
  <c r="D37" i="4" s="1"/>
  <c r="H38" i="4"/>
  <c r="I38" i="4" s="1"/>
  <c r="D38" i="4" s="1"/>
  <c r="H39" i="4"/>
  <c r="I39" i="4" s="1"/>
  <c r="D39" i="4" s="1"/>
  <c r="H40" i="4"/>
  <c r="I40" i="4" s="1"/>
  <c r="D40" i="4" s="1"/>
  <c r="H41" i="4"/>
  <c r="I41" i="4" s="1"/>
  <c r="D41" i="4" s="1"/>
  <c r="H42" i="4"/>
  <c r="I42" i="4" s="1"/>
  <c r="D42" i="4" s="1"/>
  <c r="H43" i="4"/>
  <c r="I43" i="4" s="1"/>
  <c r="D43" i="4" s="1"/>
  <c r="H44" i="4"/>
  <c r="I44" i="4" s="1"/>
  <c r="D44" i="4" s="1"/>
  <c r="H45" i="4"/>
  <c r="I45" i="4" s="1"/>
  <c r="D45" i="4" s="1"/>
  <c r="H46" i="4"/>
  <c r="I46" i="4" s="1"/>
  <c r="D46" i="4" s="1"/>
  <c r="H47" i="4"/>
  <c r="I47" i="4" s="1"/>
  <c r="D47" i="4" s="1"/>
  <c r="H48" i="4"/>
  <c r="I48" i="4" s="1"/>
  <c r="D48" i="4" s="1"/>
  <c r="H49" i="4"/>
  <c r="I49" i="4" s="1"/>
  <c r="D49" i="4" s="1"/>
  <c r="H50" i="4"/>
  <c r="I50" i="4" s="1"/>
  <c r="D50" i="4" s="1"/>
  <c r="H51" i="4"/>
  <c r="I51" i="4" s="1"/>
  <c r="D51" i="4" s="1"/>
  <c r="H52" i="4"/>
  <c r="I52" i="4" s="1"/>
  <c r="D52" i="4" s="1"/>
  <c r="H53" i="4"/>
  <c r="I53" i="4" s="1"/>
  <c r="D53" i="4" s="1"/>
  <c r="H54" i="4"/>
  <c r="I54" i="4" s="1"/>
  <c r="D54" i="4" s="1"/>
  <c r="H55" i="4"/>
  <c r="I55" i="4" s="1"/>
  <c r="D55" i="4" s="1"/>
  <c r="H56" i="4"/>
  <c r="I56" i="4" s="1"/>
  <c r="D56" i="4" s="1"/>
  <c r="H57" i="4"/>
  <c r="I57" i="4" s="1"/>
  <c r="D57" i="4" s="1"/>
  <c r="H58" i="4"/>
  <c r="I58" i="4" s="1"/>
  <c r="D58" i="4" s="1"/>
  <c r="H59" i="4"/>
  <c r="I59" i="4" s="1"/>
  <c r="D59" i="4" s="1"/>
  <c r="H60" i="4"/>
  <c r="I60" i="4" s="1"/>
  <c r="D60" i="4" s="1"/>
  <c r="H61" i="4"/>
  <c r="I61" i="4" s="1"/>
  <c r="D61" i="4" s="1"/>
  <c r="H62" i="4"/>
  <c r="I62" i="4" s="1"/>
  <c r="D62" i="4" s="1"/>
  <c r="H63" i="4"/>
  <c r="I63" i="4" s="1"/>
  <c r="D63" i="4" s="1"/>
  <c r="H64" i="4"/>
  <c r="I64" i="4" s="1"/>
  <c r="D64" i="4" s="1"/>
  <c r="H65" i="4"/>
  <c r="I65" i="4" s="1"/>
  <c r="D65" i="4" s="1"/>
  <c r="H66" i="4"/>
  <c r="I66" i="4" s="1"/>
  <c r="D66" i="4" s="1"/>
  <c r="H67" i="4"/>
  <c r="I67" i="4" s="1"/>
  <c r="D67" i="4" s="1"/>
  <c r="H68" i="4"/>
  <c r="I68" i="4" s="1"/>
  <c r="D68" i="4" s="1"/>
  <c r="H69" i="4"/>
  <c r="I69" i="4"/>
  <c r="H70" i="4"/>
  <c r="I70" i="4" s="1"/>
  <c r="D70" i="4" s="1"/>
  <c r="H71" i="4"/>
  <c r="I71" i="4"/>
  <c r="D71" i="4" s="1"/>
  <c r="H72" i="4"/>
  <c r="I72" i="4" s="1"/>
  <c r="D72" i="4" s="1"/>
  <c r="H73" i="4"/>
  <c r="I73" i="4"/>
  <c r="D73" i="4" s="1"/>
  <c r="H74" i="4"/>
  <c r="I74" i="4" s="1"/>
  <c r="D74" i="4" s="1"/>
  <c r="H75" i="4"/>
  <c r="I75" i="4"/>
  <c r="D75" i="4" s="1"/>
  <c r="H76" i="4"/>
  <c r="I76" i="4" s="1"/>
  <c r="D76" i="4" s="1"/>
  <c r="H77" i="4"/>
  <c r="I77" i="4"/>
  <c r="D77" i="4" s="1"/>
  <c r="H78" i="4"/>
  <c r="I78" i="4" s="1"/>
  <c r="D78" i="4" s="1"/>
  <c r="H79" i="4"/>
  <c r="I79" i="4"/>
  <c r="D79" i="4" s="1"/>
  <c r="H80" i="4"/>
  <c r="I80" i="4" s="1"/>
  <c r="D80" i="4" s="1"/>
  <c r="H81" i="4"/>
  <c r="I81" i="4"/>
  <c r="D81" i="4" s="1"/>
  <c r="H85" i="4"/>
  <c r="I85" i="4" s="1"/>
  <c r="D85" i="4" s="1"/>
  <c r="H88" i="4"/>
  <c r="I88" i="4"/>
  <c r="D88" i="4" s="1"/>
  <c r="H89" i="4"/>
  <c r="I89" i="4" s="1"/>
  <c r="D89" i="4" s="1"/>
  <c r="H90" i="4"/>
  <c r="I90" i="4"/>
  <c r="D90" i="4" s="1"/>
  <c r="H91" i="4"/>
  <c r="I91" i="4" s="1"/>
  <c r="D91" i="4" s="1"/>
  <c r="H92" i="4"/>
  <c r="I92" i="4"/>
  <c r="D92" i="4" s="1"/>
  <c r="D96" i="4"/>
  <c r="H100" i="4"/>
  <c r="I100" i="4" s="1"/>
  <c r="D100" i="4" s="1"/>
  <c r="H103" i="4"/>
  <c r="I103" i="4"/>
  <c r="D103" i="4" s="1"/>
  <c r="H104" i="4"/>
  <c r="I104" i="4" s="1"/>
  <c r="D104" i="4" s="1"/>
  <c r="H105" i="4"/>
  <c r="I105" i="4" s="1"/>
  <c r="D105" i="4" s="1"/>
  <c r="H106" i="4"/>
  <c r="I106" i="4" s="1"/>
  <c r="D106" i="4" s="1"/>
  <c r="H107" i="4"/>
  <c r="I107" i="4" s="1"/>
  <c r="D107" i="4" s="1"/>
  <c r="H108" i="4"/>
  <c r="I108" i="4" s="1"/>
  <c r="D108" i="4" s="1"/>
  <c r="H109" i="4"/>
  <c r="I109" i="4" s="1"/>
  <c r="D109" i="4" s="1"/>
  <c r="H110" i="4"/>
  <c r="I110" i="4" s="1"/>
  <c r="D110" i="4" s="1"/>
  <c r="H111" i="4"/>
  <c r="I111" i="4"/>
  <c r="H112" i="4"/>
  <c r="I112" i="4" s="1"/>
  <c r="D112" i="4" s="1"/>
  <c r="H113" i="4"/>
  <c r="I113" i="4" s="1"/>
  <c r="D113" i="4" s="1"/>
  <c r="H114" i="4"/>
  <c r="I114" i="4" s="1"/>
  <c r="D114" i="4" s="1"/>
  <c r="H115" i="4"/>
  <c r="I115" i="4" s="1"/>
  <c r="D115" i="4" s="1"/>
  <c r="H116" i="4"/>
  <c r="I116" i="4" s="1"/>
  <c r="D116" i="4" s="1"/>
  <c r="H117" i="4"/>
  <c r="I117" i="4"/>
  <c r="D117" i="4" s="1"/>
  <c r="H118" i="4"/>
  <c r="I118" i="4" s="1"/>
  <c r="D118" i="4" s="1"/>
  <c r="H119" i="4"/>
  <c r="I119" i="4"/>
  <c r="D119" i="4" s="1"/>
  <c r="H120" i="4"/>
  <c r="I120" i="4" s="1"/>
  <c r="D120" i="4" s="1"/>
  <c r="H121" i="4"/>
  <c r="I121" i="4" s="1"/>
  <c r="D121" i="4" s="1"/>
  <c r="H122" i="4"/>
  <c r="I122" i="4" s="1"/>
  <c r="H123" i="4"/>
  <c r="I123" i="4" s="1"/>
  <c r="D123" i="4" s="1"/>
  <c r="H125" i="4"/>
  <c r="I125" i="4" s="1"/>
  <c r="D125" i="4" s="1"/>
  <c r="H127" i="4"/>
  <c r="I127" i="4"/>
  <c r="D127" i="4" s="1"/>
  <c r="H128" i="4"/>
  <c r="I128" i="4" s="1"/>
  <c r="D128" i="4" s="1"/>
  <c r="H129" i="4"/>
  <c r="I129" i="4" s="1"/>
  <c r="D129" i="4" s="1"/>
  <c r="H130" i="4"/>
  <c r="I130" i="4" s="1"/>
  <c r="D130" i="4" s="1"/>
  <c r="H131" i="4"/>
  <c r="I131" i="4" s="1"/>
  <c r="D131" i="4" s="1"/>
  <c r="H132" i="4"/>
  <c r="I132" i="4" s="1"/>
  <c r="D132" i="4" s="1"/>
  <c r="H133" i="4"/>
  <c r="I133" i="4" s="1"/>
  <c r="D133" i="4" s="1"/>
  <c r="H137" i="4"/>
  <c r="I137" i="4" s="1"/>
  <c r="D137" i="4" s="1"/>
  <c r="H138" i="4"/>
  <c r="I138" i="4" s="1"/>
  <c r="D138" i="4" s="1"/>
  <c r="H139" i="4"/>
  <c r="I139" i="4" s="1"/>
  <c r="D139" i="4" s="1"/>
  <c r="H140" i="4"/>
  <c r="I140" i="4" s="1"/>
  <c r="D140" i="4" s="1"/>
  <c r="H141" i="4"/>
  <c r="I141" i="4" s="1"/>
  <c r="D141" i="4" s="1"/>
  <c r="H142" i="4"/>
  <c r="I142" i="4" s="1"/>
  <c r="D142" i="4" s="1"/>
  <c r="H143" i="4"/>
  <c r="I143" i="4" s="1"/>
  <c r="D143" i="4" s="1"/>
  <c r="H144" i="4"/>
  <c r="I145" i="4" s="1"/>
  <c r="H145" i="4"/>
  <c r="I146" i="4" s="1"/>
  <c r="D145" i="4" s="1"/>
  <c r="H147" i="4"/>
  <c r="I147" i="4" s="1"/>
  <c r="D146" i="4" s="1"/>
  <c r="D149" i="4"/>
  <c r="D151" i="4"/>
  <c r="D153" i="4"/>
  <c r="D155" i="4"/>
  <c r="D157" i="4"/>
  <c r="D159" i="4"/>
  <c r="H161" i="4"/>
  <c r="I161" i="4" s="1"/>
  <c r="D161" i="4" s="1"/>
  <c r="H162" i="4"/>
  <c r="I162" i="4" s="1"/>
  <c r="D162" i="4" s="1"/>
  <c r="H163" i="4"/>
  <c r="I163" i="4" s="1"/>
  <c r="D163" i="4" s="1"/>
  <c r="H164" i="4"/>
  <c r="I164" i="4" s="1"/>
  <c r="D164" i="4" s="1"/>
  <c r="H165" i="4"/>
  <c r="I165" i="4" s="1"/>
  <c r="D165" i="4" s="1"/>
  <c r="H166" i="4"/>
  <c r="I166" i="4"/>
  <c r="D166" i="4" s="1"/>
  <c r="H167" i="4"/>
  <c r="I167" i="4" s="1"/>
  <c r="D167" i="4" s="1"/>
  <c r="H168" i="4"/>
  <c r="I168" i="4"/>
  <c r="D168" i="4" s="1"/>
  <c r="H169" i="4"/>
  <c r="I169" i="4" s="1"/>
  <c r="D169" i="4" s="1"/>
  <c r="H170" i="4"/>
  <c r="I170" i="4" s="1"/>
  <c r="D170" i="4" s="1"/>
  <c r="H171" i="4"/>
  <c r="I171" i="4" s="1"/>
  <c r="D171" i="4" s="1"/>
  <c r="H172" i="4"/>
  <c r="I172" i="4" s="1"/>
  <c r="D172" i="4" s="1"/>
  <c r="H173" i="4"/>
  <c r="I173" i="4" s="1"/>
  <c r="D173" i="4" s="1"/>
  <c r="H174" i="4"/>
  <c r="I174" i="4"/>
  <c r="D174" i="4" s="1"/>
  <c r="H175" i="4"/>
  <c r="I175" i="4" s="1"/>
  <c r="D175" i="4" s="1"/>
  <c r="H176" i="4"/>
  <c r="I176" i="4"/>
  <c r="D176" i="4" s="1"/>
  <c r="H177" i="4"/>
  <c r="I177" i="4" s="1"/>
  <c r="D177" i="4" s="1"/>
  <c r="H178" i="4"/>
  <c r="I178" i="4" s="1"/>
  <c r="D178" i="4" s="1"/>
  <c r="H179" i="4"/>
  <c r="I179" i="4" s="1"/>
  <c r="D179" i="4" s="1"/>
  <c r="H180" i="4"/>
  <c r="I180" i="4" s="1"/>
  <c r="D180" i="4" s="1"/>
  <c r="H181" i="4"/>
  <c r="I181" i="4" s="1"/>
  <c r="D181" i="4" s="1"/>
  <c r="H182" i="4"/>
  <c r="I182" i="4" s="1"/>
  <c r="D182" i="4" s="1"/>
  <c r="H183" i="4"/>
  <c r="I183" i="4" s="1"/>
  <c r="D183" i="4" s="1"/>
  <c r="H184" i="4"/>
  <c r="I184" i="4"/>
  <c r="D184" i="4" s="1"/>
  <c r="H185" i="4"/>
  <c r="I185" i="4" s="1"/>
  <c r="D185" i="4" s="1"/>
  <c r="H186" i="4"/>
  <c r="I186" i="4" s="1"/>
  <c r="D186" i="4" s="1"/>
  <c r="H187" i="4"/>
  <c r="I187" i="4" s="1"/>
  <c r="D187" i="4" s="1"/>
  <c r="H188" i="4"/>
  <c r="I188" i="4" s="1"/>
  <c r="D188" i="4" s="1"/>
  <c r="H189" i="4"/>
  <c r="I189" i="4" s="1"/>
  <c r="D189" i="4" s="1"/>
  <c r="H190" i="4"/>
  <c r="I190" i="4" s="1"/>
  <c r="D190" i="4" s="1"/>
  <c r="H191" i="4"/>
  <c r="I191" i="4" s="1"/>
  <c r="D191" i="4" s="1"/>
  <c r="H192" i="4"/>
  <c r="I192" i="4"/>
  <c r="D192" i="4" s="1"/>
  <c r="H193" i="4"/>
  <c r="I193" i="4" s="1"/>
  <c r="D193" i="4" s="1"/>
  <c r="H194" i="4"/>
  <c r="I194" i="4" s="1"/>
  <c r="D194" i="4" s="1"/>
  <c r="H195" i="4"/>
  <c r="I195" i="4" s="1"/>
  <c r="D195" i="4" s="1"/>
  <c r="H196" i="4"/>
  <c r="I196" i="4" s="1"/>
  <c r="D196" i="4" s="1"/>
  <c r="H197" i="4"/>
  <c r="I197" i="4" s="1"/>
  <c r="D197" i="4" s="1"/>
  <c r="H198" i="4"/>
  <c r="I198" i="4" s="1"/>
  <c r="D198" i="4" s="1"/>
  <c r="H199" i="4"/>
  <c r="I199" i="4" s="1"/>
  <c r="D199" i="4" s="1"/>
  <c r="H200" i="4"/>
  <c r="I200" i="4"/>
  <c r="D200" i="4" s="1"/>
  <c r="H201" i="4"/>
  <c r="I201" i="4" s="1"/>
  <c r="D201" i="4" s="1"/>
  <c r="H202" i="4"/>
  <c r="I202" i="4" s="1"/>
  <c r="D202" i="4" s="1"/>
  <c r="H203" i="4"/>
  <c r="I203" i="4" s="1"/>
  <c r="D203" i="4" s="1"/>
  <c r="H204" i="4"/>
  <c r="I204" i="4" s="1"/>
  <c r="D204" i="4" s="1"/>
  <c r="H205" i="4"/>
  <c r="I205" i="4" s="1"/>
  <c r="D205" i="4" s="1"/>
  <c r="H206" i="4"/>
  <c r="I206" i="4" s="1"/>
  <c r="D206" i="4" s="1"/>
  <c r="H207" i="4"/>
  <c r="I207" i="4" s="1"/>
  <c r="D207" i="4" s="1"/>
  <c r="H208" i="4"/>
  <c r="I208" i="4"/>
  <c r="D208" i="4" s="1"/>
  <c r="H209" i="4"/>
  <c r="I209" i="4" s="1"/>
  <c r="D209" i="4" s="1"/>
  <c r="H210" i="4"/>
  <c r="I210" i="4" s="1"/>
  <c r="D210" i="4" s="1"/>
  <c r="H211" i="4"/>
  <c r="I211" i="4" s="1"/>
  <c r="D211" i="4" s="1"/>
  <c r="H212" i="4"/>
  <c r="I212" i="4" s="1"/>
  <c r="D212" i="4" s="1"/>
  <c r="H213" i="4"/>
  <c r="I213" i="4" s="1"/>
  <c r="D213" i="4" s="1"/>
  <c r="H214" i="4"/>
  <c r="I214" i="4" s="1"/>
  <c r="D214" i="4" s="1"/>
  <c r="H215" i="4"/>
  <c r="I215" i="4" s="1"/>
  <c r="D215" i="4" s="1"/>
  <c r="H216" i="4"/>
  <c r="I216" i="4"/>
  <c r="D216" i="4" s="1"/>
  <c r="H217" i="4"/>
  <c r="I217" i="4" s="1"/>
  <c r="D217" i="4" s="1"/>
  <c r="H218" i="4"/>
  <c r="I218" i="4" s="1"/>
  <c r="D218" i="4" s="1"/>
  <c r="H219" i="4"/>
  <c r="I219" i="4" s="1"/>
  <c r="D219" i="4" s="1"/>
  <c r="H220" i="4"/>
  <c r="I220" i="4" s="1"/>
  <c r="D220" i="4" s="1"/>
  <c r="H221" i="4"/>
  <c r="I221" i="4" s="1"/>
  <c r="D221" i="4" s="1"/>
  <c r="H222" i="4"/>
  <c r="I222" i="4" s="1"/>
  <c r="D222" i="4" s="1"/>
  <c r="H223" i="4"/>
  <c r="I223" i="4" s="1"/>
  <c r="D223" i="4" s="1"/>
  <c r="H224" i="4"/>
  <c r="I224" i="4"/>
  <c r="D224" i="4" s="1"/>
  <c r="H225" i="4"/>
  <c r="I225" i="4" s="1"/>
  <c r="D225" i="4" s="1"/>
  <c r="H226" i="4"/>
  <c r="I226" i="4" s="1"/>
  <c r="D226" i="4" s="1"/>
  <c r="H227" i="4"/>
  <c r="I227" i="4" s="1"/>
  <c r="D227" i="4" s="1"/>
  <c r="H228" i="4"/>
  <c r="I228" i="4" s="1"/>
  <c r="D228" i="4" s="1"/>
  <c r="H229" i="4"/>
  <c r="I229" i="4" s="1"/>
  <c r="D229" i="4" s="1"/>
  <c r="H230" i="4"/>
  <c r="I230" i="4" s="1"/>
  <c r="D230" i="4" s="1"/>
  <c r="H231" i="4"/>
  <c r="I231" i="4" s="1"/>
  <c r="D231" i="4" s="1"/>
  <c r="H232" i="4"/>
  <c r="I232" i="4"/>
  <c r="D232" i="4" s="1"/>
  <c r="H233" i="4"/>
  <c r="I233" i="4" s="1"/>
  <c r="D233" i="4" s="1"/>
  <c r="H234" i="4"/>
  <c r="I234" i="4"/>
  <c r="D234" i="4" s="1"/>
  <c r="H235" i="4"/>
  <c r="I235" i="4" s="1"/>
  <c r="D235" i="4" s="1"/>
  <c r="H236" i="4"/>
  <c r="I236" i="4" s="1"/>
  <c r="D236" i="4" s="1"/>
  <c r="H237" i="4"/>
  <c r="I237" i="4" s="1"/>
  <c r="D237" i="4" s="1"/>
  <c r="H238" i="4"/>
  <c r="I238" i="4" s="1"/>
  <c r="D238" i="4" s="1"/>
  <c r="H239" i="4"/>
  <c r="I239" i="4" s="1"/>
  <c r="D239" i="4" s="1"/>
  <c r="H240" i="4"/>
  <c r="I240" i="4"/>
  <c r="D240" i="4" s="1"/>
  <c r="H241" i="4"/>
  <c r="I241" i="4" s="1"/>
  <c r="D241" i="4" s="1"/>
  <c r="H242" i="4"/>
  <c r="I242" i="4"/>
  <c r="D242" i="4" s="1"/>
  <c r="H243" i="4"/>
  <c r="I243" i="4" s="1"/>
  <c r="D243" i="4" s="1"/>
  <c r="H244" i="4"/>
  <c r="I244" i="4" s="1"/>
  <c r="D244" i="4" s="1"/>
  <c r="H245" i="4"/>
  <c r="I245" i="4" s="1"/>
  <c r="D245" i="4" s="1"/>
  <c r="H246" i="4"/>
  <c r="I246" i="4" s="1"/>
  <c r="D246" i="4" s="1"/>
  <c r="H247" i="4"/>
  <c r="I247" i="4" s="1"/>
  <c r="D247" i="4" s="1"/>
  <c r="H248" i="4"/>
  <c r="I248" i="4"/>
  <c r="D248" i="4" s="1"/>
  <c r="H249" i="4"/>
  <c r="I249" i="4" s="1"/>
  <c r="D249" i="4" s="1"/>
  <c r="H250" i="4"/>
  <c r="I250" i="4"/>
  <c r="D250" i="4" s="1"/>
  <c r="H251" i="4"/>
  <c r="I251" i="4" s="1"/>
  <c r="D251" i="4" s="1"/>
  <c r="H252" i="4"/>
  <c r="I252" i="4" s="1"/>
  <c r="D252" i="4" s="1"/>
  <c r="H253" i="4"/>
  <c r="I253" i="4" s="1"/>
  <c r="D253" i="4" s="1"/>
  <c r="H254" i="4"/>
  <c r="I254" i="4" s="1"/>
  <c r="D254" i="4" s="1"/>
  <c r="H255" i="4"/>
  <c r="I255" i="4" s="1"/>
  <c r="D255" i="4" s="1"/>
  <c r="H256" i="4"/>
  <c r="I256" i="4"/>
  <c r="D256" i="4" s="1"/>
  <c r="H257" i="4"/>
  <c r="I257" i="4" s="1"/>
  <c r="D257" i="4" s="1"/>
  <c r="H258" i="4"/>
  <c r="I258" i="4"/>
  <c r="D258" i="4" s="1"/>
  <c r="H259" i="4"/>
  <c r="I259" i="4" s="1"/>
  <c r="D259" i="4" s="1"/>
  <c r="H260" i="4"/>
  <c r="I260" i="4" s="1"/>
  <c r="D260" i="4" s="1"/>
  <c r="H261" i="4"/>
  <c r="I261" i="4" s="1"/>
  <c r="D261" i="4" s="1"/>
  <c r="H262" i="4"/>
  <c r="I262" i="4" s="1"/>
  <c r="D262" i="4" s="1"/>
  <c r="H263" i="4"/>
  <c r="I263" i="4" s="1"/>
  <c r="D263" i="4" s="1"/>
  <c r="H264" i="4"/>
  <c r="I264" i="4"/>
  <c r="D264" i="4" s="1"/>
  <c r="H265" i="4"/>
  <c r="I265" i="4" s="1"/>
  <c r="D265" i="4" s="1"/>
  <c r="H266" i="4"/>
  <c r="I266" i="4"/>
  <c r="D266" i="4" s="1"/>
  <c r="H267" i="4"/>
  <c r="I267" i="4" s="1"/>
  <c r="D267" i="4" s="1"/>
  <c r="H268" i="4"/>
  <c r="I268" i="4" s="1"/>
  <c r="D268" i="4" s="1"/>
  <c r="H269" i="4"/>
  <c r="I269" i="4" s="1"/>
  <c r="D269" i="4" s="1"/>
  <c r="H270" i="4"/>
  <c r="I270" i="4" s="1"/>
  <c r="D270" i="4" s="1"/>
  <c r="H271" i="4"/>
  <c r="I271" i="4" s="1"/>
  <c r="D271" i="4" s="1"/>
  <c r="H272" i="4"/>
  <c r="I272" i="4"/>
  <c r="D272" i="4" s="1"/>
  <c r="H273" i="4"/>
  <c r="I273" i="4" s="1"/>
  <c r="D273" i="4" s="1"/>
  <c r="H274" i="4"/>
  <c r="I274" i="4"/>
  <c r="D274" i="4" s="1"/>
  <c r="H275" i="4"/>
  <c r="I275" i="4" s="1"/>
  <c r="D275" i="4" s="1"/>
  <c r="H276" i="4"/>
  <c r="I276" i="4" s="1"/>
  <c r="D276" i="4" s="1"/>
  <c r="H277" i="4"/>
  <c r="I277" i="4" s="1"/>
  <c r="D277" i="4" s="1"/>
  <c r="H278" i="4"/>
  <c r="I278" i="4" s="1"/>
  <c r="D278" i="4" s="1"/>
  <c r="H279" i="4"/>
  <c r="I279" i="4" s="1"/>
  <c r="D279" i="4" s="1"/>
  <c r="H280" i="4"/>
  <c r="I280" i="4"/>
  <c r="D280" i="4" s="1"/>
  <c r="H281" i="4"/>
  <c r="I281" i="4" s="1"/>
  <c r="D281" i="4" s="1"/>
  <c r="H282" i="4"/>
  <c r="I282" i="4"/>
  <c r="D282" i="4" s="1"/>
  <c r="H283" i="4"/>
  <c r="I283" i="4" s="1"/>
  <c r="D283" i="4" s="1"/>
  <c r="H284" i="4"/>
  <c r="I284" i="4" s="1"/>
  <c r="D284" i="4" s="1"/>
  <c r="H285" i="4"/>
  <c r="I285" i="4" s="1"/>
  <c r="D285" i="4" s="1"/>
  <c r="H286" i="4"/>
  <c r="I286" i="4" s="1"/>
  <c r="D286" i="4" s="1"/>
  <c r="H287" i="4"/>
  <c r="I287" i="4"/>
  <c r="D287" i="4" s="1"/>
  <c r="H288" i="4"/>
  <c r="I288" i="4" s="1"/>
  <c r="D288" i="4" s="1"/>
  <c r="H289" i="4"/>
  <c r="I289" i="4"/>
  <c r="D289" i="4" s="1"/>
  <c r="H290" i="4"/>
  <c r="I290" i="4" s="1"/>
  <c r="D290" i="4" s="1"/>
  <c r="H291" i="4"/>
  <c r="I291" i="4"/>
  <c r="D291" i="4" s="1"/>
  <c r="H292" i="4"/>
  <c r="I292" i="4" s="1"/>
  <c r="D292" i="4" s="1"/>
  <c r="H293" i="4"/>
  <c r="I293" i="4"/>
  <c r="D293" i="4" s="1"/>
  <c r="H294" i="4"/>
  <c r="I294" i="4" s="1"/>
  <c r="D294" i="4" s="1"/>
  <c r="H295" i="4"/>
  <c r="I295" i="4"/>
  <c r="D295" i="4" s="1"/>
  <c r="H296" i="4"/>
  <c r="I296" i="4" s="1"/>
  <c r="D296" i="4" s="1"/>
  <c r="H297" i="4"/>
  <c r="I297" i="4"/>
  <c r="D297" i="4" s="1"/>
  <c r="H298" i="4"/>
  <c r="I298" i="4" s="1"/>
  <c r="D298" i="4" s="1"/>
  <c r="H299" i="4"/>
  <c r="I299" i="4"/>
  <c r="D299" i="4" s="1"/>
  <c r="H300" i="4"/>
  <c r="I300" i="4" s="1"/>
  <c r="D300" i="4" s="1"/>
  <c r="H301" i="4"/>
  <c r="I301" i="4"/>
  <c r="D301" i="4" s="1"/>
  <c r="H302" i="4"/>
  <c r="I302" i="4" s="1"/>
  <c r="D302" i="4" s="1"/>
  <c r="H303" i="4"/>
  <c r="I303" i="4"/>
  <c r="D303" i="4" s="1"/>
  <c r="H304" i="4"/>
  <c r="I304" i="4" s="1"/>
  <c r="D304" i="4" s="1"/>
  <c r="H305" i="4"/>
  <c r="I305" i="4"/>
  <c r="D305" i="4" s="1"/>
  <c r="H306" i="4"/>
  <c r="I306" i="4" s="1"/>
  <c r="D306" i="4" s="1"/>
  <c r="H307" i="4"/>
  <c r="I307" i="4"/>
  <c r="D307" i="4" s="1"/>
  <c r="H308" i="4"/>
  <c r="I308" i="4" s="1"/>
  <c r="D308" i="4" s="1"/>
  <c r="H309" i="4"/>
  <c r="I309" i="4"/>
  <c r="D309" i="4" s="1"/>
  <c r="H310" i="4"/>
  <c r="I310" i="4" s="1"/>
  <c r="D310" i="4" s="1"/>
  <c r="H311" i="4"/>
  <c r="I311" i="4"/>
  <c r="D311" i="4" s="1"/>
  <c r="H312" i="4"/>
  <c r="I312" i="4" s="1"/>
  <c r="D312" i="4" s="1"/>
  <c r="H313" i="4"/>
  <c r="I313" i="4"/>
  <c r="D313" i="4" s="1"/>
  <c r="H314" i="4"/>
  <c r="I314" i="4" s="1"/>
  <c r="D314" i="4" s="1"/>
  <c r="H315" i="4"/>
  <c r="I315" i="4"/>
  <c r="D315" i="4" s="1"/>
  <c r="H316" i="4"/>
  <c r="I316" i="4" s="1"/>
  <c r="D316" i="4" s="1"/>
  <c r="H317" i="4"/>
  <c r="I317" i="4"/>
  <c r="D317" i="4" s="1"/>
  <c r="H318" i="4"/>
  <c r="I318" i="4" s="1"/>
  <c r="D318" i="4" s="1"/>
  <c r="H319" i="4"/>
  <c r="I319" i="4"/>
  <c r="D319" i="4" s="1"/>
  <c r="H320" i="4"/>
  <c r="I320" i="4" s="1"/>
  <c r="D320" i="4" s="1"/>
  <c r="H321" i="4"/>
  <c r="I321" i="4"/>
  <c r="D321" i="4" s="1"/>
  <c r="H322" i="4"/>
  <c r="I322" i="4" s="1"/>
  <c r="D322" i="4" s="1"/>
  <c r="H323" i="4"/>
  <c r="I323" i="4"/>
  <c r="D323" i="4" s="1"/>
  <c r="H324" i="4"/>
  <c r="I324" i="4" s="1"/>
  <c r="D324" i="4" s="1"/>
  <c r="H325" i="4"/>
  <c r="I325" i="4"/>
  <c r="D325" i="4" s="1"/>
  <c r="H326" i="4"/>
  <c r="I326" i="4" s="1"/>
  <c r="D326" i="4" s="1"/>
  <c r="H327" i="4"/>
  <c r="I327" i="4"/>
  <c r="D327" i="4" s="1"/>
  <c r="H328" i="4"/>
  <c r="I328" i="4" s="1"/>
  <c r="D328" i="4" s="1"/>
  <c r="H329" i="4"/>
  <c r="I329" i="4"/>
  <c r="D329" i="4" s="1"/>
  <c r="H330" i="4"/>
  <c r="I330" i="4" s="1"/>
  <c r="D330" i="4" s="1"/>
  <c r="H331" i="4"/>
  <c r="I331" i="4"/>
  <c r="D331" i="4" s="1"/>
  <c r="H332" i="4"/>
  <c r="I332" i="4" s="1"/>
  <c r="D332" i="4" s="1"/>
  <c r="H333" i="4"/>
  <c r="I333" i="4"/>
  <c r="D333" i="4" s="1"/>
  <c r="H334" i="4"/>
  <c r="I334" i="4" s="1"/>
  <c r="D334" i="4" s="1"/>
  <c r="H335" i="4"/>
  <c r="I335" i="4"/>
  <c r="D335" i="4" s="1"/>
  <c r="H336" i="4"/>
  <c r="I336" i="4" s="1"/>
  <c r="D336" i="4" s="1"/>
  <c r="H337" i="4"/>
  <c r="I337" i="4"/>
  <c r="D337" i="4" s="1"/>
  <c r="H338" i="4"/>
  <c r="I338" i="4" s="1"/>
  <c r="D338" i="4" s="1"/>
  <c r="H339" i="4"/>
  <c r="I339" i="4"/>
  <c r="D339" i="4" s="1"/>
  <c r="H340" i="4"/>
  <c r="I340" i="4" s="1"/>
  <c r="D340" i="4" s="1"/>
  <c r="H341" i="4"/>
  <c r="I341" i="4"/>
  <c r="D341" i="4" s="1"/>
  <c r="H342" i="4"/>
  <c r="I342" i="4" s="1"/>
  <c r="D342" i="4" s="1"/>
  <c r="H343" i="4"/>
  <c r="I343" i="4"/>
  <c r="D343" i="4" s="1"/>
  <c r="H344" i="4"/>
  <c r="I344" i="4" s="1"/>
  <c r="D344" i="4" s="1"/>
  <c r="H345" i="4"/>
  <c r="I345" i="4"/>
  <c r="D345" i="4" s="1"/>
  <c r="H346" i="4"/>
  <c r="I346" i="4" s="1"/>
  <c r="D346" i="4" s="1"/>
  <c r="H347" i="4"/>
  <c r="I347" i="4"/>
  <c r="D347" i="4" s="1"/>
  <c r="H348" i="4"/>
  <c r="I348" i="4" s="1"/>
  <c r="D348" i="4" s="1"/>
  <c r="H349" i="4"/>
  <c r="I349" i="4"/>
  <c r="D349" i="4" s="1"/>
  <c r="H350" i="4"/>
  <c r="I350" i="4" s="1"/>
  <c r="D350" i="4" s="1"/>
  <c r="H351" i="4"/>
  <c r="I351" i="4"/>
  <c r="D351" i="4" s="1"/>
  <c r="H352" i="4"/>
  <c r="I352" i="4" s="1"/>
  <c r="D352" i="4" s="1"/>
  <c r="H353" i="4"/>
  <c r="I353" i="4"/>
  <c r="D353" i="4" s="1"/>
  <c r="H354" i="4"/>
  <c r="I354" i="4" s="1"/>
  <c r="D354" i="4" s="1"/>
  <c r="H355" i="4"/>
  <c r="I355" i="4"/>
  <c r="D355" i="4" s="1"/>
  <c r="H356" i="4"/>
  <c r="I356" i="4" s="1"/>
  <c r="D356" i="4" s="1"/>
  <c r="H357" i="4"/>
  <c r="I357" i="4"/>
  <c r="D357" i="4" s="1"/>
  <c r="H358" i="4"/>
  <c r="I358" i="4" s="1"/>
  <c r="D358" i="4" s="1"/>
  <c r="H359" i="4"/>
  <c r="I359" i="4"/>
  <c r="D359" i="4" s="1"/>
  <c r="H360" i="4"/>
  <c r="I360" i="4" s="1"/>
  <c r="D360" i="4" s="1"/>
  <c r="H361" i="4"/>
  <c r="I361" i="4"/>
  <c r="D361" i="4" s="1"/>
  <c r="H362" i="4"/>
  <c r="I362" i="4" s="1"/>
  <c r="D362" i="4" s="1"/>
  <c r="H363" i="4"/>
  <c r="I363" i="4"/>
  <c r="D363" i="4" s="1"/>
  <c r="H364" i="4"/>
  <c r="I364" i="4" s="1"/>
  <c r="D364" i="4" s="1"/>
  <c r="H365" i="4"/>
  <c r="I365" i="4"/>
  <c r="D365" i="4" s="1"/>
  <c r="H366" i="4"/>
  <c r="I366" i="4" s="1"/>
  <c r="D366" i="4" s="1"/>
  <c r="H367" i="4"/>
  <c r="I367" i="4"/>
  <c r="D367" i="4" s="1"/>
  <c r="H368" i="4"/>
  <c r="I368" i="4"/>
  <c r="D368" i="4" s="1"/>
  <c r="H369" i="4"/>
  <c r="I369" i="4"/>
  <c r="D369" i="4" s="1"/>
  <c r="H370" i="4"/>
  <c r="I370" i="4"/>
  <c r="D370" i="4" s="1"/>
  <c r="H371" i="4"/>
  <c r="I371" i="4"/>
  <c r="D371" i="4" s="1"/>
  <c r="H372" i="4"/>
  <c r="I372" i="4"/>
  <c r="D372" i="4" s="1"/>
  <c r="H373" i="4"/>
  <c r="I373" i="4"/>
  <c r="D373" i="4" s="1"/>
  <c r="H374" i="4"/>
  <c r="I374" i="4"/>
  <c r="D374" i="4" s="1"/>
  <c r="H375" i="4"/>
  <c r="I375" i="4"/>
  <c r="D375" i="4" s="1"/>
  <c r="H376" i="4"/>
  <c r="I376" i="4"/>
  <c r="D376" i="4" s="1"/>
  <c r="H377" i="4"/>
  <c r="I377" i="4"/>
  <c r="D377" i="4" s="1"/>
  <c r="H378" i="4"/>
  <c r="I378" i="4"/>
  <c r="D378" i="4" s="1"/>
  <c r="H379" i="4"/>
  <c r="I379" i="4"/>
  <c r="D379" i="4" s="1"/>
  <c r="H380" i="4"/>
  <c r="I380" i="4"/>
  <c r="D380" i="4" s="1"/>
  <c r="H381" i="4"/>
  <c r="I381" i="4"/>
  <c r="D381" i="4" s="1"/>
  <c r="H382" i="4"/>
  <c r="I382" i="4"/>
  <c r="D382" i="4" s="1"/>
  <c r="H383" i="4"/>
  <c r="I383" i="4"/>
  <c r="D383" i="4" s="1"/>
  <c r="H384" i="4"/>
  <c r="I384" i="4"/>
  <c r="D384" i="4" s="1"/>
  <c r="H385" i="4"/>
  <c r="I385" i="4"/>
  <c r="D385" i="4" s="1"/>
  <c r="H386" i="4"/>
  <c r="I386" i="4"/>
  <c r="D386" i="4" s="1"/>
  <c r="H387" i="4"/>
  <c r="I387" i="4"/>
  <c r="D387" i="4" s="1"/>
  <c r="H388" i="4"/>
  <c r="I388" i="4"/>
  <c r="D388" i="4" s="1"/>
  <c r="H389" i="4"/>
  <c r="I389" i="4"/>
  <c r="D389" i="4" s="1"/>
  <c r="H390" i="4"/>
  <c r="I390" i="4"/>
  <c r="D390" i="4" s="1"/>
  <c r="H391" i="4"/>
  <c r="I391" i="4"/>
  <c r="D391" i="4" s="1"/>
  <c r="H392" i="4"/>
  <c r="I392" i="4"/>
  <c r="D392" i="4" s="1"/>
  <c r="H393" i="4"/>
  <c r="I393" i="4"/>
  <c r="D393" i="4" s="1"/>
  <c r="H394" i="4"/>
  <c r="I394" i="4"/>
  <c r="D394" i="4" s="1"/>
  <c r="H395" i="4"/>
  <c r="I395" i="4"/>
  <c r="D395" i="4" s="1"/>
  <c r="H396" i="4"/>
  <c r="I396" i="4"/>
  <c r="D396" i="4" s="1"/>
  <c r="H397" i="4"/>
  <c r="I397" i="4"/>
  <c r="D397" i="4" s="1"/>
  <c r="H398" i="4"/>
  <c r="I398" i="4"/>
  <c r="D398" i="4" s="1"/>
  <c r="H399" i="4"/>
  <c r="I399" i="4"/>
  <c r="D399" i="4" s="1"/>
  <c r="H400" i="4"/>
  <c r="I400" i="4"/>
  <c r="D400" i="4" s="1"/>
  <c r="H401" i="4"/>
  <c r="I401" i="4"/>
  <c r="D401" i="4" s="1"/>
  <c r="H402" i="4"/>
  <c r="I402" i="4"/>
  <c r="D402" i="4" s="1"/>
  <c r="H403" i="4"/>
  <c r="I403" i="4"/>
  <c r="D403" i="4" s="1"/>
  <c r="H404" i="4"/>
  <c r="I404" i="4"/>
  <c r="D404" i="4" s="1"/>
  <c r="H405" i="4"/>
  <c r="I405" i="4"/>
  <c r="D405" i="4" s="1"/>
  <c r="H406" i="4"/>
  <c r="I406" i="4"/>
  <c r="D406" i="4" s="1"/>
  <c r="H407" i="4"/>
  <c r="I407" i="4"/>
  <c r="D407" i="4" s="1"/>
  <c r="H408" i="4"/>
  <c r="I408" i="4"/>
  <c r="D408" i="4" s="1"/>
  <c r="H409" i="4"/>
  <c r="I409" i="4"/>
  <c r="D409" i="4" s="1"/>
  <c r="H410" i="4"/>
  <c r="I410" i="4"/>
  <c r="D410" i="4" s="1"/>
  <c r="H411" i="4"/>
  <c r="I411" i="4"/>
  <c r="D411" i="4" s="1"/>
  <c r="H412" i="4"/>
  <c r="I412" i="4"/>
  <c r="D412" i="4" s="1"/>
  <c r="H413" i="4"/>
  <c r="I413" i="4"/>
  <c r="D413" i="4" s="1"/>
  <c r="E414" i="4"/>
  <c r="J13" i="7" s="1"/>
  <c r="J15" i="7" s="1"/>
  <c r="H16" i="7" s="1"/>
  <c r="D69" i="4"/>
  <c r="D111" i="4"/>
  <c r="D122" i="4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I15" i="7"/>
  <c r="D22" i="2"/>
  <c r="E22" i="2"/>
  <c r="D23" i="2"/>
  <c r="E23" i="2"/>
  <c r="D24" i="2"/>
  <c r="E24" i="2"/>
  <c r="D25" i="2"/>
  <c r="E25" i="2"/>
  <c r="F25" i="2"/>
  <c r="E15" i="7"/>
  <c r="C15" i="7"/>
  <c r="D15" i="7"/>
  <c r="F15" i="7"/>
  <c r="H15" i="7"/>
  <c r="B15" i="7"/>
  <c r="J14" i="7"/>
  <c r="G29" i="6"/>
  <c r="G14" i="7"/>
  <c r="K14" i="7"/>
  <c r="I144" i="4" l="1"/>
  <c r="D144" i="4" s="1"/>
  <c r="H414" i="4"/>
  <c r="B7" i="7" s="1"/>
  <c r="D147" i="4"/>
  <c r="D414" i="4"/>
  <c r="G13" i="7" s="1"/>
  <c r="I414" i="4"/>
  <c r="K13" i="7" l="1"/>
  <c r="K15" i="7" s="1"/>
  <c r="G15" i="7"/>
  <c r="B16" i="7" s="1"/>
</calcChain>
</file>

<file path=xl/sharedStrings.xml><?xml version="1.0" encoding="utf-8"?>
<sst xmlns="http://schemas.openxmlformats.org/spreadsheetml/2006/main" count="1409" uniqueCount="570">
  <si>
    <t>序号</t>
    <phoneticPr fontId="2" type="noConversion"/>
  </si>
  <si>
    <t>数据文件名称</t>
    <phoneticPr fontId="2" type="noConversion"/>
  </si>
  <si>
    <t>类型</t>
    <phoneticPr fontId="2" type="noConversion"/>
  </si>
  <si>
    <t>事务名称</t>
    <phoneticPr fontId="2" type="noConversion"/>
  </si>
  <si>
    <t xml:space="preserve">事务类型 </t>
    <phoneticPr fontId="2" type="noConversion"/>
  </si>
  <si>
    <t>升级类型</t>
    <phoneticPr fontId="2" type="noConversion"/>
  </si>
  <si>
    <t>数据功能</t>
    <phoneticPr fontId="2" type="noConversion"/>
  </si>
  <si>
    <t>事务功能</t>
    <phoneticPr fontId="2" type="noConversion"/>
  </si>
  <si>
    <t>业务需求项</t>
    <phoneticPr fontId="2" type="noConversion"/>
  </si>
  <si>
    <t>业务需求</t>
    <phoneticPr fontId="2" type="noConversion"/>
  </si>
  <si>
    <t>非功能点法工作量测算情况</t>
    <phoneticPr fontId="2" type="noConversion"/>
  </si>
  <si>
    <t>工作任务名称</t>
    <phoneticPr fontId="2" type="noConversion"/>
  </si>
  <si>
    <t>技术人员工作量（人月）</t>
    <phoneticPr fontId="2" type="noConversion"/>
  </si>
  <si>
    <t>业务人员工作量（人月）</t>
    <phoneticPr fontId="2" type="noConversion"/>
  </si>
  <si>
    <t>合计</t>
    <phoneticPr fontId="5" type="noConversion"/>
  </si>
  <si>
    <t>技术人员工作量（人月）</t>
    <phoneticPr fontId="2" type="noConversion"/>
  </si>
  <si>
    <t>业务人员工作量（人月）</t>
    <phoneticPr fontId="2" type="noConversion"/>
  </si>
  <si>
    <t>总行</t>
    <phoneticPr fontId="2" type="noConversion"/>
  </si>
  <si>
    <t>分行借调</t>
    <phoneticPr fontId="2" type="noConversion"/>
  </si>
  <si>
    <t>中心</t>
    <phoneticPr fontId="2" type="noConversion"/>
  </si>
  <si>
    <t>高级人员</t>
    <phoneticPr fontId="2" type="noConversion"/>
  </si>
  <si>
    <t>行内</t>
    <phoneticPr fontId="2" type="noConversion"/>
  </si>
  <si>
    <t>外包</t>
    <phoneticPr fontId="2" type="noConversion"/>
  </si>
  <si>
    <t>合计</t>
    <phoneticPr fontId="2" type="noConversion"/>
  </si>
  <si>
    <t>合计</t>
    <phoneticPr fontId="2" type="noConversion"/>
  </si>
  <si>
    <t>主要工作内容
（即工作任务分解）</t>
    <phoneticPr fontId="2" type="noConversion"/>
  </si>
  <si>
    <t>工作量测算过程简述</t>
    <phoneticPr fontId="2" type="noConversion"/>
  </si>
  <si>
    <t>序号</t>
    <phoneticPr fontId="2" type="noConversion"/>
  </si>
  <si>
    <t>升级类型</t>
    <phoneticPr fontId="2" type="noConversion"/>
  </si>
  <si>
    <t>中级人员</t>
    <phoneticPr fontId="2" type="noConversion"/>
  </si>
  <si>
    <t>开发类型</t>
    <phoneticPr fontId="2" type="noConversion"/>
  </si>
  <si>
    <t>项目名称</t>
    <phoneticPr fontId="2" type="noConversion"/>
  </si>
  <si>
    <t>实施部门</t>
    <phoneticPr fontId="2" type="noConversion"/>
  </si>
  <si>
    <t>项目基本信息</t>
    <phoneticPr fontId="2" type="noConversion"/>
  </si>
  <si>
    <t>一般人员</t>
    <phoneticPr fontId="2" type="noConversion"/>
  </si>
  <si>
    <t>小计</t>
    <phoneticPr fontId="2" type="noConversion"/>
  </si>
  <si>
    <t>[本表白色框需填写]</t>
    <phoneticPr fontId="2" type="noConversion"/>
  </si>
  <si>
    <t>功能点估算法</t>
    <phoneticPr fontId="2" type="noConversion"/>
  </si>
  <si>
    <t>非功能点估算法</t>
    <phoneticPr fontId="2" type="noConversion"/>
  </si>
  <si>
    <t>工作量估算方法分类</t>
    <phoneticPr fontId="2" type="noConversion"/>
  </si>
  <si>
    <t>功能点数</t>
    <phoneticPr fontId="2" type="noConversion"/>
  </si>
  <si>
    <t>小计</t>
    <phoneticPr fontId="2" type="noConversion"/>
  </si>
  <si>
    <t>合计</t>
    <phoneticPr fontId="2" type="noConversion"/>
  </si>
  <si>
    <t>序号</t>
    <phoneticPr fontId="2" type="noConversion"/>
  </si>
  <si>
    <t>新增</t>
  </si>
  <si>
    <t>实现该业务需求项需要的业务人员的工作量。</t>
    <phoneticPr fontId="2" type="noConversion"/>
  </si>
  <si>
    <t>标识该功能的修改类型：
新增
修改
删除</t>
    <phoneticPr fontId="2" type="noConversion"/>
  </si>
  <si>
    <t>ILF：是在被度量应用边界内部维护的，用户可识别的、逻辑相关的数据组或控制信息组。
EIF：是用户可识别的、逻辑相关的数据组或者控制信息组，其由被度量应用所引用，但是另一应用边界内维护。</t>
    <phoneticPr fontId="2" type="noConversion"/>
  </si>
  <si>
    <t>根据实际需要，参照技术人员工作量，合理配比每个功能点所需的业务人员。</t>
    <phoneticPr fontId="2" type="noConversion"/>
  </si>
  <si>
    <t>识别事务功能的类型：
EI（外部输入）
EQ（外部查询）
EO（外部输出）</t>
    <phoneticPr fontId="2" type="noConversion"/>
  </si>
  <si>
    <t>功能点数</t>
    <phoneticPr fontId="2" type="noConversion"/>
  </si>
  <si>
    <t>技术人员工作量（人月</t>
    <phoneticPr fontId="2" type="noConversion"/>
  </si>
  <si>
    <t>自动得出，不需要填写。</t>
    <phoneticPr fontId="2" type="noConversion"/>
  </si>
  <si>
    <t>实现该业务需求项需要的技术人员工作量，由该业务需求项包含的事务功能汇总得出。不需要手工填写。</t>
    <phoneticPr fontId="2" type="noConversion"/>
  </si>
  <si>
    <t>自动得出，不需要手工填写。</t>
    <phoneticPr fontId="2" type="noConversion"/>
  </si>
  <si>
    <t>自动得出，不需要填写。</t>
    <phoneticPr fontId="2" type="noConversion"/>
  </si>
  <si>
    <t>基于业务需求的分解和细化，与业务需求是一对多的关系。如一个业务功能,可以来源于全生命周期IT管理平台中的业务需求项</t>
    <phoneticPr fontId="2" type="noConversion"/>
  </si>
  <si>
    <t>数据功能是系统提供给用户的满足产品内部和外部数据需求的功能。是指一组客户可识别的、逻辑上相互关联的数据或者控制信息。</t>
    <phoneticPr fontId="2" type="noConversion"/>
  </si>
  <si>
    <t>说明:</t>
    <phoneticPr fontId="2" type="noConversion"/>
  </si>
  <si>
    <t>1、本表主要以功能点估算法为主，使用“事务功能”和“数据功能”进行估算。对于无法识别功能点的实施任务，例如“基础设施类”、“推广类”等，使用非功能点估算表进行估算。</t>
    <phoneticPr fontId="2" type="noConversion"/>
  </si>
  <si>
    <t>2、表中包含公式，填写时请根据需要自动插入行，不要修改工作表格式。</t>
    <phoneticPr fontId="2" type="noConversion"/>
  </si>
  <si>
    <t>事务功能是用户可识别的，业务上的一组原子操作，可能由多个处理逻辑构成。例如，“添加柜员信息”这个基本过程可能包含“信息校验”、“修改确认”、“修改结果反馈”等一系列处理逻辑。</t>
    <phoneticPr fontId="2" type="noConversion"/>
  </si>
  <si>
    <t>交易类</t>
    <phoneticPr fontId="2" type="noConversion"/>
  </si>
  <si>
    <t>业务需求</t>
    <phoneticPr fontId="2" type="noConversion"/>
  </si>
  <si>
    <t xml:space="preserve">逻辑上相关的一组软件业务功能的集合。如业务功能模块,可以来源于全生命周期IT管理平台中的业务需求
</t>
    <phoneticPr fontId="2" type="noConversion"/>
  </si>
  <si>
    <t>与事务功能的业务需求保持一致。</t>
    <phoneticPr fontId="2" type="noConversion"/>
  </si>
  <si>
    <t>EI</t>
  </si>
  <si>
    <t>EO</t>
  </si>
  <si>
    <t>ILF</t>
  </si>
  <si>
    <t>EQ</t>
  </si>
  <si>
    <t>文档格式转换</t>
    <phoneticPr fontId="2" type="noConversion"/>
  </si>
  <si>
    <t>课程内容转换</t>
    <phoneticPr fontId="2" type="noConversion"/>
  </si>
  <si>
    <t>文档预处理</t>
    <phoneticPr fontId="2" type="noConversion"/>
  </si>
  <si>
    <t>网页内容转换</t>
    <phoneticPr fontId="2" type="noConversion"/>
  </si>
  <si>
    <t>其他内容转换</t>
    <phoneticPr fontId="2" type="noConversion"/>
  </si>
  <si>
    <t>讨论区内容转换</t>
    <phoneticPr fontId="2" type="noConversion"/>
  </si>
  <si>
    <t>文档内容审核</t>
    <phoneticPr fontId="2" type="noConversion"/>
  </si>
  <si>
    <t>文档内容校正</t>
    <phoneticPr fontId="2" type="noConversion"/>
  </si>
  <si>
    <t>字幕文件转换</t>
    <phoneticPr fontId="2" type="noConversion"/>
  </si>
  <si>
    <t>文档分析</t>
    <phoneticPr fontId="2" type="noConversion"/>
  </si>
  <si>
    <t>文档内容清洗</t>
    <phoneticPr fontId="2" type="noConversion"/>
  </si>
  <si>
    <t>文档内容标记</t>
    <phoneticPr fontId="2" type="noConversion"/>
  </si>
  <si>
    <t>关键词标记</t>
    <phoneticPr fontId="2" type="noConversion"/>
  </si>
  <si>
    <t>自动生成摘要</t>
    <phoneticPr fontId="2" type="noConversion"/>
  </si>
  <si>
    <t>手工校正</t>
    <phoneticPr fontId="2" type="noConversion"/>
  </si>
  <si>
    <t>人工审核</t>
    <phoneticPr fontId="2" type="noConversion"/>
  </si>
  <si>
    <t>敏感词检测接入</t>
    <phoneticPr fontId="2" type="noConversion"/>
  </si>
  <si>
    <t>中英文分词</t>
    <phoneticPr fontId="2" type="noConversion"/>
  </si>
  <si>
    <t>关键词词典准备</t>
    <phoneticPr fontId="2" type="noConversion"/>
  </si>
  <si>
    <t>分词黑白名单设置</t>
    <phoneticPr fontId="2" type="noConversion"/>
  </si>
  <si>
    <t>IDF词频统计</t>
    <phoneticPr fontId="2" type="noConversion"/>
  </si>
  <si>
    <t>Cluster聚类分析</t>
    <phoneticPr fontId="2" type="noConversion"/>
  </si>
  <si>
    <t>Classification分类统计</t>
    <phoneticPr fontId="2" type="noConversion"/>
  </si>
  <si>
    <t>TF词频统计</t>
    <phoneticPr fontId="2" type="noConversion"/>
  </si>
  <si>
    <t>文档预分类</t>
    <phoneticPr fontId="2" type="noConversion"/>
  </si>
  <si>
    <t>文档自动分类</t>
    <phoneticPr fontId="2" type="noConversion"/>
  </si>
  <si>
    <t>文档特征提取</t>
    <phoneticPr fontId="2" type="noConversion"/>
  </si>
  <si>
    <t>文档KNN分析</t>
    <phoneticPr fontId="2" type="noConversion"/>
  </si>
  <si>
    <t>文档相似度计算</t>
    <phoneticPr fontId="2" type="noConversion"/>
  </si>
  <si>
    <t>文档分类模型训练</t>
    <phoneticPr fontId="2" type="noConversion"/>
  </si>
  <si>
    <t>文档分类模型调参</t>
    <phoneticPr fontId="2" type="noConversion"/>
  </si>
  <si>
    <t>文档分类数据回测</t>
    <phoneticPr fontId="2" type="noConversion"/>
  </si>
  <si>
    <t>知识点提取训练</t>
    <phoneticPr fontId="2" type="noConversion"/>
  </si>
  <si>
    <t>知识点训练调参</t>
    <phoneticPr fontId="2" type="noConversion"/>
  </si>
  <si>
    <t>知识点训练结果回测</t>
    <phoneticPr fontId="2" type="noConversion"/>
  </si>
  <si>
    <t>知识点人工设定</t>
    <phoneticPr fontId="2" type="noConversion"/>
  </si>
  <si>
    <t>知识点相关性计算</t>
    <phoneticPr fontId="2" type="noConversion"/>
  </si>
  <si>
    <t>知识点相关性排序</t>
    <phoneticPr fontId="2" type="noConversion"/>
  </si>
  <si>
    <t>知识点关联性模糊查询</t>
    <phoneticPr fontId="2" type="noConversion"/>
  </si>
  <si>
    <t>文本分割</t>
    <phoneticPr fontId="2" type="noConversion"/>
  </si>
  <si>
    <t>文档单词规范化</t>
    <phoneticPr fontId="2" type="noConversion"/>
  </si>
  <si>
    <t>标点符号及单词的词干化</t>
    <phoneticPr fontId="2" type="noConversion"/>
  </si>
  <si>
    <t>去掉停用词</t>
    <phoneticPr fontId="2" type="noConversion"/>
  </si>
  <si>
    <t>去掉标点符号</t>
    <phoneticPr fontId="2" type="noConversion"/>
  </si>
  <si>
    <t>单词的同质化</t>
    <phoneticPr fontId="2" type="noConversion"/>
  </si>
  <si>
    <t>去掉低频词</t>
    <phoneticPr fontId="2" type="noConversion"/>
  </si>
  <si>
    <t>建立BOW词袋模型</t>
    <phoneticPr fontId="2" type="noConversion"/>
  </si>
  <si>
    <t>建立LSI模型</t>
    <phoneticPr fontId="2" type="noConversion"/>
  </si>
  <si>
    <t>知识点自动关联</t>
    <phoneticPr fontId="2" type="noConversion"/>
  </si>
  <si>
    <t>文档处理模块UI设计</t>
    <phoneticPr fontId="2" type="noConversion"/>
  </si>
  <si>
    <t>文档处理模块后台设计</t>
    <phoneticPr fontId="2" type="noConversion"/>
  </si>
  <si>
    <t>文档处理模块存储设计</t>
    <phoneticPr fontId="2" type="noConversion"/>
  </si>
  <si>
    <t>文档处理模块自动化设计</t>
    <phoneticPr fontId="2" type="noConversion"/>
  </si>
  <si>
    <t>文档处理模块的权限系统</t>
    <phoneticPr fontId="2" type="noConversion"/>
  </si>
  <si>
    <t>检索服务</t>
    <rPh sb="0" eb="1">
      <t>jm'so'fu'wu</t>
    </rPh>
    <phoneticPr fontId="2" type="noConversion"/>
  </si>
  <si>
    <t>web端语音输入</t>
    <rPh sb="3" eb="4">
      <t>dr</t>
    </rPh>
    <rPh sb="4" eb="5">
      <t>yu'yb</t>
    </rPh>
    <rPh sb="6" eb="7">
      <t>uu'ru</t>
    </rPh>
    <phoneticPr fontId="2" type="noConversion"/>
  </si>
  <si>
    <t>pad端语音输入</t>
    <rPh sb="3" eb="4">
      <t>dr</t>
    </rPh>
    <rPh sb="4" eb="5">
      <t>yu'yb'uu'ru</t>
    </rPh>
    <phoneticPr fontId="2" type="noConversion"/>
  </si>
  <si>
    <t>手机端语音输入</t>
    <rPh sb="0" eb="1">
      <t>uz'ji'dr</t>
    </rPh>
    <rPh sb="3" eb="4">
      <t>yu'yb'uu'ru</t>
    </rPh>
    <phoneticPr fontId="2" type="noConversion"/>
  </si>
  <si>
    <t>删除语音输入</t>
    <rPh sb="0" eb="1">
      <t>uj'iu</t>
    </rPh>
    <rPh sb="2" eb="3">
      <t>yu'yb'uu'ru</t>
    </rPh>
    <phoneticPr fontId="2" type="noConversion"/>
  </si>
  <si>
    <t>放弃本次录音</t>
    <rPh sb="0" eb="1">
      <t>fh'qi</t>
    </rPh>
    <rPh sb="2" eb="3">
      <t>bf'ci'lu'yb</t>
    </rPh>
    <phoneticPr fontId="2" type="noConversion"/>
  </si>
  <si>
    <t>提交语音输入</t>
    <rPh sb="0" eb="1">
      <t>ti'j</t>
    </rPh>
    <rPh sb="2" eb="3">
      <t>yu'y</t>
    </rPh>
    <rPh sb="4" eb="5">
      <t>uu'ru</t>
    </rPh>
    <phoneticPr fontId="2" type="noConversion"/>
  </si>
  <si>
    <t>付费提问</t>
    <rPh sb="0" eb="1">
      <t>fu'fw</t>
    </rPh>
    <rPh sb="2" eb="3">
      <t>ti'wf</t>
    </rPh>
    <phoneticPr fontId="2" type="noConversion"/>
  </si>
  <si>
    <t>付费收听</t>
    <rPh sb="0" eb="1">
      <t>fu'fw</t>
    </rPh>
    <rPh sb="2" eb="3">
      <t>uz'tk</t>
    </rPh>
    <phoneticPr fontId="2" type="noConversion"/>
  </si>
  <si>
    <t>下载语音到本地</t>
    <rPh sb="0" eb="1">
      <t>xx'zd</t>
    </rPh>
    <rPh sb="2" eb="3">
      <t>yu'y</t>
    </rPh>
    <rPh sb="4" eb="5">
      <t>dc</t>
    </rPh>
    <rPh sb="5" eb="6">
      <t>bf'di</t>
    </rPh>
    <phoneticPr fontId="2" type="noConversion"/>
  </si>
  <si>
    <t>已购买的答案重复收听</t>
    <rPh sb="0" eb="1">
      <t>yi'gz'md</t>
    </rPh>
    <rPh sb="3" eb="4">
      <t>de</t>
    </rPh>
    <rPh sb="4" eb="5">
      <t>da'an</t>
    </rPh>
    <rPh sb="6" eb="7">
      <t>is'fu'uz'tk</t>
    </rPh>
    <phoneticPr fontId="2" type="noConversion"/>
  </si>
  <si>
    <t>语音回答问题</t>
    <rPh sb="0" eb="1">
      <t>yu'yb</t>
    </rPh>
    <rPh sb="2" eb="3">
      <t>hv'da</t>
    </rPh>
    <rPh sb="4" eb="5">
      <t>wf'ti</t>
    </rPh>
    <phoneticPr fontId="2" type="noConversion"/>
  </si>
  <si>
    <t>语音答案点赞</t>
    <rPh sb="2" eb="3">
      <t>da'an</t>
    </rPh>
    <rPh sb="4" eb="5">
      <t>dm'zj</t>
    </rPh>
    <phoneticPr fontId="2" type="noConversion"/>
  </si>
  <si>
    <t>语音答案举报</t>
    <rPh sb="0" eb="1">
      <t>yu'y</t>
    </rPh>
    <rPh sb="2" eb="3">
      <t>da'an</t>
    </rPh>
    <rPh sb="4" eb="5">
      <t>ju'bc</t>
    </rPh>
    <phoneticPr fontId="2" type="noConversion"/>
  </si>
  <si>
    <t>语音转文字</t>
    <rPh sb="0" eb="1">
      <t>yu'y</t>
    </rPh>
    <rPh sb="2" eb="3">
      <t>vr'wf'zi</t>
    </rPh>
    <phoneticPr fontId="2" type="noConversion"/>
  </si>
  <si>
    <t>语音答案显示开发</t>
    <rPh sb="0" eb="1">
      <t>yu'yb</t>
    </rPh>
    <rPh sb="2" eb="3">
      <t>da'an</t>
    </rPh>
    <rPh sb="4" eb="5">
      <t>xm'ui</t>
    </rPh>
    <rPh sb="6" eb="7">
      <t>kd'fa</t>
    </rPh>
    <phoneticPr fontId="2" type="noConversion"/>
  </si>
  <si>
    <t>语音答案存储开发</t>
    <rPh sb="0" eb="1">
      <t>yu'yb'da'an</t>
    </rPh>
    <rPh sb="4" eb="5">
      <t>cy'iu</t>
    </rPh>
    <rPh sb="6" eb="7">
      <t>kd'fa</t>
    </rPh>
    <phoneticPr fontId="2" type="noConversion"/>
  </si>
  <si>
    <t>语音答案缓存开发</t>
    <rPh sb="0" eb="1">
      <t>yu'yb'dc'an</t>
    </rPh>
    <rPh sb="2" eb="3">
      <t>da'an</t>
    </rPh>
    <rPh sb="4" eb="5">
      <t>hr'cy</t>
    </rPh>
    <rPh sb="6" eb="7">
      <t>kd'fa</t>
    </rPh>
    <phoneticPr fontId="2" type="noConversion"/>
  </si>
  <si>
    <t>语音答案传输开发</t>
    <rPh sb="0" eb="1">
      <t>yu'yb'da'an</t>
    </rPh>
    <rPh sb="4" eb="5">
      <t>ir'uu</t>
    </rPh>
    <rPh sb="6" eb="7">
      <t>kd'fa</t>
    </rPh>
    <phoneticPr fontId="2" type="noConversion"/>
  </si>
  <si>
    <t>文本提问</t>
    <rPh sb="0" eb="1">
      <t>wf'bf</t>
    </rPh>
    <phoneticPr fontId="2" type="noConversion"/>
  </si>
  <si>
    <t>文本答案点赞</t>
    <rPh sb="0" eb="1">
      <t>wf'bf</t>
    </rPh>
    <rPh sb="2" eb="3">
      <t>da'an</t>
    </rPh>
    <rPh sb="4" eb="5">
      <t>dm'zj</t>
    </rPh>
    <phoneticPr fontId="2" type="noConversion"/>
  </si>
  <si>
    <t>文本答案举报</t>
    <rPh sb="0" eb="1">
      <t>wf'bf</t>
    </rPh>
    <rPh sb="2" eb="3">
      <t>da'an</t>
    </rPh>
    <rPh sb="4" eb="5">
      <t>ju'bc</t>
    </rPh>
    <phoneticPr fontId="2" type="noConversion"/>
  </si>
  <si>
    <t>文本答案缓存开发</t>
    <rPh sb="0" eb="1">
      <t>wf'bf</t>
    </rPh>
    <rPh sb="2" eb="3">
      <t>da'an</t>
    </rPh>
    <rPh sb="4" eb="5">
      <t>hr'cy</t>
    </rPh>
    <rPh sb="6" eb="7">
      <t>kd'fa</t>
    </rPh>
    <phoneticPr fontId="2" type="noConversion"/>
  </si>
  <si>
    <t>文本答案存储开发</t>
    <rPh sb="0" eb="1">
      <t>wf'bf'da'an</t>
    </rPh>
    <rPh sb="4" eb="5">
      <t>cy'iu</t>
    </rPh>
    <rPh sb="6" eb="7">
      <t>kd'fa</t>
    </rPh>
    <phoneticPr fontId="2" type="noConversion"/>
  </si>
  <si>
    <t>文本答案显示开发</t>
    <rPh sb="0" eb="1">
      <t>wf'bf'da'an</t>
    </rPh>
    <rPh sb="4" eb="5">
      <t>xm'ui</t>
    </rPh>
    <rPh sb="6" eb="7">
      <t>kd'fa</t>
    </rPh>
    <phoneticPr fontId="2" type="noConversion"/>
  </si>
  <si>
    <t>图片答案</t>
    <rPh sb="0" eb="1">
      <t>tu'pm'da'an</t>
    </rPh>
    <phoneticPr fontId="2" type="noConversion"/>
  </si>
  <si>
    <t>视频答案</t>
    <rPh sb="0" eb="1">
      <t>ui'pb'da'an</t>
    </rPh>
    <phoneticPr fontId="2" type="noConversion"/>
  </si>
  <si>
    <t>超链接答案</t>
    <rPh sb="0" eb="1">
      <t>ic'lm'jp</t>
    </rPh>
    <rPh sb="3" eb="4">
      <t>da'an</t>
    </rPh>
    <phoneticPr fontId="2" type="noConversion"/>
  </si>
  <si>
    <t>表情答案</t>
    <rPh sb="0" eb="1">
      <t>bn'q</t>
    </rPh>
    <rPh sb="2" eb="3">
      <t>da'an</t>
    </rPh>
    <phoneticPr fontId="2" type="noConversion"/>
  </si>
  <si>
    <t>动图答案</t>
    <rPh sb="0" eb="1">
      <t>ds'tu</t>
    </rPh>
    <rPh sb="2" eb="3">
      <t>da'an</t>
    </rPh>
    <phoneticPr fontId="2" type="noConversion"/>
  </si>
  <si>
    <t>文本输入提示</t>
    <rPh sb="0" eb="1">
      <t>wf'bf</t>
    </rPh>
    <rPh sb="2" eb="3">
      <t>uu'ru'ti'ui</t>
    </rPh>
    <phoneticPr fontId="2" type="noConversion"/>
  </si>
  <si>
    <t>候选答案推荐</t>
    <rPh sb="0" eb="1">
      <t>hz'xr'da'an</t>
    </rPh>
    <rPh sb="4" eb="5">
      <t>tv'jm</t>
    </rPh>
    <phoneticPr fontId="2" type="noConversion"/>
  </si>
  <si>
    <t>相近知识点推荐</t>
    <rPh sb="0" eb="1">
      <t>xl'jb'vi'ui'dm</t>
    </rPh>
    <rPh sb="5" eb="6">
      <t>tv'jm</t>
    </rPh>
    <phoneticPr fontId="2" type="noConversion"/>
  </si>
  <si>
    <t>语音数据观察</t>
    <rPh sb="0" eb="1">
      <t>yu'yb'uu'ju'gr'ia</t>
    </rPh>
    <phoneticPr fontId="2" type="noConversion"/>
  </si>
  <si>
    <t>语音增强</t>
    <rPh sb="0" eb="1">
      <t>yu'yb'zg'ql</t>
    </rPh>
    <phoneticPr fontId="2" type="noConversion"/>
  </si>
  <si>
    <t>语音去燥</t>
    <rPh sb="0" eb="1">
      <t>yu'yb'vi'll</t>
    </rPh>
    <rPh sb="2" eb="3">
      <t>qu'zc</t>
    </rPh>
    <phoneticPr fontId="2" type="noConversion"/>
  </si>
  <si>
    <t>语音压缩处理</t>
    <rPh sb="0" eb="1">
      <t>yu'yb'ya'so</t>
    </rPh>
    <rPh sb="4" eb="5">
      <t>iu'li</t>
    </rPh>
    <phoneticPr fontId="2" type="noConversion"/>
  </si>
  <si>
    <t>语音分帧处理</t>
    <rPh sb="0" eb="1">
      <t>yu'yb'ff'vf</t>
    </rPh>
    <rPh sb="4" eb="5">
      <t>iu'li</t>
    </rPh>
    <phoneticPr fontId="2" type="noConversion"/>
  </si>
  <si>
    <t>语音特征提取</t>
    <rPh sb="0" eb="1">
      <t>yu'yb'te'vg'ti'qu</t>
    </rPh>
    <phoneticPr fontId="2" type="noConversion"/>
  </si>
  <si>
    <t>声学模型训练</t>
    <rPh sb="0" eb="1">
      <t>ug'xt'mo'x</t>
    </rPh>
    <rPh sb="4" eb="5">
      <t>xy'lm</t>
    </rPh>
    <phoneticPr fontId="2" type="noConversion"/>
  </si>
  <si>
    <t>声学模型检验</t>
    <rPh sb="0" eb="1">
      <t>ug'xt'mo'xk</t>
    </rPh>
    <rPh sb="4" eb="5">
      <t>jm'yj</t>
    </rPh>
    <phoneticPr fontId="2" type="noConversion"/>
  </si>
  <si>
    <t>声学模型调优</t>
    <rPh sb="0" eb="1">
      <t>ug'xt'mo'xk</t>
    </rPh>
    <rPh sb="4" eb="5">
      <t>tn'yz</t>
    </rPh>
    <phoneticPr fontId="2" type="noConversion"/>
  </si>
  <si>
    <t>语音匹配</t>
    <rPh sb="0" eb="1">
      <t>yu'yb'pi'pw</t>
    </rPh>
    <phoneticPr fontId="2" type="noConversion"/>
  </si>
  <si>
    <t>语言模型训练</t>
    <rPh sb="0" eb="1">
      <t>yu'yj'mo'xk</t>
    </rPh>
    <rPh sb="4" eb="5">
      <t>xy'lm</t>
    </rPh>
    <phoneticPr fontId="2" type="noConversion"/>
  </si>
  <si>
    <t>语音模型检验</t>
    <rPh sb="0" eb="1">
      <t>yu'yb'mo'xk'ce'ui</t>
    </rPh>
    <rPh sb="2" eb="3">
      <t>mo'xk</t>
    </rPh>
    <rPh sb="4" eb="5">
      <t>jm'yj</t>
    </rPh>
    <phoneticPr fontId="2" type="noConversion"/>
  </si>
  <si>
    <t>语音模型调优</t>
    <rPh sb="0" eb="1">
      <t>yu'y</t>
    </rPh>
    <rPh sb="2" eb="3">
      <t>mo'xk</t>
    </rPh>
    <rPh sb="4" eb="5">
      <t>tn'yz</t>
    </rPh>
    <phoneticPr fontId="2" type="noConversion"/>
  </si>
  <si>
    <t>文本观察</t>
    <rPh sb="0" eb="1">
      <t>wf'b</t>
    </rPh>
    <rPh sb="2" eb="3">
      <t>gr'ia</t>
    </rPh>
    <phoneticPr fontId="2" type="noConversion"/>
  </si>
  <si>
    <t>表情过滤</t>
    <rPh sb="0" eb="1">
      <t>bn'qk</t>
    </rPh>
    <rPh sb="2" eb="3">
      <t>go'l</t>
    </rPh>
    <phoneticPr fontId="2" type="noConversion"/>
  </si>
  <si>
    <t>中文异常符号过滤</t>
    <rPh sb="0" eb="1">
      <t>vs'wf</t>
    </rPh>
    <rPh sb="2" eb="3">
      <t>yi'i</t>
    </rPh>
    <rPh sb="6" eb="7">
      <t>go'lv</t>
    </rPh>
    <phoneticPr fontId="2" type="noConversion"/>
  </si>
  <si>
    <t>中文编码处理</t>
    <rPh sb="0" eb="1">
      <t>vs'wf</t>
    </rPh>
    <phoneticPr fontId="2" type="noConversion"/>
  </si>
  <si>
    <t>中文分词模型训练</t>
    <rPh sb="0" eb="1">
      <t>vs'wf</t>
    </rPh>
    <rPh sb="6" eb="7">
      <t>xy'lm</t>
    </rPh>
    <phoneticPr fontId="2" type="noConversion"/>
  </si>
  <si>
    <t>中文分词模型检验</t>
    <rPh sb="0" eb="1">
      <t>vs'wf</t>
    </rPh>
    <rPh sb="2" eb="3">
      <t>ff'ci</t>
    </rPh>
    <rPh sb="4" eb="5">
      <t>mo'xk</t>
    </rPh>
    <rPh sb="6" eb="7">
      <t>jm'yj</t>
    </rPh>
    <phoneticPr fontId="2" type="noConversion"/>
  </si>
  <si>
    <t>中文分词模型调优</t>
    <rPh sb="0" eb="1">
      <t>vs'wf</t>
    </rPh>
    <rPh sb="2" eb="3">
      <t>ff'ci</t>
    </rPh>
    <rPh sb="4" eb="5">
      <t>mo'xk</t>
    </rPh>
    <rPh sb="6" eb="7">
      <t>tn'y</t>
    </rPh>
    <phoneticPr fontId="2" type="noConversion"/>
  </si>
  <si>
    <t>中文停用词处理</t>
    <rPh sb="0" eb="1">
      <t>vs'wf</t>
    </rPh>
    <rPh sb="2" eb="3">
      <t>tk'ys'ci</t>
    </rPh>
    <rPh sb="5" eb="6">
      <t>iu'li</t>
    </rPh>
    <phoneticPr fontId="2" type="noConversion"/>
  </si>
  <si>
    <t>英文异常符号过滤</t>
    <rPh sb="0" eb="1">
      <t>yk'wf</t>
    </rPh>
    <rPh sb="2" eb="3">
      <t>yi'i</t>
    </rPh>
    <rPh sb="6" eb="7">
      <t>go'lv</t>
    </rPh>
    <phoneticPr fontId="2" type="noConversion"/>
  </si>
  <si>
    <t>英文编码处理</t>
    <rPh sb="0" eb="1">
      <t>yk'wf</t>
    </rPh>
    <phoneticPr fontId="2" type="noConversion"/>
  </si>
  <si>
    <t>英文分词模型训练</t>
    <rPh sb="0" eb="1">
      <t>yk'wf</t>
    </rPh>
    <rPh sb="6" eb="7">
      <t>xy'lm</t>
    </rPh>
    <phoneticPr fontId="2" type="noConversion"/>
  </si>
  <si>
    <t>英文分词模型检验</t>
    <rPh sb="0" eb="1">
      <t>yk'wf</t>
    </rPh>
    <rPh sb="2" eb="3">
      <t>ff'ci</t>
    </rPh>
    <rPh sb="4" eb="5">
      <t>mo'xk</t>
    </rPh>
    <rPh sb="6" eb="7">
      <t>jm'yj</t>
    </rPh>
    <phoneticPr fontId="2" type="noConversion"/>
  </si>
  <si>
    <t>英文分词模型调优</t>
    <rPh sb="0" eb="1">
      <t>yk'wf</t>
    </rPh>
    <rPh sb="2" eb="3">
      <t>ff'ci</t>
    </rPh>
    <rPh sb="4" eb="5">
      <t>mo'xk</t>
    </rPh>
    <rPh sb="6" eb="7">
      <t>tn'y</t>
    </rPh>
    <phoneticPr fontId="2" type="noConversion"/>
  </si>
  <si>
    <t>英文停用词处理</t>
    <rPh sb="0" eb="1">
      <t>yk'wf</t>
    </rPh>
    <rPh sb="2" eb="3">
      <t>tk'ys'ci</t>
    </rPh>
    <rPh sb="5" eb="6">
      <t>iu'li</t>
    </rPh>
    <phoneticPr fontId="2" type="noConversion"/>
  </si>
  <si>
    <t>特征选择处理</t>
    <rPh sb="0" eb="1">
      <t>te'vg</t>
    </rPh>
    <rPh sb="2" eb="3">
      <t>xr'ze'iu'li</t>
    </rPh>
    <phoneticPr fontId="2" type="noConversion"/>
  </si>
  <si>
    <t>降维处理</t>
    <rPh sb="0" eb="1">
      <t>jl'ww'iu'li</t>
    </rPh>
    <phoneticPr fontId="2" type="noConversion"/>
  </si>
  <si>
    <t>数据切片</t>
    <rPh sb="0" eb="1">
      <t>uu'ju'qp'pm</t>
    </rPh>
    <phoneticPr fontId="2" type="noConversion"/>
  </si>
  <si>
    <t>分词切片</t>
    <phoneticPr fontId="2" type="noConversion"/>
  </si>
  <si>
    <t>词性标注</t>
    <rPh sb="0" eb="1">
      <t>ci'xk'bn'vu</t>
    </rPh>
    <phoneticPr fontId="2" type="noConversion"/>
  </si>
  <si>
    <t>从属关系语法</t>
    <rPh sb="0" eb="1">
      <t>cs'uu'gr'xi</t>
    </rPh>
    <rPh sb="4" eb="5">
      <t>yu'fa</t>
    </rPh>
    <phoneticPr fontId="2" type="noConversion"/>
  </si>
  <si>
    <t>短语检测</t>
    <rPh sb="0" eb="1">
      <t>dr'yu'jm'ce</t>
    </rPh>
    <phoneticPr fontId="2" type="noConversion"/>
  </si>
  <si>
    <t>主题建模</t>
    <rPh sb="0" eb="1">
      <t>vu'ti'jm'mo</t>
    </rPh>
    <phoneticPr fontId="2" type="noConversion"/>
  </si>
  <si>
    <t>TF–IDF</t>
    <phoneticPr fontId="2" type="noConversion"/>
  </si>
  <si>
    <t>频率特征</t>
    <rPh sb="0" eb="1">
      <t>pb'lv'te'vg</t>
    </rPh>
    <phoneticPr fontId="2" type="noConversion"/>
  </si>
  <si>
    <t>密度特征</t>
    <rPh sb="0" eb="1">
      <t>mi'du</t>
    </rPh>
    <rPh sb="2" eb="3">
      <t>te'vg</t>
    </rPh>
    <phoneticPr fontId="2" type="noConversion"/>
  </si>
  <si>
    <t>可读性特征</t>
    <rPh sb="0" eb="1">
      <t>ke'du'xk'te'vg</t>
    </rPh>
    <phoneticPr fontId="2" type="noConversion"/>
  </si>
  <si>
    <t>单词嵌入</t>
  </si>
  <si>
    <t>文本分类</t>
  </si>
  <si>
    <t>编辑距离</t>
    <rPh sb="0" eb="1">
      <t>bm'ji'ju'li</t>
    </rPh>
    <phoneticPr fontId="2" type="noConversion"/>
  </si>
  <si>
    <t>柔性字符串匹配</t>
  </si>
  <si>
    <t>词形还原</t>
  </si>
  <si>
    <t>词干提取</t>
  </si>
  <si>
    <t>音频提取</t>
    <phoneticPr fontId="2" type="noConversion"/>
  </si>
  <si>
    <t>慕书数据预处理</t>
    <phoneticPr fontId="2" type="noConversion"/>
  </si>
  <si>
    <t>语音转文字</t>
    <phoneticPr fontId="2" type="noConversion"/>
  </si>
  <si>
    <t>语音识别*</t>
    <phoneticPr fontId="2" type="noConversion"/>
  </si>
  <si>
    <t>音频时间戳标注</t>
    <phoneticPr fontId="2" type="noConversion"/>
  </si>
  <si>
    <t>字幕校验平台</t>
    <phoneticPr fontId="2" type="noConversion"/>
  </si>
  <si>
    <t>从视频库中下载对应的视频</t>
  </si>
  <si>
    <t>视频转码提取音频</t>
  </si>
  <si>
    <t>调用语音识别库识别语音转文字</t>
  </si>
  <si>
    <t>字幕校验后台接口开发</t>
  </si>
  <si>
    <t>字幕校验前端工具开发</t>
  </si>
  <si>
    <t>字幕数据库安装</t>
  </si>
  <si>
    <t>字幕校验系统的表结构设计</t>
  </si>
  <si>
    <t>手工的对准字幕和音频的时间戳</t>
  </si>
  <si>
    <t>慕书截图处理</t>
    <phoneticPr fontId="2" type="noConversion"/>
  </si>
  <si>
    <t>视频关键帧提取</t>
  </si>
  <si>
    <t>图像库环境编译安装</t>
  </si>
  <si>
    <t>数据库安装</t>
  </si>
  <si>
    <t>数据库视频表结构设计</t>
  </si>
  <si>
    <t>数据库视频下载调度系统表结构设计</t>
  </si>
  <si>
    <t>数据库图像帧处理调度系统的表结构设计</t>
  </si>
  <si>
    <t>课程结构接口格式制定</t>
  </si>
  <si>
    <t>课程结构下载单元</t>
  </si>
  <si>
    <t>视频URL下载的生产者进程</t>
  </si>
  <si>
    <t>视频URL下载的消费者进程队列</t>
  </si>
  <si>
    <t>视频下载调度系统开发</t>
  </si>
  <si>
    <t>视频增量断点下载模块</t>
  </si>
  <si>
    <t>视频的保存及删除功能模块(控制磁盘空间)</t>
  </si>
  <si>
    <t>下载异常视频的统计重下载模块</t>
  </si>
  <si>
    <t>视频桢流提取</t>
  </si>
  <si>
    <t>视频帧的帧率计算</t>
  </si>
  <si>
    <t>视频关键帧的位置获取</t>
  </si>
  <si>
    <t>视频帧队列存储</t>
  </si>
  <si>
    <t>视频帧多进程消费者处理队列</t>
  </si>
  <si>
    <t>图片帧的灰度化</t>
  </si>
  <si>
    <t>图片帧的对比度增强</t>
  </si>
  <si>
    <t>图片帧尺寸标准化</t>
  </si>
  <si>
    <t>图片帧低通滤波器过滤</t>
  </si>
  <si>
    <t>加载人脸识别训练模型</t>
  </si>
  <si>
    <t>对图片帧进行人脸识别</t>
  </si>
  <si>
    <t>可视化系统</t>
  </si>
  <si>
    <t>人脸判定逻辑模块</t>
  </si>
  <si>
    <t>计算人脸对关键帧的权重影响系数</t>
  </si>
  <si>
    <t>获取人眼坐标</t>
  </si>
  <si>
    <t>定义椭圆参数方程</t>
  </si>
  <si>
    <t>随机初始化椭圆方程参数</t>
  </si>
  <si>
    <t>基于最小二乘的损失函数计算</t>
  </si>
  <si>
    <t>基于损失函数做SGD最优化计算求解参数</t>
  </si>
  <si>
    <t>重新随机初始化椭圆参数</t>
  </si>
  <si>
    <t>求解相对最优的椭圆参数</t>
  </si>
  <si>
    <t>基于椭圆方程计算眼睛面积</t>
  </si>
  <si>
    <t>基于椭圆方程计算眼睛中轴夹角评估姿态</t>
  </si>
  <si>
    <t>基于站姿评估计算对关键帧的权重影响系数</t>
  </si>
  <si>
    <t>基于眼睛面积计算对关键帧的权重影响系数</t>
  </si>
  <si>
    <t>综合计算关键帧的加权系数</t>
  </si>
  <si>
    <t>求最优关键帧对应的视频流位置</t>
  </si>
  <si>
    <t>通过流位置获取原视频帧</t>
  </si>
  <si>
    <t>生成缩略图</t>
  </si>
  <si>
    <t>慕书可视化</t>
    <phoneticPr fontId="2" type="noConversion"/>
  </si>
  <si>
    <t>慕书服务</t>
    <phoneticPr fontId="2" type="noConversion"/>
  </si>
  <si>
    <t>接口监测模块</t>
  </si>
  <si>
    <t>稳定性保障模块</t>
  </si>
  <si>
    <t>并发度保障模块</t>
  </si>
  <si>
    <t>安全性检查模块</t>
  </si>
  <si>
    <t>输出校验模块</t>
  </si>
  <si>
    <t>输入校验模块</t>
  </si>
  <si>
    <t>用户权限模块</t>
  </si>
  <si>
    <t>接口框架选型</t>
  </si>
  <si>
    <t>接口规范定义</t>
  </si>
  <si>
    <t>慕书API</t>
    <phoneticPr fontId="2" type="noConversion"/>
  </si>
  <si>
    <t>生成文章存储</t>
  </si>
  <si>
    <t>文本内容集成关键帧截图</t>
  </si>
  <si>
    <t>关键帧截图模型训练</t>
  </si>
  <si>
    <t>关键帧截图模型建立</t>
  </si>
  <si>
    <t>关键段落提取</t>
  </si>
  <si>
    <t>关键段落定义</t>
  </si>
  <si>
    <t>关键词获取</t>
  </si>
  <si>
    <t>语句标点获取</t>
  </si>
  <si>
    <t>分段内容获取</t>
  </si>
  <si>
    <t>慕书集成</t>
    <phoneticPr fontId="2" type="noConversion"/>
  </si>
  <si>
    <t>慕书应用</t>
    <phoneticPr fontId="2" type="noConversion"/>
  </si>
  <si>
    <t>文本内容自动分段生成</t>
  </si>
  <si>
    <t>智能分段模型训练</t>
  </si>
  <si>
    <t>智能分段模型建立</t>
  </si>
  <si>
    <t>文本分段定义</t>
  </si>
  <si>
    <t>文本语句自动标点生成</t>
  </si>
  <si>
    <t>语句标点模型训练</t>
  </si>
  <si>
    <t>语句标点模型建立</t>
  </si>
  <si>
    <t>语句标点符定义</t>
  </si>
  <si>
    <t>语料库提取</t>
  </si>
  <si>
    <t>语料库填充</t>
  </si>
  <si>
    <t>语料库建立</t>
  </si>
  <si>
    <t>语音库提取</t>
  </si>
  <si>
    <t>语音库填充</t>
  </si>
  <si>
    <t>语音库建立</t>
  </si>
  <si>
    <t>知识库提取</t>
  </si>
  <si>
    <t>知识库填充</t>
  </si>
  <si>
    <t>知识库建立</t>
  </si>
  <si>
    <t>词库提取</t>
  </si>
  <si>
    <t>词库填充</t>
  </si>
  <si>
    <t>词库建立</t>
    <phoneticPr fontId="2" type="noConversion"/>
  </si>
  <si>
    <t>文本内容、语速、音调、教师、课程关联模型训练</t>
  </si>
  <si>
    <t>文本内容、语速、音调、教师、课程关联模型建立</t>
  </si>
  <si>
    <t>文本内容、语速、音调、教师关联模型训练</t>
  </si>
  <si>
    <t>文本内容、语速、音调、教师关联模型建立</t>
  </si>
  <si>
    <t>文本内容、语速、音调、课程关联模型训练</t>
  </si>
  <si>
    <t>文本内容、语速、音调、课程关联模型建立</t>
  </si>
  <si>
    <t>文本内容、课程、教师关联模型训练</t>
  </si>
  <si>
    <t>文本内容、课程、教师关联模型建立</t>
  </si>
  <si>
    <t>文本内容、语速、音调关联模型训练</t>
  </si>
  <si>
    <t>文本内容、语速、音调关联模型建立</t>
  </si>
  <si>
    <t>教师与课程关系模型训练</t>
  </si>
  <si>
    <t>教师与课程关系模型建立</t>
  </si>
  <si>
    <t>音调与课程关系模型训练</t>
  </si>
  <si>
    <t>音调与课程关系模型建立</t>
  </si>
  <si>
    <t>音调与教师关系模型训练</t>
  </si>
  <si>
    <t>音调与教师关系模型建立</t>
  </si>
  <si>
    <t>语速与课程关系模型训练</t>
  </si>
  <si>
    <t>语速与课程关系模型建立</t>
  </si>
  <si>
    <t>语速与教师关系模型训练</t>
  </si>
  <si>
    <t>语速与教师关系模型建立</t>
  </si>
  <si>
    <t>语速与音调关系模型训练</t>
  </si>
  <si>
    <t>语速与音调关系模型建立</t>
  </si>
  <si>
    <t>文本内容与课程关系模型训练</t>
  </si>
  <si>
    <t>文本内容与课程关系模型建立</t>
  </si>
  <si>
    <t>文本内容与教师关系模型训练</t>
  </si>
  <si>
    <t>文本内容与教师关系模型建立</t>
  </si>
  <si>
    <t>文本内容与音调关系模型训练</t>
  </si>
  <si>
    <t>文本内容与音调关系模型建立</t>
  </si>
  <si>
    <t>文本内容与语速关系模型训练</t>
  </si>
  <si>
    <t>文本内容与语速关系模型建立</t>
  </si>
  <si>
    <t>课程个性化语义提取</t>
  </si>
  <si>
    <t>课程常用语提取</t>
  </si>
  <si>
    <t>字幕文本内容关联课程</t>
  </si>
  <si>
    <t>教师个性化语义提取</t>
  </si>
  <si>
    <t>教师常用语提取</t>
  </si>
  <si>
    <t>字幕文本内容关联教师</t>
  </si>
  <si>
    <t>课程音调个性化分析</t>
  </si>
  <si>
    <t>音调关联课程</t>
  </si>
  <si>
    <t>课程语音间隔特征分析</t>
  </si>
  <si>
    <t>语音间隔关联课程</t>
  </si>
  <si>
    <t>教师音调个性化分析</t>
  </si>
  <si>
    <t>音调关联教师</t>
  </si>
  <si>
    <t>教师语音习惯性停顿识别</t>
  </si>
  <si>
    <t>语音间隔关联教师</t>
    <phoneticPr fontId="2" type="noConversion"/>
  </si>
  <si>
    <t>教师关联课程</t>
  </si>
  <si>
    <t>教师特征模型训练</t>
  </si>
  <si>
    <t>教师特征模型建立</t>
  </si>
  <si>
    <t>教师分类模型训练</t>
  </si>
  <si>
    <t>教师分类模型建立</t>
  </si>
  <si>
    <t>教师属性采集</t>
    <phoneticPr fontId="2" type="noConversion"/>
  </si>
  <si>
    <t>课程特征模型训练</t>
  </si>
  <si>
    <t>课程特征模型建立</t>
  </si>
  <si>
    <t>课程关联知识点</t>
  </si>
  <si>
    <t>知识点获取</t>
  </si>
  <si>
    <t>课程分类训练</t>
  </si>
  <si>
    <t>课程分类模型建立</t>
  </si>
  <si>
    <t>课程属性采集</t>
  </si>
  <si>
    <t>字幕文本内容关联音调</t>
  </si>
  <si>
    <t>字幕文本内容关联语速</t>
  </si>
  <si>
    <t>文本常用语识别</t>
  </si>
  <si>
    <t>常用语归集</t>
  </si>
  <si>
    <t>文本内容统计化处理</t>
  </si>
  <si>
    <t>文本规则化语义解析</t>
  </si>
  <si>
    <t>文本关键词提取</t>
  </si>
  <si>
    <t>建立关键词算法提取规则</t>
  </si>
  <si>
    <t>文本内容分词</t>
  </si>
  <si>
    <t>文本语言识别</t>
  </si>
  <si>
    <t>文本与时间戳关联</t>
  </si>
  <si>
    <t>字幕时间戳识别</t>
  </si>
  <si>
    <t>字幕文本识别</t>
  </si>
  <si>
    <t>字幕非法性标准校验</t>
  </si>
  <si>
    <t>字幕清洗</t>
  </si>
  <si>
    <t>字幕提取</t>
  </si>
  <si>
    <t>字幕标准定义</t>
  </si>
  <si>
    <t>语速与音调特征关联</t>
    <phoneticPr fontId="2" type="noConversion"/>
  </si>
  <si>
    <t>音调特征模型训练</t>
  </si>
  <si>
    <t>音调特征模型建立</t>
  </si>
  <si>
    <t>音频音调识别</t>
  </si>
  <si>
    <t>音频音调提取</t>
    <phoneticPr fontId="2" type="noConversion"/>
  </si>
  <si>
    <t>语速计算</t>
  </si>
  <si>
    <t>语音间隔关联语音时长</t>
  </si>
  <si>
    <t>语音间隔分类</t>
  </si>
  <si>
    <t>语音间隔提取</t>
  </si>
  <si>
    <t>非法语音片段校验</t>
  </si>
  <si>
    <t>语音时长分类</t>
  </si>
  <si>
    <t>语音时长提取</t>
  </si>
  <si>
    <t>文本内容生成</t>
    <phoneticPr fontId="2" type="noConversion"/>
  </si>
  <si>
    <t>慕书内容处理</t>
    <phoneticPr fontId="2" type="noConversion"/>
  </si>
  <si>
    <t>知识图谱</t>
  </si>
  <si>
    <t>数据抓取</t>
  </si>
  <si>
    <t>网络爬虫</t>
  </si>
  <si>
    <t>网页内容抽取</t>
  </si>
  <si>
    <t>不同数据源融合</t>
  </si>
  <si>
    <t>Wikidata 数据获取</t>
  </si>
  <si>
    <t>Wikidata 数据及关系获取</t>
  </si>
  <si>
    <t>Wikidata  数据及关系整理</t>
  </si>
  <si>
    <t>Wikidata 和现有数据融合</t>
  </si>
  <si>
    <t xml:space="preserve"> 常规数据爬取</t>
  </si>
  <si>
    <t>ajax数据提取</t>
  </si>
  <si>
    <t>模拟登陆功能</t>
  </si>
  <si>
    <t>IP池功能</t>
  </si>
  <si>
    <t>反扒规则</t>
  </si>
  <si>
    <t>模拟浏览器功能</t>
  </si>
  <si>
    <t>数据定期爬取规则</t>
  </si>
  <si>
    <t>页面爬取规则</t>
  </si>
  <si>
    <t>知识图谱构建</t>
  </si>
  <si>
    <t>知识点详情功能UI设计</t>
  </si>
  <si>
    <t>知识点详情功能前端开发</t>
  </si>
  <si>
    <t>知识点详情功能后端开发</t>
  </si>
  <si>
    <t>知识点关系网络UI设计</t>
  </si>
  <si>
    <t>知识点关系网络前端开发</t>
  </si>
  <si>
    <t>知识点关系网络后端开发</t>
  </si>
  <si>
    <t>知识点与知识点关系接口</t>
  </si>
  <si>
    <t>知识点外部数据获取接口(百度百科)</t>
  </si>
  <si>
    <t>知识点外部数据获取功能(百度百科)</t>
  </si>
  <si>
    <t>知识点关系调整接口</t>
  </si>
  <si>
    <t>知识点删除UI设计</t>
  </si>
  <si>
    <t>知识点删除前端开发</t>
  </si>
  <si>
    <t>知识点删除后端开发</t>
  </si>
  <si>
    <t>知识点创建UI设计</t>
  </si>
  <si>
    <t>知识点创建前端开发</t>
  </si>
  <si>
    <t>知识点创建后端开发</t>
  </si>
  <si>
    <t>知识点编辑UI设计</t>
  </si>
  <si>
    <t>知识点编辑前端开发</t>
  </si>
  <si>
    <t>知识点编辑后端开发</t>
  </si>
  <si>
    <t>知识点黑名单创建UI设计</t>
  </si>
  <si>
    <t>知识点黑名单创建前端开发</t>
  </si>
  <si>
    <t>知识点黑名单创建后端开发</t>
  </si>
  <si>
    <t>知识点黑名单删除UI设计</t>
  </si>
  <si>
    <t>知识点黑名单删除前端开发</t>
  </si>
  <si>
    <t>知识点黑名单删除后端开发</t>
  </si>
  <si>
    <t>知识点创建规则功能</t>
  </si>
  <si>
    <t>知识点关系创建规则功能</t>
  </si>
  <si>
    <t>知识点关系调整规则功能</t>
  </si>
  <si>
    <t>知识点横向关系接口</t>
  </si>
  <si>
    <t>知识点纵向关系接口</t>
  </si>
  <si>
    <t>知识点检索功能UI设计</t>
  </si>
  <si>
    <t>知识点检索功能前端开发</t>
  </si>
  <si>
    <t>知识点检索功能后端</t>
  </si>
  <si>
    <t>知识点推荐接口</t>
  </si>
  <si>
    <t>知识点统计接口</t>
  </si>
  <si>
    <t>知识点统计UI设计</t>
  </si>
  <si>
    <t>知识点统计前端开发</t>
  </si>
  <si>
    <t>知识点统计后端开发</t>
  </si>
  <si>
    <t>知识点推理接口</t>
  </si>
  <si>
    <t>知识点反馈接口</t>
  </si>
  <si>
    <t>知识点反馈UI设计</t>
  </si>
  <si>
    <t>知识点反馈前端开发</t>
  </si>
  <si>
    <t>知识点反馈后端开发</t>
  </si>
  <si>
    <t>知识点质量评估</t>
  </si>
  <si>
    <t>知识点排序功能</t>
  </si>
  <si>
    <t>知识点数据层融合功能</t>
  </si>
  <si>
    <t>知识点模式层的融合功能</t>
  </si>
  <si>
    <t>知识图谱可视化</t>
  </si>
  <si>
    <t>可视化地图的路径数据采集</t>
  </si>
  <si>
    <t>转换成SVG</t>
  </si>
  <si>
    <t>逻辑编写</t>
  </si>
  <si>
    <t>UI界面设计</t>
  </si>
  <si>
    <t>UE交互设计</t>
  </si>
  <si>
    <t>响应式布局</t>
  </si>
  <si>
    <t>人机交互-放大缩小</t>
  </si>
  <si>
    <t>人机交互-过滤查询</t>
  </si>
  <si>
    <t>知识中心性分析</t>
  </si>
  <si>
    <t>关键词共现分析</t>
  </si>
  <si>
    <t>图谱链接学习资源跳转</t>
  </si>
  <si>
    <t>外部数据语料库</t>
  </si>
  <si>
    <t>文档语料库</t>
  </si>
  <si>
    <t>文档知识点</t>
  </si>
  <si>
    <t>分类标注语料库</t>
  </si>
  <si>
    <t>知识图谱库</t>
  </si>
  <si>
    <t>视频库</t>
  </si>
  <si>
    <t>音频库</t>
  </si>
  <si>
    <t>图片库</t>
  </si>
  <si>
    <t>慕书结果信息表</t>
  </si>
  <si>
    <t>知识点详情数据库设计</t>
  </si>
  <si>
    <t>知识点关系数据库设计</t>
  </si>
  <si>
    <t>知识点外部数据数据库设计</t>
  </si>
  <si>
    <t>知识点数据库设计</t>
  </si>
  <si>
    <t>知识点黑名单数据库设计</t>
  </si>
  <si>
    <t>知识点层级数据库设计</t>
  </si>
  <si>
    <t>知识点统计数据结构设计</t>
  </si>
  <si>
    <t>知识点反馈数据结构设计</t>
  </si>
  <si>
    <t>知识点质量数据库设计</t>
  </si>
  <si>
    <t>搜索意图分析</t>
    <phoneticPr fontId="2" type="noConversion"/>
  </si>
  <si>
    <t>Query预处理</t>
    <phoneticPr fontId="2" type="noConversion"/>
  </si>
  <si>
    <t>文件检索系统</t>
    <rPh sb="0" eb="1">
      <t>wen'jian</t>
    </rPh>
    <rPh sb="2" eb="3">
      <t>jm'so'fu'wu</t>
    </rPh>
    <rPh sb="4" eb="5">
      <t>xi'tong</t>
    </rPh>
    <phoneticPr fontId="2" type="noConversion"/>
  </si>
  <si>
    <t>关联推荐</t>
    <rPh sb="0" eb="1">
      <t>guan'lian'tui'jian</t>
    </rPh>
    <phoneticPr fontId="2" type="noConversion"/>
  </si>
  <si>
    <t>语义分析</t>
    <rPh sb="0" eb="1">
      <t>yu'yi'fen'xi</t>
    </rPh>
    <phoneticPr fontId="2" type="noConversion"/>
  </si>
  <si>
    <t>基建资源规划</t>
    <rPh sb="0" eb="1">
      <t>ji'jian</t>
    </rPh>
    <rPh sb="2" eb="3">
      <t>zi'yuan</t>
    </rPh>
    <rPh sb="4" eb="5">
      <t>gui'hua</t>
    </rPh>
    <phoneticPr fontId="2" type="noConversion"/>
  </si>
  <si>
    <t>需求确认</t>
    <rPh sb="0" eb="1">
      <t>xu'qiu</t>
    </rPh>
    <rPh sb="2" eb="3">
      <t>que'ren</t>
    </rPh>
    <phoneticPr fontId="2" type="noConversion"/>
  </si>
  <si>
    <t>收集功能需求,业务量级,增长预期等业务规划;集合研发技术包线,确认技术上层起点.并确定资源集和中间件服务集</t>
    <rPh sb="0" eb="1">
      <t>shou'ji</t>
    </rPh>
    <rPh sb="2" eb="3">
      <t>gong'neng</t>
    </rPh>
    <rPh sb="4" eb="5">
      <t>xu'qiu</t>
    </rPh>
    <rPh sb="7" eb="8">
      <t>ye'wu</t>
    </rPh>
    <rPh sb="9" eb="10">
      <t>liang'ji</t>
    </rPh>
    <rPh sb="12" eb="13">
      <t>zeng'zhang</t>
    </rPh>
    <rPh sb="14" eb="15">
      <t>yu'qi</t>
    </rPh>
    <rPh sb="16" eb="17">
      <t>deng</t>
    </rPh>
    <rPh sb="17" eb="18">
      <t>ye'wu</t>
    </rPh>
    <rPh sb="19" eb="20">
      <t>gui'hua</t>
    </rPh>
    <rPh sb="22" eb="23">
      <t>ji'he</t>
    </rPh>
    <rPh sb="24" eb="25">
      <t>yan'fa</t>
    </rPh>
    <rPh sb="26" eb="27">
      <t>ji'shu</t>
    </rPh>
    <rPh sb="28" eb="29">
      <t>bao'xian</t>
    </rPh>
    <rPh sb="29" eb="30">
      <t>xian</t>
    </rPh>
    <rPh sb="31" eb="32">
      <t>que'ren</t>
    </rPh>
    <rPh sb="33" eb="34">
      <t>ji'shu</t>
    </rPh>
    <rPh sb="35" eb="36">
      <t>shang'ceng</t>
    </rPh>
    <rPh sb="37" eb="38">
      <t>qi'dian</t>
    </rPh>
    <rPh sb="40" eb="41">
      <t>bing</t>
    </rPh>
    <rPh sb="41" eb="42">
      <t>que'ding</t>
    </rPh>
    <rPh sb="43" eb="44">
      <t>zi'yuan'ji'he</t>
    </rPh>
    <rPh sb="46" eb="47">
      <t>he</t>
    </rPh>
    <rPh sb="47" eb="48">
      <t>zhong'jian'jian</t>
    </rPh>
    <rPh sb="50" eb="51">
      <t>fu'wu</t>
    </rPh>
    <rPh sb="52" eb="53">
      <t>ji'he</t>
    </rPh>
    <phoneticPr fontId="2" type="noConversion"/>
  </si>
  <si>
    <t>中间件选型</t>
    <rPh sb="0" eb="1">
      <t>zhong'jian'jian</t>
    </rPh>
    <rPh sb="3" eb="4">
      <t>xuan'xing</t>
    </rPh>
    <phoneticPr fontId="2" type="noConversion"/>
  </si>
  <si>
    <t>测试并挑选适用的中间件以及版本</t>
    <rPh sb="0" eb="1">
      <t>ce'shi</t>
    </rPh>
    <rPh sb="2" eb="3">
      <t>bing</t>
    </rPh>
    <rPh sb="3" eb="4">
      <t>tiao'xuan</t>
    </rPh>
    <rPh sb="5" eb="6">
      <t>shi'yong</t>
    </rPh>
    <rPh sb="7" eb="8">
      <t>de</t>
    </rPh>
    <rPh sb="8" eb="9">
      <t>zhong'jian'jian</t>
    </rPh>
    <rPh sb="11" eb="12">
      <t>yi'ji</t>
    </rPh>
    <rPh sb="13" eb="14">
      <t>ban'ben</t>
    </rPh>
    <phoneticPr fontId="2" type="noConversion"/>
  </si>
  <si>
    <t>基建服务商选型</t>
    <rPh sb="0" eb="1">
      <t>ji'jian</t>
    </rPh>
    <rPh sb="2" eb="3">
      <t>fu'w</t>
    </rPh>
    <rPh sb="4" eb="5">
      <t>shang</t>
    </rPh>
    <rPh sb="5" eb="6">
      <t>xuan'xing</t>
    </rPh>
    <phoneticPr fontId="2" type="noConversion"/>
  </si>
  <si>
    <t>测试并挑选基建服务商</t>
    <rPh sb="0" eb="1">
      <t>ce'shi</t>
    </rPh>
    <rPh sb="2" eb="3">
      <t>bing</t>
    </rPh>
    <rPh sb="3" eb="4">
      <t>tiao'xuan</t>
    </rPh>
    <rPh sb="5" eb="6">
      <t>ji'jian</t>
    </rPh>
    <rPh sb="7" eb="8">
      <t>fu'wu'shang</t>
    </rPh>
    <phoneticPr fontId="2" type="noConversion"/>
  </si>
  <si>
    <t>预算确认</t>
    <rPh sb="0" eb="1">
      <t>yu'suan</t>
    </rPh>
    <rPh sb="2" eb="3">
      <t>que'ren</t>
    </rPh>
    <phoneticPr fontId="2" type="noConversion"/>
  </si>
  <si>
    <t>依据中间件集和资源集,结合测试结果和业务预期,规划预算并完成论证</t>
    <rPh sb="0" eb="1">
      <t>yi'ju</t>
    </rPh>
    <rPh sb="2" eb="3">
      <t>zhong'jian'jian</t>
    </rPh>
    <rPh sb="5" eb="6">
      <t>ji'he</t>
    </rPh>
    <rPh sb="6" eb="7">
      <t>he</t>
    </rPh>
    <rPh sb="7" eb="8">
      <t>zi'yuan</t>
    </rPh>
    <rPh sb="9" eb="10">
      <t>ji'he</t>
    </rPh>
    <rPh sb="11" eb="12">
      <t>jie'he</t>
    </rPh>
    <rPh sb="13" eb="14">
      <t>ce'shi</t>
    </rPh>
    <rPh sb="15" eb="16">
      <t>jie'guo</t>
    </rPh>
    <rPh sb="17" eb="18">
      <t>he</t>
    </rPh>
    <rPh sb="18" eb="19">
      <t>ye'wu</t>
    </rPh>
    <rPh sb="20" eb="21">
      <t>yu'qi</t>
    </rPh>
    <rPh sb="23" eb="24">
      <t>gui'hua</t>
    </rPh>
    <rPh sb="25" eb="26">
      <t>yu'suan</t>
    </rPh>
    <rPh sb="27" eb="28">
      <t>bing</t>
    </rPh>
    <rPh sb="28" eb="29">
      <t>wan'cheng</t>
    </rPh>
    <rPh sb="30" eb="31">
      <t>lun'zheng</t>
    </rPh>
    <phoneticPr fontId="2" type="noConversion"/>
  </si>
  <si>
    <t>环境部署</t>
    <rPh sb="0" eb="1">
      <t>huan'jing</t>
    </rPh>
    <rPh sb="2" eb="3">
      <t>bu'shu</t>
    </rPh>
    <phoneticPr fontId="2" type="noConversion"/>
  </si>
  <si>
    <t>部署方案论证</t>
    <rPh sb="0" eb="1">
      <t>bu'shu</t>
    </rPh>
    <rPh sb="2" eb="3">
      <t>fang'an</t>
    </rPh>
    <rPh sb="4" eb="5">
      <t>lun'zheng</t>
    </rPh>
    <phoneticPr fontId="2" type="noConversion"/>
  </si>
  <si>
    <t>论证开发,生产等环境部署方案</t>
    <rPh sb="0" eb="1">
      <t>lun'zheng</t>
    </rPh>
    <rPh sb="2" eb="3">
      <t>kai'fa</t>
    </rPh>
    <rPh sb="5" eb="6">
      <t>sheng'c</t>
    </rPh>
    <rPh sb="7" eb="8">
      <t>deng</t>
    </rPh>
    <rPh sb="8" eb="9">
      <t>huan'jing</t>
    </rPh>
    <rPh sb="10" eb="11">
      <t>bu'shu</t>
    </rPh>
    <rPh sb="12" eb="13">
      <t>fang'an</t>
    </rPh>
    <phoneticPr fontId="2" type="noConversion"/>
  </si>
  <si>
    <t>环境镜像制作</t>
    <rPh sb="0" eb="1">
      <t>huan'jing</t>
    </rPh>
    <rPh sb="2" eb="3">
      <t>jing'xiang</t>
    </rPh>
    <rPh sb="4" eb="5">
      <t>zhi'zuo</t>
    </rPh>
    <phoneticPr fontId="2" type="noConversion"/>
  </si>
  <si>
    <t>依据论证方案构建环境标准镜像</t>
    <rPh sb="0" eb="1">
      <t>yi'ju</t>
    </rPh>
    <rPh sb="2" eb="3">
      <t>lun'zheng</t>
    </rPh>
    <rPh sb="4" eb="5">
      <t>fang'an</t>
    </rPh>
    <rPh sb="6" eb="7">
      <t>gou'jian</t>
    </rPh>
    <rPh sb="8" eb="9">
      <t>huan'jing</t>
    </rPh>
    <rPh sb="10" eb="11">
      <t>biao'zhun</t>
    </rPh>
    <rPh sb="12" eb="13">
      <t>jing'xiang</t>
    </rPh>
    <phoneticPr fontId="2" type="noConversion"/>
  </si>
  <si>
    <t>开发环境</t>
    <rPh sb="0" eb="1">
      <t>kai'fa</t>
    </rPh>
    <rPh sb="2" eb="3">
      <t>huan'jing</t>
    </rPh>
    <phoneticPr fontId="2" type="noConversion"/>
  </si>
  <si>
    <t>依据论证方案部署开发环境</t>
    <rPh sb="0" eb="1">
      <t>yi'ju</t>
    </rPh>
    <rPh sb="2" eb="3">
      <t>lun'zheng</t>
    </rPh>
    <rPh sb="4" eb="5">
      <t>fang'an</t>
    </rPh>
    <rPh sb="6" eb="7">
      <t>bu'shu</t>
    </rPh>
    <rPh sb="8" eb="9">
      <t>kai'fa</t>
    </rPh>
    <rPh sb="10" eb="11">
      <t>huan'jing</t>
    </rPh>
    <phoneticPr fontId="2" type="noConversion"/>
  </si>
  <si>
    <t>预发环境</t>
    <rPh sb="0" eb="1">
      <t>yu'fa</t>
    </rPh>
    <rPh sb="2" eb="3">
      <t>huan'jing</t>
    </rPh>
    <phoneticPr fontId="2" type="noConversion"/>
  </si>
  <si>
    <t>依据论证方案部署预发环境</t>
    <rPh sb="0" eb="1">
      <t>yi'ju</t>
    </rPh>
    <rPh sb="2" eb="3">
      <t>lun'zheng</t>
    </rPh>
    <rPh sb="4" eb="5">
      <t>fang'an</t>
    </rPh>
    <rPh sb="6" eb="7">
      <t>bu'shu</t>
    </rPh>
    <rPh sb="8" eb="9">
      <t>yu'fa</t>
    </rPh>
    <rPh sb="10" eb="11">
      <t>huan'jing</t>
    </rPh>
    <phoneticPr fontId="2" type="noConversion"/>
  </si>
  <si>
    <t>生产环境</t>
    <rPh sb="0" eb="1">
      <t>sheng'c</t>
    </rPh>
    <rPh sb="2" eb="3">
      <t>huan'jing</t>
    </rPh>
    <phoneticPr fontId="2" type="noConversion"/>
  </si>
  <si>
    <t>依据论证方案部署生产环境</t>
    <rPh sb="0" eb="1">
      <t>yi'ju</t>
    </rPh>
    <rPh sb="2" eb="3">
      <t>lun'zheng</t>
    </rPh>
    <rPh sb="4" eb="5">
      <t>fang'an</t>
    </rPh>
    <rPh sb="6" eb="7">
      <t>bu'shu</t>
    </rPh>
    <rPh sb="8" eb="9">
      <t>sheng'c</t>
    </rPh>
    <rPh sb="10" eb="11">
      <t>huan'jing</t>
    </rPh>
    <phoneticPr fontId="2" type="noConversion"/>
  </si>
  <si>
    <t>CMDB资源管理系统</t>
    <rPh sb="4" eb="5">
      <t>zi'yuan</t>
    </rPh>
    <rPh sb="6" eb="7">
      <t>guan'li</t>
    </rPh>
    <rPh sb="8" eb="9">
      <t>xi'tong</t>
    </rPh>
    <phoneticPr fontId="2" type="noConversion"/>
  </si>
  <si>
    <t>配置管理系统部署</t>
    <rPh sb="0" eb="1">
      <t>pei'zhi</t>
    </rPh>
    <rPh sb="2" eb="3">
      <t>guan'li</t>
    </rPh>
    <rPh sb="4" eb="5">
      <t>xi'tong</t>
    </rPh>
    <rPh sb="6" eb="7">
      <t>bu'shu</t>
    </rPh>
    <phoneticPr fontId="2" type="noConversion"/>
  </si>
  <si>
    <t>运维管理系统</t>
    <rPh sb="0" eb="1">
      <t>yun'wei</t>
    </rPh>
    <rPh sb="2" eb="3">
      <t>guan'li</t>
    </rPh>
    <rPh sb="4" eb="5">
      <t>xi'tong</t>
    </rPh>
    <phoneticPr fontId="2" type="noConversion"/>
  </si>
  <si>
    <t>监控系统</t>
    <rPh sb="0" eb="1">
      <t>jian'kong</t>
    </rPh>
    <rPh sb="2" eb="3">
      <t>xi'tong</t>
    </rPh>
    <phoneticPr fontId="2" type="noConversion"/>
  </si>
  <si>
    <t>审计系统</t>
    <rPh sb="0" eb="1">
      <t>shen'ji</t>
    </rPh>
    <rPh sb="2" eb="3">
      <t>xi'tong</t>
    </rPh>
    <phoneticPr fontId="2" type="noConversion"/>
  </si>
  <si>
    <t>访问行为控制系统</t>
    <rPh sb="0" eb="1">
      <t>fang'wen</t>
    </rPh>
    <rPh sb="2" eb="3">
      <t>xing'wei</t>
    </rPh>
    <rPh sb="4" eb="5">
      <t>kong'zhi</t>
    </rPh>
    <rPh sb="6" eb="7">
      <t>xi'tong</t>
    </rPh>
    <phoneticPr fontId="2" type="noConversion"/>
  </si>
  <si>
    <t>堡垒主机系统</t>
    <rPh sb="0" eb="1">
      <t>bao'lei</t>
    </rPh>
    <rPh sb="2" eb="3">
      <t>zhu'ji</t>
    </rPh>
    <rPh sb="4" eb="5">
      <t>xi'tong</t>
    </rPh>
    <phoneticPr fontId="2" type="noConversion"/>
  </si>
  <si>
    <t>环境加固</t>
    <rPh sb="0" eb="1">
      <t>huan'jing</t>
    </rPh>
    <rPh sb="2" eb="3">
      <t>jia'gu</t>
    </rPh>
    <phoneticPr fontId="2" type="noConversion"/>
  </si>
  <si>
    <t>生产环持久境稳定性压测</t>
    <rPh sb="0" eb="1">
      <t>sheng'c</t>
    </rPh>
    <rPh sb="2" eb="3">
      <t>huan'jing</t>
    </rPh>
    <rPh sb="3" eb="4">
      <t>chi'jiu</t>
    </rPh>
    <rPh sb="6" eb="7">
      <t>wen'ding'xing</t>
    </rPh>
    <rPh sb="9" eb="10">
      <t>ya'ce</t>
    </rPh>
    <phoneticPr fontId="2" type="noConversion"/>
  </si>
  <si>
    <t>灾备系统部署</t>
    <rPh sb="0" eb="1">
      <t>zai'bei</t>
    </rPh>
    <rPh sb="2" eb="3">
      <t>xi'tong</t>
    </rPh>
    <rPh sb="4" eb="5">
      <t>bu'shu</t>
    </rPh>
    <phoneticPr fontId="2" type="noConversion"/>
  </si>
  <si>
    <t>网络流量分析系统</t>
    <rPh sb="0" eb="1">
      <t>wang'luo</t>
    </rPh>
    <rPh sb="2" eb="3">
      <t>liu'liang</t>
    </rPh>
    <rPh sb="4" eb="5">
      <t>fen'xi</t>
    </rPh>
    <rPh sb="6" eb="7">
      <t>xi'tong</t>
    </rPh>
    <phoneticPr fontId="2" type="noConversion"/>
  </si>
  <si>
    <t>网络访问策略管理系统</t>
    <rPh sb="0" eb="1">
      <t>wang'luo</t>
    </rPh>
    <rPh sb="2" eb="3">
      <t>fang'wen</t>
    </rPh>
    <rPh sb="4" eb="5">
      <t>ce'lue</t>
    </rPh>
    <rPh sb="6" eb="7">
      <t>guan'li</t>
    </rPh>
    <rPh sb="8" eb="9">
      <t>xi'tong</t>
    </rPh>
    <phoneticPr fontId="2" type="noConversion"/>
  </si>
  <si>
    <t>全链路联调</t>
    <rPh sb="0" eb="1">
      <t>quan</t>
    </rPh>
    <rPh sb="1" eb="2">
      <t>lian'lu</t>
    </rPh>
    <rPh sb="3" eb="4">
      <t>lian'tiao</t>
    </rPh>
    <phoneticPr fontId="2" type="noConversion"/>
  </si>
  <si>
    <t>联调研发到运营,技术到维护的全业务覆盖.</t>
    <rPh sb="0" eb="1">
      <t>lian'tiao</t>
    </rPh>
    <rPh sb="2" eb="3">
      <t>yan'fa</t>
    </rPh>
    <rPh sb="4" eb="5">
      <t>dao</t>
    </rPh>
    <rPh sb="5" eb="6">
      <t>yun'ying</t>
    </rPh>
    <rPh sb="8" eb="9">
      <t>ji'shu</t>
    </rPh>
    <rPh sb="10" eb="11">
      <t>dao</t>
    </rPh>
    <rPh sb="11" eb="12">
      <t>wei'hu</t>
    </rPh>
    <rPh sb="13" eb="14">
      <t>de</t>
    </rPh>
    <rPh sb="14" eb="15">
      <t>quan'ye'wu</t>
    </rPh>
    <rPh sb="17" eb="18">
      <t>fu'gai</t>
    </rPh>
    <phoneticPr fontId="2" type="noConversion"/>
  </si>
  <si>
    <t>文档整理</t>
    <rPh sb="0" eb="1">
      <t>wen'dang</t>
    </rPh>
    <rPh sb="2" eb="3">
      <t>zheng'li</t>
    </rPh>
    <phoneticPr fontId="2" type="noConversion"/>
  </si>
  <si>
    <t>部署文档</t>
    <rPh sb="0" eb="1">
      <t>bu'shu</t>
    </rPh>
    <rPh sb="2" eb="3">
      <t>wen'dang</t>
    </rPh>
    <phoneticPr fontId="2" type="noConversion"/>
  </si>
  <si>
    <t>编写各个功能模块的部署文档</t>
    <rPh sb="0" eb="1">
      <t>bian'xie</t>
    </rPh>
    <rPh sb="2" eb="3">
      <t>ge'ge</t>
    </rPh>
    <rPh sb="4" eb="5">
      <t>gong'neng</t>
    </rPh>
    <rPh sb="6" eb="7">
      <t>mo'kuai</t>
    </rPh>
    <rPh sb="8" eb="9">
      <t>de</t>
    </rPh>
    <rPh sb="9" eb="10">
      <t>bu'shu</t>
    </rPh>
    <rPh sb="11" eb="12">
      <t>wen'dang</t>
    </rPh>
    <phoneticPr fontId="2" type="noConversion"/>
  </si>
  <si>
    <t>运维文档</t>
    <rPh sb="0" eb="1">
      <t>yun'wei</t>
    </rPh>
    <rPh sb="2" eb="3">
      <t>wen'dang</t>
    </rPh>
    <phoneticPr fontId="2" type="noConversion"/>
  </si>
  <si>
    <t>编写各个功能模块的运维文档</t>
    <rPh sb="0" eb="1">
      <t>bian'xie</t>
    </rPh>
    <rPh sb="2" eb="3">
      <t>ge'ge</t>
    </rPh>
    <rPh sb="4" eb="5">
      <t>gong'negn</t>
    </rPh>
    <rPh sb="6" eb="7">
      <t>mo'kuai</t>
    </rPh>
    <rPh sb="8" eb="9">
      <t>de</t>
    </rPh>
    <rPh sb="9" eb="10">
      <t>yun'wei</t>
    </rPh>
    <rPh sb="11" eb="12">
      <t>wen'dang</t>
    </rPh>
    <phoneticPr fontId="2" type="noConversion"/>
  </si>
  <si>
    <t>日常维护</t>
    <rPh sb="0" eb="1">
      <t>ri'chang</t>
    </rPh>
    <rPh sb="2" eb="3">
      <t>wei'hu</t>
    </rPh>
    <phoneticPr fontId="2" type="noConversion"/>
  </si>
  <si>
    <t>环境维护</t>
    <rPh sb="0" eb="1">
      <t>huan'jing</t>
    </rPh>
    <rPh sb="2" eb="3">
      <t>wei'hu</t>
    </rPh>
    <phoneticPr fontId="2" type="noConversion"/>
  </si>
  <si>
    <t>维护系统,定期升级中间件等服务.</t>
    <rPh sb="0" eb="1">
      <t>wei'hu</t>
    </rPh>
    <rPh sb="2" eb="3">
      <t>xi'tong</t>
    </rPh>
    <rPh sb="5" eb="6">
      <t>ding'qi</t>
    </rPh>
    <rPh sb="7" eb="8">
      <t>sheng'ji</t>
    </rPh>
    <rPh sb="9" eb="10">
      <t>zhong'jian'jian</t>
    </rPh>
    <rPh sb="12" eb="13">
      <t>deng</t>
    </rPh>
    <rPh sb="13" eb="14">
      <t>fu'wu'q</t>
    </rPh>
    <phoneticPr fontId="2" type="noConversion"/>
  </si>
  <si>
    <t>文档维护</t>
    <rPh sb="0" eb="1">
      <t>wen'dang</t>
    </rPh>
    <rPh sb="2" eb="3">
      <t>wei'hu</t>
    </rPh>
    <phoneticPr fontId="2" type="noConversion"/>
  </si>
  <si>
    <t>更新迭代部署和运维文档</t>
    <rPh sb="0" eb="1">
      <t>geng'xin</t>
    </rPh>
    <rPh sb="2" eb="3">
      <t>die'dai</t>
    </rPh>
    <rPh sb="4" eb="5">
      <t>bu'shu</t>
    </rPh>
    <rPh sb="6" eb="7">
      <t>he</t>
    </rPh>
    <rPh sb="7" eb="8">
      <t>yun'wei</t>
    </rPh>
    <rPh sb="9" eb="10">
      <t>wen'dang</t>
    </rPh>
    <phoneticPr fontId="2" type="noConversion"/>
  </si>
  <si>
    <t>系统优化</t>
    <rPh sb="0" eb="1">
      <t>xi'tong</t>
    </rPh>
    <rPh sb="2" eb="3">
      <t>you'hua</t>
    </rPh>
    <phoneticPr fontId="2" type="noConversion"/>
  </si>
  <si>
    <t>定期依据业务情况调整和优化架构,系统等</t>
    <rPh sb="0" eb="1">
      <t>ding'qi</t>
    </rPh>
    <rPh sb="2" eb="3">
      <t>yi'ju</t>
    </rPh>
    <rPh sb="4" eb="5">
      <t>ye'wu</t>
    </rPh>
    <rPh sb="6" eb="7">
      <t>qing'k</t>
    </rPh>
    <rPh sb="8" eb="9">
      <t>tiao'zheng</t>
    </rPh>
    <rPh sb="10" eb="11">
      <t>he</t>
    </rPh>
    <rPh sb="11" eb="12">
      <t>you'hua</t>
    </rPh>
    <rPh sb="13" eb="14">
      <t>jia'gou</t>
    </rPh>
    <rPh sb="16" eb="17">
      <t>xi'tong</t>
    </rPh>
    <rPh sb="18" eb="19">
      <t>deng</t>
    </rPh>
    <phoneticPr fontId="2" type="noConversion"/>
  </si>
  <si>
    <t>文档处理模块UX设计</t>
    <phoneticPr fontId="2" type="noConversion"/>
  </si>
  <si>
    <t>清洗规则定义</t>
    <phoneticPr fontId="2" type="noConversion"/>
  </si>
  <si>
    <t>清洗引擎设计与实现</t>
    <phoneticPr fontId="2" type="noConversion"/>
  </si>
  <si>
    <t>数据清洗成纯文本</t>
    <phoneticPr fontId="2" type="noConversion"/>
  </si>
  <si>
    <t>关键词无监督算法实现</t>
    <phoneticPr fontId="2" type="noConversion"/>
  </si>
  <si>
    <r>
      <t>Topic Model</t>
    </r>
    <r>
      <rPr>
        <sz val="9"/>
        <color rgb="FF1A1A1A"/>
        <rFont val="宋体"/>
        <family val="3"/>
        <charset val="134"/>
      </rPr>
      <t>实现</t>
    </r>
    <phoneticPr fontId="2" type="noConversion"/>
  </si>
  <si>
    <t>统计模型翻译</t>
    <phoneticPr fontId="2" type="noConversion"/>
  </si>
  <si>
    <t>RAKE模型计算</t>
    <phoneticPr fontId="2" type="noConversion"/>
  </si>
  <si>
    <t>文档分类模型构建</t>
    <phoneticPr fontId="2" type="noConversion"/>
  </si>
  <si>
    <t>文档处理模块后台实现</t>
    <phoneticPr fontId="2" type="noConversion"/>
  </si>
  <si>
    <t>文档处理模块存储实现</t>
    <phoneticPr fontId="2" type="noConversion"/>
  </si>
  <si>
    <t>文档处理模块自动化实现</t>
    <phoneticPr fontId="2" type="noConversion"/>
  </si>
  <si>
    <t>文档处理模块批处理设计</t>
    <phoneticPr fontId="2" type="noConversion"/>
  </si>
  <si>
    <t>文档处理模块批处理实现</t>
    <phoneticPr fontId="2" type="noConversion"/>
  </si>
  <si>
    <t>文档处理模块外部接口设计</t>
    <phoneticPr fontId="2" type="noConversion"/>
  </si>
  <si>
    <t>文档处理模块外部接口实现</t>
    <phoneticPr fontId="2" type="noConversion"/>
  </si>
  <si>
    <t>文档处理模块的登录系统设计</t>
    <phoneticPr fontId="2" type="noConversion"/>
  </si>
  <si>
    <t>文档处理模块的登录系统实现</t>
    <phoneticPr fontId="2" type="noConversion"/>
  </si>
  <si>
    <t>文档处理模块的权限系统实现</t>
    <phoneticPr fontId="2" type="noConversion"/>
  </si>
  <si>
    <t>创建标记库</t>
    <phoneticPr fontId="2" type="noConversion"/>
  </si>
  <si>
    <t>笔记库检索</t>
    <phoneticPr fontId="2" type="noConversion"/>
  </si>
  <si>
    <t>文档Bayes分类</t>
    <phoneticPr fontId="2" type="noConversion"/>
  </si>
  <si>
    <t>word文件的读取</t>
    <phoneticPr fontId="2" type="noConversion"/>
  </si>
  <si>
    <t>word文件版本判断</t>
    <phoneticPr fontId="2" type="noConversion"/>
  </si>
  <si>
    <t>pdf文件读取</t>
    <phoneticPr fontId="2" type="noConversion"/>
  </si>
  <si>
    <t>pdf文件版本判断</t>
    <phoneticPr fontId="2" type="noConversion"/>
  </si>
  <si>
    <t>pdf文件xml转换</t>
    <phoneticPr fontId="2" type="noConversion"/>
  </si>
  <si>
    <t>word文件xml转换</t>
    <phoneticPr fontId="2" type="noConversion"/>
  </si>
  <si>
    <t>xml 分析</t>
    <phoneticPr fontId="2" type="noConversion"/>
  </si>
  <si>
    <t>建立文本索引</t>
    <phoneticPr fontId="2" type="noConversion"/>
  </si>
  <si>
    <t>计算文本权重</t>
    <phoneticPr fontId="2" type="noConversion"/>
  </si>
  <si>
    <t>权重排序</t>
    <phoneticPr fontId="2" type="noConversion"/>
  </si>
  <si>
    <t>文本字符集转化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</si>
</sst>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 * #,##0_ ;_ * \-#,##0_ ;_ * &quot;-&quot;_ ;_ @_ "/>
    <numFmt numFmtId="43" formatCode="_ * #,##0.00_ ;_ * \-#,##0.00_ ;_ * &quot;-&quot;??_ ;_ @_ "/>
    <numFmt numFmtId="176" formatCode="_ * #,##0_ ;_ * \-#,##0_ ;_ * &quot;-&quot;??_ ;_ @_ "/>
    <numFmt numFmtId="177" formatCode="0_ "/>
    <numFmt numFmtId="178" formatCode="0.00_ "/>
    <numFmt numFmtId="179" formatCode="0.00_);[Red]\(0.00\)"/>
    <numFmt numFmtId="180" formatCode="0_);[Red]\(0\)"/>
    <numFmt numFmtId="181" formatCode="0.00&quot; &quot;"/>
    <numFmt numFmtId="182" formatCode="0.00&quot; &quot;;\(0.00\)"/>
  </numFmts>
  <fonts count="25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DengXian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0"/>
      <name val="宋体"/>
      <family val="3"/>
      <charset val="134"/>
    </font>
    <font>
      <i/>
      <sz val="9"/>
      <name val="宋体"/>
      <family val="3"/>
      <charset val="134"/>
    </font>
    <font>
      <i/>
      <sz val="9"/>
      <color theme="4"/>
      <name val="宋体"/>
      <family val="3"/>
      <charset val="134"/>
    </font>
    <font>
      <i/>
      <sz val="10"/>
      <color theme="4"/>
      <name val="宋体"/>
      <family val="3"/>
      <charset val="134"/>
    </font>
    <font>
      <b/>
      <i/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color theme="1"/>
      <name val="DengXian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theme="1"/>
      <name val="DengXian"/>
      <family val="3"/>
      <charset val="134"/>
      <scheme val="minor"/>
    </font>
    <font>
      <sz val="10"/>
      <color theme="1"/>
      <name val="宋体"/>
      <family val="3"/>
      <charset val="134"/>
    </font>
    <font>
      <sz val="12"/>
      <name val="DengXian"/>
      <family val="3"/>
      <charset val="134"/>
      <scheme val="minor"/>
    </font>
    <font>
      <sz val="12"/>
      <color theme="1"/>
      <name val="宋体"/>
      <family val="3"/>
      <charset val="134"/>
    </font>
    <font>
      <sz val="10"/>
      <color theme="1"/>
      <name val="Helvetica Neue"/>
    </font>
    <font>
      <i/>
      <sz val="10"/>
      <color theme="1"/>
      <name val="宋体"/>
      <family val="3"/>
      <charset val="134"/>
    </font>
    <font>
      <sz val="9"/>
      <color rgb="FF1A1A1A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auto="1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8"/>
      </bottom>
      <diagonal/>
    </border>
  </borders>
  <cellStyleXfs count="5">
    <xf numFmtId="0" fontId="0" fillId="0" borderId="0">
      <alignment vertical="center"/>
    </xf>
    <xf numFmtId="0" fontId="1" fillId="0" borderId="0"/>
    <xf numFmtId="43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57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0" borderId="0" xfId="0" applyFont="1" applyAlignment="1"/>
    <xf numFmtId="0" fontId="7" fillId="4" borderId="1" xfId="1" applyFont="1" applyFill="1" applyBorder="1" applyAlignment="1">
      <alignment horizontal="center" vertical="center"/>
    </xf>
    <xf numFmtId="0" fontId="6" fillId="0" borderId="1" xfId="0" applyFont="1" applyBorder="1" applyAlignment="1"/>
    <xf numFmtId="177" fontId="6" fillId="0" borderId="1" xfId="1" applyNumberFormat="1" applyFont="1" applyFill="1" applyBorder="1" applyAlignment="1">
      <alignment vertical="center" wrapText="1"/>
    </xf>
    <xf numFmtId="41" fontId="6" fillId="2" borderId="1" xfId="0" applyNumberFormat="1" applyFont="1" applyFill="1" applyBorder="1" applyAlignment="1"/>
    <xf numFmtId="0" fontId="6" fillId="0" borderId="0" xfId="0" applyFont="1" applyFill="1" applyBorder="1" applyAlignment="1">
      <alignment horizontal="left" vertical="center"/>
    </xf>
    <xf numFmtId="0" fontId="7" fillId="4" borderId="1" xfId="1" applyFont="1" applyFill="1" applyBorder="1" applyAlignment="1">
      <alignment horizontal="center" vertical="center"/>
    </xf>
    <xf numFmtId="0" fontId="8" fillId="0" borderId="8" xfId="0" applyFont="1" applyBorder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7" fillId="4" borderId="1" xfId="0" applyFont="1" applyFill="1" applyBorder="1" applyAlignment="1"/>
    <xf numFmtId="0" fontId="6" fillId="0" borderId="0" xfId="0" applyFont="1" applyProtection="1">
      <alignment vertical="center"/>
      <protection locked="0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alignment vertical="center"/>
      <protection hidden="1"/>
    </xf>
    <xf numFmtId="41" fontId="6" fillId="2" borderId="1" xfId="1" applyNumberFormat="1" applyFont="1" applyFill="1" applyBorder="1" applyAlignment="1">
      <alignment horizontal="right" vertical="center" wrapText="1"/>
    </xf>
    <xf numFmtId="41" fontId="6" fillId="2" borderId="1" xfId="0" applyNumberFormat="1" applyFont="1" applyFill="1" applyBorder="1" applyAlignment="1">
      <alignment horizontal="right"/>
    </xf>
    <xf numFmtId="0" fontId="7" fillId="4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horizontal="left" vertical="top" wrapText="1"/>
    </xf>
    <xf numFmtId="0" fontId="12" fillId="3" borderId="6" xfId="0" applyFont="1" applyFill="1" applyBorder="1" applyAlignment="1" applyProtection="1">
      <alignment horizontal="left" vertical="top" wrapText="1"/>
      <protection hidden="1"/>
    </xf>
    <xf numFmtId="0" fontId="14" fillId="3" borderId="7" xfId="0" applyFont="1" applyFill="1" applyBorder="1" applyAlignment="1">
      <alignment horizontal="left" vertical="top" wrapText="1"/>
    </xf>
    <xf numFmtId="0" fontId="12" fillId="3" borderId="7" xfId="0" applyFont="1" applyFill="1" applyBorder="1" applyAlignment="1">
      <alignment horizontal="left" vertical="top" wrapText="1"/>
    </xf>
    <xf numFmtId="0" fontId="3" fillId="4" borderId="1" xfId="0" applyFont="1" applyFill="1" applyBorder="1" applyAlignment="1" applyProtection="1">
      <alignment horizontal="center" vertical="center" wrapText="1"/>
      <protection hidden="1"/>
    </xf>
    <xf numFmtId="178" fontId="10" fillId="4" borderId="1" xfId="0" applyNumberFormat="1" applyFont="1" applyFill="1" applyBorder="1" applyAlignment="1">
      <alignment horizontal="left" vertical="center" wrapText="1"/>
    </xf>
    <xf numFmtId="178" fontId="13" fillId="3" borderId="5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3" fillId="4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3" borderId="1" xfId="0" applyFont="1" applyFill="1" applyBorder="1" applyAlignment="1" applyProtection="1">
      <alignment horizontal="left" vertical="top" wrapText="1"/>
      <protection locked="0"/>
    </xf>
    <xf numFmtId="178" fontId="0" fillId="0" borderId="0" xfId="0" applyNumberFormat="1" applyAlignment="1">
      <alignment horizontal="left" vertical="center"/>
    </xf>
    <xf numFmtId="179" fontId="10" fillId="4" borderId="1" xfId="0" applyNumberFormat="1" applyFont="1" applyFill="1" applyBorder="1" applyAlignment="1">
      <alignment horizontal="left" vertical="center" wrapText="1"/>
    </xf>
    <xf numFmtId="179" fontId="13" fillId="3" borderId="5" xfId="0" applyNumberFormat="1" applyFont="1" applyFill="1" applyBorder="1" applyAlignment="1">
      <alignment horizontal="left" vertical="top" wrapText="1"/>
    </xf>
    <xf numFmtId="178" fontId="13" fillId="3" borderId="7" xfId="0" applyNumberFormat="1" applyFont="1" applyFill="1" applyBorder="1" applyAlignment="1">
      <alignment horizontal="left" vertical="top" wrapText="1"/>
    </xf>
    <xf numFmtId="178" fontId="15" fillId="2" borderId="1" xfId="0" applyNumberFormat="1" applyFont="1" applyFill="1" applyBorder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178" fontId="15" fillId="0" borderId="1" xfId="0" applyNumberFormat="1" applyFont="1" applyBorder="1" applyAlignment="1">
      <alignment horizontal="left" vertical="center"/>
    </xf>
    <xf numFmtId="0" fontId="15" fillId="2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0" xfId="0" applyFont="1">
      <alignment vertical="center"/>
    </xf>
    <xf numFmtId="0" fontId="15" fillId="0" borderId="1" xfId="0" applyFont="1" applyBorder="1" applyAlignment="1" applyProtection="1">
      <alignment horizontal="left" vertical="center"/>
      <protection locked="0"/>
    </xf>
    <xf numFmtId="0" fontId="15" fillId="0" borderId="0" xfId="0" applyFont="1" applyAlignment="1"/>
    <xf numFmtId="0" fontId="15" fillId="0" borderId="1" xfId="0" applyFont="1" applyFill="1" applyBorder="1" applyAlignment="1">
      <alignment horizontal="left" vertical="center" wrapText="1"/>
    </xf>
    <xf numFmtId="176" fontId="15" fillId="0" borderId="1" xfId="2" applyNumberFormat="1" applyFont="1" applyFill="1" applyBorder="1" applyAlignment="1">
      <alignment horizontal="left" vertical="center"/>
    </xf>
    <xf numFmtId="176" fontId="15" fillId="2" borderId="1" xfId="0" applyNumberFormat="1" applyFont="1" applyFill="1" applyBorder="1" applyAlignment="1">
      <alignment horizontal="left" vertical="center"/>
    </xf>
    <xf numFmtId="176" fontId="16" fillId="0" borderId="0" xfId="0" applyNumberFormat="1" applyFont="1" applyAlignment="1"/>
    <xf numFmtId="0" fontId="16" fillId="0" borderId="0" xfId="0" applyFont="1" applyAlignment="1"/>
    <xf numFmtId="176" fontId="17" fillId="0" borderId="1" xfId="2" applyNumberFormat="1" applyFont="1" applyFill="1" applyBorder="1" applyAlignment="1">
      <alignment horizontal="left" vertical="center"/>
    </xf>
    <xf numFmtId="176" fontId="18" fillId="0" borderId="0" xfId="0" applyNumberFormat="1" applyFont="1" applyAlignment="1"/>
    <xf numFmtId="176" fontId="15" fillId="0" borderId="0" xfId="0" applyNumberFormat="1" applyFont="1" applyAlignment="1"/>
    <xf numFmtId="0" fontId="19" fillId="0" borderId="1" xfId="0" applyFont="1" applyFill="1" applyBorder="1" applyAlignment="1">
      <alignment horizontal="left" vertical="center" wrapText="1"/>
    </xf>
    <xf numFmtId="176" fontId="19" fillId="0" borderId="1" xfId="2" applyNumberFormat="1" applyFont="1" applyFill="1" applyBorder="1" applyAlignment="1">
      <alignment horizontal="left" vertical="center"/>
    </xf>
    <xf numFmtId="176" fontId="19" fillId="2" borderId="1" xfId="2" applyNumberFormat="1" applyFont="1" applyFill="1" applyBorder="1" applyAlignment="1">
      <alignment horizontal="left" vertical="center"/>
    </xf>
    <xf numFmtId="176" fontId="19" fillId="2" borderId="1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/>
    <xf numFmtId="0" fontId="15" fillId="2" borderId="1" xfId="0" applyFont="1" applyFill="1" applyBorder="1" applyAlignment="1">
      <alignment vertical="center"/>
    </xf>
    <xf numFmtId="180" fontId="3" fillId="4" borderId="7" xfId="0" applyNumberFormat="1" applyFont="1" applyFill="1" applyBorder="1" applyAlignment="1" applyProtection="1">
      <alignment horizontal="left" vertical="center" wrapText="1"/>
      <protection hidden="1"/>
    </xf>
    <xf numFmtId="180" fontId="15" fillId="2" borderId="1" xfId="0" applyNumberFormat="1" applyFont="1" applyFill="1" applyBorder="1" applyAlignment="1">
      <alignment horizontal="left" vertical="center"/>
    </xf>
    <xf numFmtId="180" fontId="0" fillId="0" borderId="0" xfId="0" applyNumberFormat="1" applyAlignment="1" applyProtection="1">
      <alignment horizontal="left" vertical="center"/>
      <protection hidden="1"/>
    </xf>
    <xf numFmtId="0" fontId="15" fillId="0" borderId="1" xfId="0" applyFont="1" applyBorder="1" applyAlignment="1">
      <alignment horizontal="left" vertical="center"/>
    </xf>
    <xf numFmtId="180" fontId="12" fillId="3" borderId="7" xfId="0" applyNumberFormat="1" applyFont="1" applyFill="1" applyBorder="1" applyAlignment="1" applyProtection="1">
      <alignment horizontal="left" vertical="top" wrapText="1"/>
      <protection hidden="1"/>
    </xf>
    <xf numFmtId="180" fontId="15" fillId="2" borderId="7" xfId="0" applyNumberFormat="1" applyFont="1" applyFill="1" applyBorder="1" applyAlignment="1" applyProtection="1">
      <alignment horizontal="left" vertical="center"/>
      <protection hidden="1"/>
    </xf>
    <xf numFmtId="0" fontId="11" fillId="3" borderId="6" xfId="0" applyFont="1" applyFill="1" applyBorder="1" applyAlignment="1">
      <alignment horizontal="center" vertical="top" wrapText="1"/>
    </xf>
    <xf numFmtId="0" fontId="1" fillId="0" borderId="0" xfId="0" applyFont="1" applyAlignment="1">
      <alignment vertical="top" wrapText="1"/>
    </xf>
    <xf numFmtId="178" fontId="15" fillId="2" borderId="7" xfId="0" applyNumberFormat="1" applyFont="1" applyFill="1" applyBorder="1" applyAlignment="1">
      <alignment horizontal="left" vertical="center"/>
    </xf>
    <xf numFmtId="180" fontId="12" fillId="3" borderId="6" xfId="0" applyNumberFormat="1" applyFont="1" applyFill="1" applyBorder="1" applyAlignment="1" applyProtection="1">
      <alignment horizontal="left" vertical="top" wrapText="1"/>
      <protection hidden="1"/>
    </xf>
    <xf numFmtId="179" fontId="15" fillId="0" borderId="0" xfId="0" applyNumberFormat="1" applyFont="1" applyAlignment="1">
      <alignment horizontal="left" vertical="center"/>
    </xf>
    <xf numFmtId="41" fontId="7" fillId="2" borderId="1" xfId="0" applyNumberFormat="1" applyFont="1" applyFill="1" applyBorder="1" applyAlignment="1"/>
    <xf numFmtId="178" fontId="15" fillId="2" borderId="7" xfId="0" applyNumberFormat="1" applyFont="1" applyFill="1" applyBorder="1" applyAlignment="1">
      <alignment horizontal="left" vertical="center"/>
    </xf>
    <xf numFmtId="0" fontId="7" fillId="0" borderId="0" xfId="0" applyFont="1" applyAlignment="1"/>
    <xf numFmtId="0" fontId="20" fillId="0" borderId="0" xfId="0" applyFont="1">
      <alignment vertical="center"/>
    </xf>
    <xf numFmtId="0" fontId="20" fillId="0" borderId="0" xfId="0" applyFont="1" applyAlignment="1"/>
    <xf numFmtId="178" fontId="10" fillId="4" borderId="7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top" wrapText="1"/>
    </xf>
    <xf numFmtId="49" fontId="0" fillId="5" borderId="9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0" fillId="5" borderId="9" xfId="0" applyFont="1" applyFill="1" applyBorder="1" applyAlignment="1">
      <alignment vertical="center"/>
    </xf>
    <xf numFmtId="49" fontId="0" fillId="5" borderId="10" xfId="0" applyNumberFormat="1" applyFont="1" applyFill="1" applyBorder="1" applyAlignment="1">
      <alignment vertical="center"/>
    </xf>
    <xf numFmtId="0" fontId="0" fillId="5" borderId="9" xfId="0" applyNumberFormat="1" applyFont="1" applyFill="1" applyBorder="1" applyAlignment="1">
      <alignment vertical="center"/>
    </xf>
    <xf numFmtId="181" fontId="0" fillId="5" borderId="9" xfId="0" applyNumberFormat="1" applyFont="1" applyFill="1" applyBorder="1" applyAlignment="1">
      <alignment vertical="center"/>
    </xf>
    <xf numFmtId="178" fontId="19" fillId="2" borderId="1" xfId="0" applyNumberFormat="1" applyFont="1" applyFill="1" applyBorder="1" applyAlignment="1">
      <alignment horizontal="left" vertical="center"/>
    </xf>
    <xf numFmtId="179" fontId="19" fillId="0" borderId="1" xfId="0" applyNumberFormat="1" applyFont="1" applyFill="1" applyBorder="1" applyAlignment="1">
      <alignment horizontal="left" vertical="center"/>
    </xf>
    <xf numFmtId="0" fontId="19" fillId="0" borderId="1" xfId="0" applyFont="1" applyFill="1" applyBorder="1" applyAlignment="1">
      <alignment horizontal="left" vertical="center"/>
    </xf>
    <xf numFmtId="0" fontId="19" fillId="0" borderId="1" xfId="0" applyFont="1" applyFill="1" applyBorder="1" applyAlignment="1" applyProtection="1">
      <alignment horizontal="left" vertical="center"/>
      <protection hidden="1"/>
    </xf>
    <xf numFmtId="0" fontId="19" fillId="2" borderId="1" xfId="0" applyFont="1" applyFill="1" applyBorder="1" applyAlignment="1" applyProtection="1">
      <alignment horizontal="left" vertical="center"/>
      <protection hidden="1"/>
    </xf>
    <xf numFmtId="0" fontId="19" fillId="0" borderId="0" xfId="0" applyFont="1" applyFill="1" applyAlignment="1">
      <alignment horizontal="left" vertical="center"/>
    </xf>
    <xf numFmtId="0" fontId="19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/>
    </xf>
    <xf numFmtId="0" fontId="21" fillId="0" borderId="0" xfId="0" applyNumberFormat="1" applyFont="1" applyFill="1" applyAlignment="1">
      <alignment vertical="center"/>
    </xf>
    <xf numFmtId="0" fontId="21" fillId="0" borderId="0" xfId="0" applyFont="1" applyFill="1" applyAlignment="1">
      <alignment vertical="center"/>
    </xf>
    <xf numFmtId="179" fontId="23" fillId="0" borderId="1" xfId="0" applyNumberFormat="1" applyFont="1" applyFill="1" applyBorder="1" applyAlignment="1">
      <alignment horizontal="left" vertical="center"/>
    </xf>
    <xf numFmtId="0" fontId="23" fillId="0" borderId="0" xfId="0" applyFont="1" applyFill="1" applyAlignment="1">
      <alignment horizontal="left" vertical="center"/>
    </xf>
    <xf numFmtId="182" fontId="21" fillId="0" borderId="1" xfId="0" applyNumberFormat="1" applyFont="1" applyFill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2" borderId="1" xfId="0" applyNumberFormat="1" applyFont="1" applyFill="1" applyBorder="1" applyAlignment="1">
      <alignment vertical="center"/>
    </xf>
    <xf numFmtId="0" fontId="21" fillId="0" borderId="1" xfId="0" applyNumberFormat="1" applyFont="1" applyFill="1" applyBorder="1" applyAlignment="1">
      <alignment vertical="center"/>
    </xf>
    <xf numFmtId="49" fontId="22" fillId="0" borderId="1" xfId="0" applyNumberFormat="1" applyFont="1" applyFill="1" applyBorder="1" applyAlignment="1">
      <alignment vertical="center" readingOrder="1"/>
    </xf>
    <xf numFmtId="49" fontId="21" fillId="0" borderId="1" xfId="0" applyNumberFormat="1" applyFont="1" applyFill="1" applyBorder="1" applyAlignment="1">
      <alignment vertical="center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4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>
      <alignment horizontal="left" vertical="center" wrapText="1"/>
    </xf>
    <xf numFmtId="0" fontId="7" fillId="4" borderId="1" xfId="1" applyFont="1" applyFill="1" applyBorder="1" applyAlignment="1">
      <alignment horizontal="center" vertical="center"/>
    </xf>
    <xf numFmtId="0" fontId="7" fillId="4" borderId="2" xfId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 wrapText="1"/>
    </xf>
    <xf numFmtId="0" fontId="7" fillId="4" borderId="7" xfId="1" applyFont="1" applyFill="1" applyBorder="1" applyAlignment="1">
      <alignment horizontal="center" vertical="center" wrapText="1"/>
    </xf>
    <xf numFmtId="0" fontId="7" fillId="4" borderId="5" xfId="1" applyFont="1" applyFill="1" applyBorder="1" applyAlignment="1">
      <alignment horizontal="center" vertical="center"/>
    </xf>
    <xf numFmtId="0" fontId="7" fillId="4" borderId="7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4" xfId="0" applyFont="1" applyBorder="1" applyAlignment="1" applyProtection="1">
      <alignment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9" fillId="0" borderId="5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left" vertical="center" wrapText="1"/>
    </xf>
    <xf numFmtId="0" fontId="19" fillId="0" borderId="5" xfId="0" applyFont="1" applyFill="1" applyBorder="1" applyAlignment="1">
      <alignment vertical="center"/>
    </xf>
    <xf numFmtId="0" fontId="19" fillId="0" borderId="6" xfId="0" applyFont="1" applyFill="1" applyBorder="1" applyAlignment="1">
      <alignment vertical="center"/>
    </xf>
    <xf numFmtId="0" fontId="19" fillId="0" borderId="7" xfId="0" applyFont="1" applyFill="1" applyBorder="1" applyAlignment="1">
      <alignment vertical="center"/>
    </xf>
    <xf numFmtId="0" fontId="21" fillId="0" borderId="1" xfId="0" applyNumberFormat="1" applyFont="1" applyFill="1" applyBorder="1" applyAlignment="1">
      <alignment vertical="center"/>
    </xf>
    <xf numFmtId="0" fontId="21" fillId="0" borderId="1" xfId="0" applyFont="1" applyFill="1" applyBorder="1" applyAlignment="1">
      <alignment vertical="center"/>
    </xf>
    <xf numFmtId="49" fontId="21" fillId="0" borderId="1" xfId="0" applyNumberFormat="1" applyFont="1" applyFill="1" applyBorder="1" applyAlignment="1">
      <alignment vertical="center" wrapText="1"/>
    </xf>
    <xf numFmtId="0" fontId="21" fillId="0" borderId="1" xfId="0" applyFont="1" applyFill="1" applyBorder="1" applyAlignment="1">
      <alignment vertical="center" wrapText="1"/>
    </xf>
    <xf numFmtId="49" fontId="21" fillId="0" borderId="1" xfId="0" applyNumberFormat="1" applyFon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 wrapText="1"/>
    </xf>
    <xf numFmtId="49" fontId="19" fillId="0" borderId="1" xfId="0" applyNumberFormat="1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9" fillId="0" borderId="5" xfId="0" applyFont="1" applyFill="1" applyBorder="1" applyAlignment="1">
      <alignment horizontal="left" vertical="center" wrapText="1"/>
    </xf>
    <xf numFmtId="0" fontId="19" fillId="0" borderId="6" xfId="0" applyFont="1" applyFill="1" applyBorder="1" applyAlignment="1">
      <alignment horizontal="left" vertical="center" wrapText="1"/>
    </xf>
    <xf numFmtId="0" fontId="19" fillId="0" borderId="7" xfId="0" applyFont="1" applyFill="1" applyBorder="1" applyAlignment="1">
      <alignment horizontal="left" vertical="center" wrapText="1"/>
    </xf>
  </cellXfs>
  <cellStyles count="5">
    <cellStyle name="??" xfId="1"/>
    <cellStyle name="Comma" xfId="2" builtinId="3"/>
    <cellStyle name="Comma 2" xfId="4"/>
    <cellStyle name="Normal" xfId="0" builtinId="0"/>
    <cellStyle name="Normal 2" xfId="3"/>
  </cellStyles>
  <dxfs count="5"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&#24352;&#24742;%2011.&#24037;&#20316;&#37327;&#20272;&#31639;&#34920;&#65288;&#24555;&#36895;&#21151;&#33021;&#28857;&#27861;&#65289;V1.0-&#27169;&#2649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&#30693;&#35782;&#22270;&#35889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angxiaoke/Desktop/&#38468;&#20214;1&#65306;11.&#24037;&#20316;&#37327;&#20272;&#31639;&#34920;&#65288;&#24555;&#36895;&#21151;&#33021;&#28857;&#27861;&#65289;V1.0-&#20219;&#21153;&#20998;&#3719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>
        <row r="6">
          <cell r="B6" t="str">
            <v>交易类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 refreshError="1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1"/>
  <sheetViews>
    <sheetView topLeftCell="A7" workbookViewId="0">
      <selection activeCell="G30" sqref="G30"/>
    </sheetView>
  </sheetViews>
  <sheetFormatPr defaultColWidth="9" defaultRowHeight="14.4"/>
  <cols>
    <col min="1" max="1" width="14.69921875" style="3" customWidth="1"/>
    <col min="2" max="2" width="9.69921875" style="3" customWidth="1"/>
    <col min="3" max="3" width="13.69921875" style="3" customWidth="1"/>
    <col min="4" max="4" width="9.69921875" style="3" customWidth="1"/>
    <col min="5" max="5" width="11.5" style="3" customWidth="1"/>
    <col min="6" max="6" width="10.69921875" style="3" customWidth="1"/>
    <col min="7" max="7" width="8.69921875" style="3" customWidth="1"/>
    <col min="8" max="8" width="9.69921875" style="3" customWidth="1"/>
    <col min="9" max="9" width="10.296875" style="3" customWidth="1"/>
    <col min="10" max="10" width="9.69921875" style="3" customWidth="1"/>
    <col min="11" max="11" width="7.796875" style="3" customWidth="1"/>
    <col min="12" max="16384" width="9" style="3"/>
  </cols>
  <sheetData>
    <row r="1" spans="1:11">
      <c r="A1" s="72"/>
    </row>
    <row r="2" spans="1:11" s="1" customFormat="1" ht="19.5" customHeight="1">
      <c r="A2" s="106" t="s">
        <v>36</v>
      </c>
      <c r="B2" s="107"/>
      <c r="C2" s="107"/>
    </row>
    <row r="3" spans="1:11" s="13" customFormat="1" ht="24" customHeight="1">
      <c r="A3" s="108" t="s">
        <v>33</v>
      </c>
      <c r="B3" s="108"/>
      <c r="C3" s="108"/>
    </row>
    <row r="4" spans="1:11" s="13" customFormat="1" ht="18" customHeight="1">
      <c r="A4" s="19" t="s">
        <v>31</v>
      </c>
      <c r="B4" s="109"/>
      <c r="C4" s="109"/>
    </row>
    <row r="5" spans="1:11" s="13" customFormat="1" ht="18" customHeight="1">
      <c r="A5" s="19" t="s">
        <v>32</v>
      </c>
      <c r="B5" s="110"/>
      <c r="C5" s="110"/>
    </row>
    <row r="6" spans="1:11" s="13" customFormat="1" ht="15.75" customHeight="1">
      <c r="A6" s="19" t="s">
        <v>30</v>
      </c>
      <c r="B6" s="122" t="s">
        <v>62</v>
      </c>
      <c r="C6" s="109"/>
    </row>
    <row r="7" spans="1:11" s="13" customFormat="1" ht="15.75" customHeight="1">
      <c r="A7" s="19" t="s">
        <v>40</v>
      </c>
      <c r="B7" s="123">
        <f>事务功能!H414+数据功能!D25</f>
        <v>1865</v>
      </c>
      <c r="C7" s="123"/>
    </row>
    <row r="8" spans="1:11" s="1" customFormat="1" ht="15.6">
      <c r="A8" s="10"/>
      <c r="B8" s="11"/>
      <c r="C8" s="11"/>
      <c r="D8" s="11"/>
      <c r="E8" s="11"/>
    </row>
    <row r="10" spans="1:11" ht="18.75" customHeight="1">
      <c r="A10" s="111" t="s">
        <v>39</v>
      </c>
      <c r="B10" s="113" t="s">
        <v>15</v>
      </c>
      <c r="C10" s="114"/>
      <c r="D10" s="114"/>
      <c r="E10" s="114"/>
      <c r="F10" s="114"/>
      <c r="G10" s="115"/>
      <c r="H10" s="113" t="s">
        <v>16</v>
      </c>
      <c r="I10" s="114"/>
      <c r="J10" s="115"/>
      <c r="K10" s="111" t="s">
        <v>24</v>
      </c>
    </row>
    <row r="11" spans="1:11">
      <c r="A11" s="111"/>
      <c r="B11" s="112" t="s">
        <v>21</v>
      </c>
      <c r="C11" s="112"/>
      <c r="D11" s="112" t="s">
        <v>22</v>
      </c>
      <c r="E11" s="112"/>
      <c r="F11" s="112"/>
      <c r="G11" s="116" t="s">
        <v>35</v>
      </c>
      <c r="H11" s="112" t="s">
        <v>17</v>
      </c>
      <c r="I11" s="112" t="s">
        <v>18</v>
      </c>
      <c r="J11" s="118" t="s">
        <v>35</v>
      </c>
      <c r="K11" s="111"/>
    </row>
    <row r="12" spans="1:11">
      <c r="A12" s="111"/>
      <c r="B12" s="4" t="s">
        <v>19</v>
      </c>
      <c r="C12" s="4" t="s">
        <v>18</v>
      </c>
      <c r="D12" s="4" t="s">
        <v>20</v>
      </c>
      <c r="E12" s="9" t="s">
        <v>29</v>
      </c>
      <c r="F12" s="4" t="s">
        <v>34</v>
      </c>
      <c r="G12" s="117"/>
      <c r="H12" s="112"/>
      <c r="I12" s="112"/>
      <c r="J12" s="119"/>
      <c r="K12" s="111"/>
    </row>
    <row r="13" spans="1:11" ht="15" customHeight="1">
      <c r="A13" s="12" t="s">
        <v>37</v>
      </c>
      <c r="B13" s="6"/>
      <c r="C13" s="6"/>
      <c r="D13" s="6"/>
      <c r="E13" s="6"/>
      <c r="F13" s="6"/>
      <c r="G13" s="17" t="e">
        <f>事务功能!D414+数据功能!E25</f>
        <v>#REF!</v>
      </c>
      <c r="H13" s="6"/>
      <c r="I13" s="6"/>
      <c r="J13" s="7">
        <f>ROUND(事务功能!E414+数据功能!F25,0)</f>
        <v>28</v>
      </c>
      <c r="K13" s="7" t="e">
        <f>ROUND(G13+J13,0)</f>
        <v>#REF!</v>
      </c>
    </row>
    <row r="14" spans="1:11" ht="16.5" customHeight="1">
      <c r="A14" s="12" t="s">
        <v>38</v>
      </c>
      <c r="B14" s="5"/>
      <c r="C14" s="5"/>
      <c r="D14" s="5"/>
      <c r="E14" s="5"/>
      <c r="F14" s="5"/>
      <c r="G14" s="17">
        <f>非功能点估算表!G29</f>
        <v>43.6</v>
      </c>
      <c r="H14" s="5"/>
      <c r="I14" s="5"/>
      <c r="J14" s="7">
        <f>ROUND(非功能点估算表!F29,0)</f>
        <v>1</v>
      </c>
      <c r="K14" s="7">
        <f>ROUND(G14+J14,0)</f>
        <v>45</v>
      </c>
    </row>
    <row r="15" spans="1:11" ht="15" customHeight="1">
      <c r="A15" s="70" t="s">
        <v>23</v>
      </c>
      <c r="B15" s="7">
        <f>SUM(B13:B14)</f>
        <v>0</v>
      </c>
      <c r="C15" s="7">
        <f t="shared" ref="C15:H15" si="0">SUM(C13:C14)</f>
        <v>0</v>
      </c>
      <c r="D15" s="7">
        <f t="shared" si="0"/>
        <v>0</v>
      </c>
      <c r="E15" s="7">
        <f t="shared" si="0"/>
        <v>0</v>
      </c>
      <c r="F15" s="7">
        <f t="shared" si="0"/>
        <v>0</v>
      </c>
      <c r="G15" s="18" t="e">
        <f>SUM(G13:G14)</f>
        <v>#REF!</v>
      </c>
      <c r="H15" s="7">
        <f t="shared" si="0"/>
        <v>0</v>
      </c>
      <c r="I15" s="7">
        <f>SUM(I13:I14)</f>
        <v>0</v>
      </c>
      <c r="J15" s="7">
        <f>SUM(J13:J14)</f>
        <v>29</v>
      </c>
      <c r="K15" s="7" t="e">
        <f>K13+K14</f>
        <v>#REF!</v>
      </c>
    </row>
    <row r="16" spans="1:11" ht="18.75" customHeight="1">
      <c r="B16" s="120" t="e">
        <f>IF(ROUND(G15,0)=ROUND(B15+C15+D15+E15+F15,0),"平衡","分配不平衡，请重新分配")</f>
        <v>#REF!</v>
      </c>
      <c r="C16" s="120"/>
      <c r="D16" s="120"/>
      <c r="E16" s="120"/>
      <c r="F16" s="120"/>
      <c r="G16" s="120"/>
      <c r="H16" s="121" t="str">
        <f>IF(ROUND(J15,0)=ROUND(H15+I15,0),"平衡","分配不平衡，请重新分配")</f>
        <v>分配不平衡，请重新分配</v>
      </c>
      <c r="I16" s="121"/>
      <c r="J16" s="121"/>
      <c r="K16" s="121"/>
    </row>
    <row r="17" spans="1:1" ht="15.75" customHeight="1">
      <c r="A17" s="8"/>
    </row>
    <row r="18" spans="1:1" ht="15.75" customHeight="1">
      <c r="A18" s="8"/>
    </row>
    <row r="19" spans="1:1" ht="15.75" customHeight="1">
      <c r="A19" s="8" t="s">
        <v>58</v>
      </c>
    </row>
    <row r="20" spans="1:1" s="74" customFormat="1" ht="15.6">
      <c r="A20" s="73" t="s">
        <v>59</v>
      </c>
    </row>
    <row r="21" spans="1:1" s="74" customFormat="1" ht="15.6">
      <c r="A21" s="73" t="s">
        <v>60</v>
      </c>
    </row>
  </sheetData>
  <protectedRanges>
    <protectedRange sqref="B8:E8 B4:C7" name="区域1_1"/>
  </protectedRanges>
  <mergeCells count="18">
    <mergeCell ref="B16:G16"/>
    <mergeCell ref="H16:K16"/>
    <mergeCell ref="B6:C6"/>
    <mergeCell ref="B7:C7"/>
    <mergeCell ref="A2:C2"/>
    <mergeCell ref="A3:C3"/>
    <mergeCell ref="B4:C4"/>
    <mergeCell ref="B5:C5"/>
    <mergeCell ref="K10:K12"/>
    <mergeCell ref="A10:A12"/>
    <mergeCell ref="B11:C11"/>
    <mergeCell ref="D11:F11"/>
    <mergeCell ref="H11:H12"/>
    <mergeCell ref="I11:I12"/>
    <mergeCell ref="B10:G10"/>
    <mergeCell ref="G11:G12"/>
    <mergeCell ref="H10:J10"/>
    <mergeCell ref="J11:J12"/>
  </mergeCells>
  <phoneticPr fontId="2" type="noConversion"/>
  <conditionalFormatting sqref="B16">
    <cfRule type="cellIs" dxfId="4" priority="3" operator="equal">
      <formula>"分配不平衡，请重新分配"</formula>
    </cfRule>
    <cfRule type="cellIs" dxfId="3" priority="4" operator="equal">
      <formula>"平衡"</formula>
    </cfRule>
  </conditionalFormatting>
  <conditionalFormatting sqref="H16:K16">
    <cfRule type="cellIs" dxfId="2" priority="1" operator="equal">
      <formula>"分配不平衡，请重新分配"</formula>
    </cfRule>
    <cfRule type="cellIs" dxfId="1" priority="2" operator="equal">
      <formula>"平衡"</formula>
    </cfRule>
  </conditionalFormatting>
  <dataValidations count="3">
    <dataValidation type="list" allowBlank="1" showInputMessage="1" showErrorMessage="1" sqref="C6 B6">
      <formula1>"交易类,数据分析类,流程管理类,渠道类"</formula1>
    </dataValidation>
    <dataValidation type="list" allowBlank="1" showInputMessage="1" showErrorMessage="1" sqref="B8:C8 E8">
      <formula1>"立项,设计完成,上线后"</formula1>
    </dataValidation>
    <dataValidation type="list" allowBlank="1" showInputMessage="1" showErrorMessage="1" sqref="B5:C5">
      <formula1>"北开,上开,厦开,广开,成开,深开,北数,武数"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V414"/>
  <sheetViews>
    <sheetView tabSelected="1" topLeftCell="C1" zoomScale="120" zoomScaleNormal="120" zoomScalePageLayoutView="120" workbookViewId="0">
      <pane ySplit="3" topLeftCell="A84" activePane="bottomLeft" state="frozen"/>
      <selection pane="bottomLeft" activeCell="H89" sqref="H89"/>
    </sheetView>
  </sheetViews>
  <sheetFormatPr defaultColWidth="8.796875" defaultRowHeight="15.6"/>
  <cols>
    <col min="1" max="1" width="6.796875" customWidth="1"/>
    <col min="2" max="2" width="16.296875" customWidth="1"/>
    <col min="3" max="3" width="18.19921875" style="30" customWidth="1"/>
    <col min="4" max="4" width="13.796875" style="32" customWidth="1"/>
    <col min="5" max="5" width="13.5" style="69" customWidth="1"/>
    <col min="6" max="6" width="26.5" bestFit="1" customWidth="1"/>
    <col min="7" max="7" width="14.19921875" style="16" customWidth="1"/>
    <col min="8" max="10" width="20.296875" style="16" customWidth="1"/>
    <col min="11" max="11" width="9.69921875" customWidth="1"/>
    <col min="13" max="13" width="8.69921875" customWidth="1"/>
  </cols>
  <sheetData>
    <row r="1" spans="1:10" ht="31.5" customHeight="1">
      <c r="A1" s="140" t="s">
        <v>7</v>
      </c>
      <c r="B1" s="141"/>
      <c r="C1" s="141"/>
      <c r="D1" s="141"/>
      <c r="E1" s="141"/>
      <c r="F1" s="141"/>
      <c r="G1" s="141"/>
      <c r="H1" s="141"/>
      <c r="I1" s="141"/>
      <c r="J1" s="142"/>
    </row>
    <row r="2" spans="1:10" s="2" customFormat="1" ht="24.75" customHeight="1">
      <c r="A2" s="14" t="s">
        <v>27</v>
      </c>
      <c r="B2" s="14" t="s">
        <v>9</v>
      </c>
      <c r="C2" s="14" t="s">
        <v>8</v>
      </c>
      <c r="D2" s="26" t="s">
        <v>12</v>
      </c>
      <c r="E2" s="33" t="s">
        <v>13</v>
      </c>
      <c r="F2" s="14" t="s">
        <v>3</v>
      </c>
      <c r="G2" s="15" t="s">
        <v>4</v>
      </c>
      <c r="H2" s="25" t="s">
        <v>50</v>
      </c>
      <c r="I2" s="26" t="s">
        <v>51</v>
      </c>
      <c r="J2" s="15" t="s">
        <v>28</v>
      </c>
    </row>
    <row r="3" spans="1:10" s="66" customFormat="1" ht="104.25" customHeight="1">
      <c r="A3" s="65"/>
      <c r="B3" s="21" t="s">
        <v>64</v>
      </c>
      <c r="C3" s="21" t="s">
        <v>56</v>
      </c>
      <c r="D3" s="27" t="s">
        <v>53</v>
      </c>
      <c r="E3" s="34" t="s">
        <v>45</v>
      </c>
      <c r="F3" s="21" t="s">
        <v>61</v>
      </c>
      <c r="G3" s="22" t="s">
        <v>49</v>
      </c>
      <c r="H3" s="63" t="s">
        <v>54</v>
      </c>
      <c r="I3" s="68" t="s">
        <v>52</v>
      </c>
      <c r="J3" s="22" t="s">
        <v>46</v>
      </c>
    </row>
    <row r="4" spans="1:10" s="90" customFormat="1" ht="12">
      <c r="A4" s="143">
        <v>1</v>
      </c>
      <c r="B4" s="144" t="s">
        <v>488</v>
      </c>
      <c r="C4" s="127" t="s">
        <v>124</v>
      </c>
      <c r="D4" s="85">
        <f t="shared" ref="D4:D48" si="0">I4</f>
        <v>0.34090909090909088</v>
      </c>
      <c r="E4" s="86"/>
      <c r="F4" s="87" t="s">
        <v>125</v>
      </c>
      <c r="G4" s="88" t="s">
        <v>67</v>
      </c>
      <c r="H4" s="89">
        <f t="shared" ref="H4:H35" si="1">IF(G4="EI",4,IF(G4="EO",5,IF(G4="EQ",4,0)))</f>
        <v>5</v>
      </c>
      <c r="I4" s="88">
        <f>IF([1]项目总工作量!B$6="交易类",H4*1.5/22,IF([1]项目总工作量!B$6="数据分析类",H4*1.5*0.9/22,IF([1]项目总工作量!B$6="流程管理类",H4*1.5*0.8/22,IF([1]项目总工作量!B$6="渠道类",H4*1.5*0.7/22,FALSE))))</f>
        <v>0.34090909090909088</v>
      </c>
      <c r="J4" s="88" t="s">
        <v>44</v>
      </c>
    </row>
    <row r="5" spans="1:10" s="90" customFormat="1" ht="12">
      <c r="A5" s="143"/>
      <c r="B5" s="144"/>
      <c r="C5" s="127"/>
      <c r="D5" s="85">
        <f t="shared" si="0"/>
        <v>0.34090909090909088</v>
      </c>
      <c r="E5" s="86"/>
      <c r="F5" s="87" t="s">
        <v>126</v>
      </c>
      <c r="G5" s="88" t="s">
        <v>67</v>
      </c>
      <c r="H5" s="89">
        <f t="shared" si="1"/>
        <v>5</v>
      </c>
      <c r="I5" s="88">
        <f>IF([1]项目总工作量!B$6="交易类",H5*1.5/22,IF([1]项目总工作量!B$6="数据分析类",H5*1.5*0.9/22,IF([1]项目总工作量!B$6="流程管理类",H5*1.5*0.8/22,IF([1]项目总工作量!B$6="渠道类",H5*1.5*0.7/22,FALSE))))</f>
        <v>0.34090909090909088</v>
      </c>
      <c r="J5" s="88" t="s">
        <v>44</v>
      </c>
    </row>
    <row r="6" spans="1:10" s="90" customFormat="1" ht="12">
      <c r="A6" s="143"/>
      <c r="B6" s="144"/>
      <c r="C6" s="127"/>
      <c r="D6" s="85">
        <f t="shared" si="0"/>
        <v>0.34090909090909088</v>
      </c>
      <c r="E6" s="86"/>
      <c r="F6" s="87" t="s">
        <v>127</v>
      </c>
      <c r="G6" s="88" t="s">
        <v>67</v>
      </c>
      <c r="H6" s="89">
        <f t="shared" si="1"/>
        <v>5</v>
      </c>
      <c r="I6" s="88">
        <f>IF([1]项目总工作量!B$6="交易类",H6*1.5/22,IF([1]项目总工作量!B$6="数据分析类",H6*1.5*0.9/22,IF([1]项目总工作量!B$6="流程管理类",H6*1.5*0.8/22,IF([1]项目总工作量!B$6="渠道类",H6*1.5*0.7/22,FALSE))))</f>
        <v>0.34090909090909088</v>
      </c>
      <c r="J6" s="88" t="s">
        <v>44</v>
      </c>
    </row>
    <row r="7" spans="1:10" s="90" customFormat="1" ht="12">
      <c r="A7" s="143"/>
      <c r="B7" s="144"/>
      <c r="C7" s="127"/>
      <c r="D7" s="85">
        <f t="shared" si="0"/>
        <v>0.34090909090909088</v>
      </c>
      <c r="E7" s="86"/>
      <c r="F7" s="87" t="s">
        <v>128</v>
      </c>
      <c r="G7" s="88" t="s">
        <v>67</v>
      </c>
      <c r="H7" s="89">
        <f t="shared" si="1"/>
        <v>5</v>
      </c>
      <c r="I7" s="88">
        <f>IF([1]项目总工作量!B$6="交易类",H7*1.5/22,IF([1]项目总工作量!B$6="数据分析类",H7*1.5*0.9/22,IF([1]项目总工作量!B$6="流程管理类",H7*1.5*0.8/22,IF([1]项目总工作量!B$6="渠道类",H7*1.5*0.7/22,FALSE))))</f>
        <v>0.34090909090909088</v>
      </c>
      <c r="J7" s="88" t="s">
        <v>44</v>
      </c>
    </row>
    <row r="8" spans="1:10" s="90" customFormat="1" ht="12">
      <c r="A8" s="143"/>
      <c r="B8" s="144"/>
      <c r="C8" s="127"/>
      <c r="D8" s="85">
        <f t="shared" si="0"/>
        <v>0.34090909090909088</v>
      </c>
      <c r="E8" s="86"/>
      <c r="F8" s="87" t="s">
        <v>129</v>
      </c>
      <c r="G8" s="88" t="s">
        <v>67</v>
      </c>
      <c r="H8" s="89">
        <f t="shared" si="1"/>
        <v>5</v>
      </c>
      <c r="I8" s="88">
        <f>IF([1]项目总工作量!B$6="交易类",H8*1.5/22,IF([1]项目总工作量!B$6="数据分析类",H8*1.5*0.9/22,IF([1]项目总工作量!B$6="流程管理类",H8*1.5*0.8/22,IF([1]项目总工作量!B$6="渠道类",H8*1.5*0.7/22,FALSE))))</f>
        <v>0.34090909090909088</v>
      </c>
      <c r="J8" s="88" t="s">
        <v>44</v>
      </c>
    </row>
    <row r="9" spans="1:10" s="90" customFormat="1" ht="12">
      <c r="A9" s="143"/>
      <c r="B9" s="144"/>
      <c r="C9" s="127"/>
      <c r="D9" s="85">
        <f t="shared" si="0"/>
        <v>0.34090909090909088</v>
      </c>
      <c r="E9" s="86"/>
      <c r="F9" s="87" t="s">
        <v>130</v>
      </c>
      <c r="G9" s="88" t="s">
        <v>67</v>
      </c>
      <c r="H9" s="89">
        <f t="shared" si="1"/>
        <v>5</v>
      </c>
      <c r="I9" s="88">
        <f>IF([1]项目总工作量!B$6="交易类",H9*1.5/22,IF([1]项目总工作量!B$6="数据分析类",H9*1.5*0.9/22,IF([1]项目总工作量!B$6="流程管理类",H9*1.5*0.8/22,IF([1]项目总工作量!B$6="渠道类",H9*1.5*0.7/22,FALSE))))</f>
        <v>0.34090909090909088</v>
      </c>
      <c r="J9" s="88" t="s">
        <v>44</v>
      </c>
    </row>
    <row r="10" spans="1:10" s="90" customFormat="1" ht="12">
      <c r="A10" s="143"/>
      <c r="B10" s="144"/>
      <c r="C10" s="127"/>
      <c r="D10" s="85">
        <f t="shared" si="0"/>
        <v>0.34090909090909088</v>
      </c>
      <c r="E10" s="86"/>
      <c r="F10" s="87" t="s">
        <v>131</v>
      </c>
      <c r="G10" s="88" t="s">
        <v>67</v>
      </c>
      <c r="H10" s="89">
        <f t="shared" si="1"/>
        <v>5</v>
      </c>
      <c r="I10" s="88">
        <f>IF([1]项目总工作量!B$6="交易类",H10*1.5/22,IF([1]项目总工作量!B$6="数据分析类",H10*1.5*0.9/22,IF([1]项目总工作量!B$6="流程管理类",H10*1.5*0.8/22,IF([1]项目总工作量!B$6="渠道类",H10*1.5*0.7/22,FALSE))))</f>
        <v>0.34090909090909088</v>
      </c>
      <c r="J10" s="88" t="s">
        <v>44</v>
      </c>
    </row>
    <row r="11" spans="1:10" s="90" customFormat="1" ht="12">
      <c r="A11" s="143"/>
      <c r="B11" s="144"/>
      <c r="C11" s="127"/>
      <c r="D11" s="85">
        <f t="shared" si="0"/>
        <v>0.34090909090909088</v>
      </c>
      <c r="E11" s="86"/>
      <c r="F11" s="87" t="s">
        <v>132</v>
      </c>
      <c r="G11" s="88" t="s">
        <v>67</v>
      </c>
      <c r="H11" s="89">
        <f t="shared" si="1"/>
        <v>5</v>
      </c>
      <c r="I11" s="88">
        <f>IF([1]项目总工作量!B$6="交易类",H11*1.5/22,IF([1]项目总工作量!B$6="数据分析类",H11*1.5*0.9/22,IF([1]项目总工作量!B$6="流程管理类",H11*1.5*0.8/22,IF([1]项目总工作量!B$6="渠道类",H11*1.5*0.7/22,FALSE))))</f>
        <v>0.34090909090909088</v>
      </c>
      <c r="J11" s="88" t="s">
        <v>44</v>
      </c>
    </row>
    <row r="12" spans="1:10" s="90" customFormat="1" ht="12">
      <c r="A12" s="143"/>
      <c r="B12" s="144"/>
      <c r="C12" s="127"/>
      <c r="D12" s="85">
        <f t="shared" si="0"/>
        <v>0.34090909090909088</v>
      </c>
      <c r="E12" s="86"/>
      <c r="F12" s="87" t="s">
        <v>133</v>
      </c>
      <c r="G12" s="88" t="s">
        <v>67</v>
      </c>
      <c r="H12" s="89">
        <f t="shared" si="1"/>
        <v>5</v>
      </c>
      <c r="I12" s="88">
        <f>IF([1]项目总工作量!B$6="交易类",H12*1.5/22,IF([1]项目总工作量!B$6="数据分析类",H12*1.5*0.9/22,IF([1]项目总工作量!B$6="流程管理类",H12*1.5*0.8/22,IF([1]项目总工作量!B$6="渠道类",H12*1.5*0.7/22,FALSE))))</f>
        <v>0.34090909090909088</v>
      </c>
      <c r="J12" s="88" t="s">
        <v>44</v>
      </c>
    </row>
    <row r="13" spans="1:10" s="90" customFormat="1" ht="12">
      <c r="A13" s="143"/>
      <c r="B13" s="144"/>
      <c r="C13" s="127"/>
      <c r="D13" s="85">
        <f t="shared" si="0"/>
        <v>0.34090909090909088</v>
      </c>
      <c r="E13" s="86"/>
      <c r="F13" s="87" t="s">
        <v>134</v>
      </c>
      <c r="G13" s="88" t="s">
        <v>67</v>
      </c>
      <c r="H13" s="89">
        <f t="shared" si="1"/>
        <v>5</v>
      </c>
      <c r="I13" s="88">
        <f>IF([1]项目总工作量!B$6="交易类",H13*1.5/22,IF([1]项目总工作量!B$6="数据分析类",H13*1.5*0.9/22,IF([1]项目总工作量!B$6="流程管理类",H13*1.5*0.8/22,IF([1]项目总工作量!B$6="渠道类",H13*1.5*0.7/22,FALSE))))</f>
        <v>0.34090909090909088</v>
      </c>
      <c r="J13" s="88" t="s">
        <v>44</v>
      </c>
    </row>
    <row r="14" spans="1:10" s="90" customFormat="1" ht="12">
      <c r="A14" s="143"/>
      <c r="B14" s="144"/>
      <c r="C14" s="127"/>
      <c r="D14" s="85">
        <f t="shared" si="0"/>
        <v>0.34090909090909088</v>
      </c>
      <c r="E14" s="86"/>
      <c r="F14" s="87" t="s">
        <v>135</v>
      </c>
      <c r="G14" s="88" t="s">
        <v>67</v>
      </c>
      <c r="H14" s="89">
        <f t="shared" si="1"/>
        <v>5</v>
      </c>
      <c r="I14" s="88">
        <f>IF([1]项目总工作量!B$6="交易类",H14*1.5/22,IF([1]项目总工作量!B$6="数据分析类",H14*1.5*0.9/22,IF([1]项目总工作量!B$6="流程管理类",H14*1.5*0.8/22,IF([1]项目总工作量!B$6="渠道类",H14*1.5*0.7/22,FALSE))))</f>
        <v>0.34090909090909088</v>
      </c>
      <c r="J14" s="88" t="s">
        <v>44</v>
      </c>
    </row>
    <row r="15" spans="1:10" s="90" customFormat="1" ht="12">
      <c r="A15" s="143"/>
      <c r="B15" s="144"/>
      <c r="C15" s="127"/>
      <c r="D15" s="85">
        <f t="shared" si="0"/>
        <v>0.34090909090909088</v>
      </c>
      <c r="E15" s="86"/>
      <c r="F15" s="87" t="s">
        <v>136</v>
      </c>
      <c r="G15" s="88" t="s">
        <v>67</v>
      </c>
      <c r="H15" s="89">
        <f t="shared" si="1"/>
        <v>5</v>
      </c>
      <c r="I15" s="88">
        <f>IF([1]项目总工作量!B$6="交易类",H15*1.5/22,IF([1]项目总工作量!B$6="数据分析类",H15*1.5*0.9/22,IF([1]项目总工作量!B$6="流程管理类",H15*1.5*0.8/22,IF([1]项目总工作量!B$6="渠道类",H15*1.5*0.7/22,FALSE))))</f>
        <v>0.34090909090909088</v>
      </c>
      <c r="J15" s="88" t="s">
        <v>44</v>
      </c>
    </row>
    <row r="16" spans="1:10" s="90" customFormat="1" ht="12">
      <c r="A16" s="143"/>
      <c r="B16" s="144"/>
      <c r="C16" s="127"/>
      <c r="D16" s="85">
        <f t="shared" si="0"/>
        <v>0.34090909090909088</v>
      </c>
      <c r="E16" s="86"/>
      <c r="F16" s="87" t="s">
        <v>137</v>
      </c>
      <c r="G16" s="88" t="s">
        <v>67</v>
      </c>
      <c r="H16" s="89">
        <f t="shared" si="1"/>
        <v>5</v>
      </c>
      <c r="I16" s="88">
        <f>IF([1]项目总工作量!B$6="交易类",H16*1.5/22,IF([1]项目总工作量!B$6="数据分析类",H16*1.5*0.9/22,IF([1]项目总工作量!B$6="流程管理类",H16*1.5*0.8/22,IF([1]项目总工作量!B$6="渠道类",H16*1.5*0.7/22,FALSE))))</f>
        <v>0.34090909090909088</v>
      </c>
      <c r="J16" s="88" t="s">
        <v>44</v>
      </c>
    </row>
    <row r="17" spans="1:10" s="90" customFormat="1" ht="12">
      <c r="A17" s="143"/>
      <c r="B17" s="144"/>
      <c r="C17" s="127"/>
      <c r="D17" s="85">
        <f t="shared" si="0"/>
        <v>0.34090909090909088</v>
      </c>
      <c r="E17" s="86"/>
      <c r="F17" s="87" t="s">
        <v>138</v>
      </c>
      <c r="G17" s="88" t="s">
        <v>67</v>
      </c>
      <c r="H17" s="89">
        <f t="shared" si="1"/>
        <v>5</v>
      </c>
      <c r="I17" s="88">
        <f>IF([1]项目总工作量!B$6="交易类",H17*1.5/22,IF([1]项目总工作量!B$6="数据分析类",H17*1.5*0.9/22,IF([1]项目总工作量!B$6="流程管理类",H17*1.5*0.8/22,IF([1]项目总工作量!B$6="渠道类",H17*1.5*0.7/22,FALSE))))</f>
        <v>0.34090909090909088</v>
      </c>
      <c r="J17" s="88" t="s">
        <v>44</v>
      </c>
    </row>
    <row r="18" spans="1:10" s="90" customFormat="1" ht="12">
      <c r="A18" s="143"/>
      <c r="B18" s="144"/>
      <c r="C18" s="127"/>
      <c r="D18" s="85">
        <f t="shared" si="0"/>
        <v>0.34090909090909088</v>
      </c>
      <c r="E18" s="86"/>
      <c r="F18" s="87" t="s">
        <v>139</v>
      </c>
      <c r="G18" s="88" t="s">
        <v>67</v>
      </c>
      <c r="H18" s="89">
        <f t="shared" si="1"/>
        <v>5</v>
      </c>
      <c r="I18" s="88">
        <f>IF([1]项目总工作量!B$6="交易类",H18*1.5/22,IF([1]项目总工作量!B$6="数据分析类",H18*1.5*0.9/22,IF([1]项目总工作量!B$6="流程管理类",H18*1.5*0.8/22,IF([1]项目总工作量!B$6="渠道类",H18*1.5*0.7/22,FALSE))))</f>
        <v>0.34090909090909088</v>
      </c>
      <c r="J18" s="88" t="s">
        <v>44</v>
      </c>
    </row>
    <row r="19" spans="1:10" s="90" customFormat="1" ht="12">
      <c r="A19" s="143"/>
      <c r="B19" s="144"/>
      <c r="C19" s="127"/>
      <c r="D19" s="85">
        <f t="shared" si="0"/>
        <v>0.34090909090909088</v>
      </c>
      <c r="E19" s="86"/>
      <c r="F19" s="87" t="s">
        <v>140</v>
      </c>
      <c r="G19" s="88" t="s">
        <v>67</v>
      </c>
      <c r="H19" s="89">
        <f t="shared" si="1"/>
        <v>5</v>
      </c>
      <c r="I19" s="88">
        <f>IF([1]项目总工作量!B$6="交易类",H19*1.5/22,IF([1]项目总工作量!B$6="数据分析类",H19*1.5*0.9/22,IF([1]项目总工作量!B$6="流程管理类",H19*1.5*0.8/22,IF([1]项目总工作量!B$6="渠道类",H19*1.5*0.7/22,FALSE))))</f>
        <v>0.34090909090909088</v>
      </c>
      <c r="J19" s="88" t="s">
        <v>44</v>
      </c>
    </row>
    <row r="20" spans="1:10" s="90" customFormat="1" ht="12">
      <c r="A20" s="143"/>
      <c r="B20" s="144"/>
      <c r="C20" s="127"/>
      <c r="D20" s="85">
        <f t="shared" si="0"/>
        <v>0.34090909090909088</v>
      </c>
      <c r="E20" s="86"/>
      <c r="F20" s="87" t="s">
        <v>141</v>
      </c>
      <c r="G20" s="88" t="s">
        <v>67</v>
      </c>
      <c r="H20" s="89">
        <f t="shared" si="1"/>
        <v>5</v>
      </c>
      <c r="I20" s="88">
        <f>IF([1]项目总工作量!B$6="交易类",H20*1.5/22,IF([1]项目总工作量!B$6="数据分析类",H20*1.5*0.9/22,IF([1]项目总工作量!B$6="流程管理类",H20*1.5*0.8/22,IF([1]项目总工作量!B$6="渠道类",H20*1.5*0.7/22,FALSE))))</f>
        <v>0.34090909090909088</v>
      </c>
      <c r="J20" s="88" t="s">
        <v>44</v>
      </c>
    </row>
    <row r="21" spans="1:10" s="90" customFormat="1" ht="12">
      <c r="A21" s="143"/>
      <c r="B21" s="144"/>
      <c r="C21" s="127"/>
      <c r="D21" s="85">
        <f t="shared" si="0"/>
        <v>0.34090909090909088</v>
      </c>
      <c r="E21" s="86"/>
      <c r="F21" s="87" t="s">
        <v>142</v>
      </c>
      <c r="G21" s="88" t="s">
        <v>67</v>
      </c>
      <c r="H21" s="89">
        <f t="shared" si="1"/>
        <v>5</v>
      </c>
      <c r="I21" s="88">
        <f>IF([1]项目总工作量!B$6="交易类",H21*1.5/22,IF([1]项目总工作量!B$6="数据分析类",H21*1.5*0.9/22,IF([1]项目总工作量!B$6="流程管理类",H21*1.5*0.8/22,IF([1]项目总工作量!B$6="渠道类",H21*1.5*0.7/22,FALSE))))</f>
        <v>0.34090909090909088</v>
      </c>
      <c r="J21" s="88" t="s">
        <v>44</v>
      </c>
    </row>
    <row r="22" spans="1:10" s="90" customFormat="1" ht="12">
      <c r="A22" s="143"/>
      <c r="B22" s="144"/>
      <c r="C22" s="127"/>
      <c r="D22" s="85">
        <f t="shared" si="0"/>
        <v>0.34090909090909088</v>
      </c>
      <c r="E22" s="86"/>
      <c r="F22" s="87" t="s">
        <v>143</v>
      </c>
      <c r="G22" s="88" t="s">
        <v>67</v>
      </c>
      <c r="H22" s="89">
        <f t="shared" si="1"/>
        <v>5</v>
      </c>
      <c r="I22" s="88">
        <f>IF([1]项目总工作量!B$6="交易类",H22*1.5/22,IF([1]项目总工作量!B$6="数据分析类",H22*1.5*0.9/22,IF([1]项目总工作量!B$6="流程管理类",H22*1.5*0.8/22,IF([1]项目总工作量!B$6="渠道类",H22*1.5*0.7/22,FALSE))))</f>
        <v>0.34090909090909088</v>
      </c>
      <c r="J22" s="88" t="s">
        <v>44</v>
      </c>
    </row>
    <row r="23" spans="1:10" s="90" customFormat="1" ht="12">
      <c r="A23" s="143"/>
      <c r="B23" s="144"/>
      <c r="C23" s="127"/>
      <c r="D23" s="85">
        <f t="shared" si="0"/>
        <v>0.34090909090909088</v>
      </c>
      <c r="E23" s="86"/>
      <c r="F23" s="87" t="s">
        <v>144</v>
      </c>
      <c r="G23" s="88" t="s">
        <v>67</v>
      </c>
      <c r="H23" s="89">
        <f t="shared" si="1"/>
        <v>5</v>
      </c>
      <c r="I23" s="88">
        <f>IF([1]项目总工作量!B$6="交易类",H23*1.5/22,IF([1]项目总工作量!B$6="数据分析类",H23*1.5*0.9/22,IF([1]项目总工作量!B$6="流程管理类",H23*1.5*0.8/22,IF([1]项目总工作量!B$6="渠道类",H23*1.5*0.7/22,FALSE))))</f>
        <v>0.34090909090909088</v>
      </c>
      <c r="J23" s="88" t="s">
        <v>44</v>
      </c>
    </row>
    <row r="24" spans="1:10" s="90" customFormat="1" ht="12">
      <c r="A24" s="143"/>
      <c r="B24" s="144"/>
      <c r="C24" s="127"/>
      <c r="D24" s="85">
        <f t="shared" si="0"/>
        <v>0.34090909090909088</v>
      </c>
      <c r="E24" s="86"/>
      <c r="F24" s="87" t="s">
        <v>145</v>
      </c>
      <c r="G24" s="88" t="s">
        <v>67</v>
      </c>
      <c r="H24" s="89">
        <f t="shared" si="1"/>
        <v>5</v>
      </c>
      <c r="I24" s="88">
        <f>IF([1]项目总工作量!B$6="交易类",H24*1.5/22,IF([1]项目总工作量!B$6="数据分析类",H24*1.5*0.9/22,IF([1]项目总工作量!B$6="流程管理类",H24*1.5*0.8/22,IF([1]项目总工作量!B$6="渠道类",H24*1.5*0.7/22,FALSE))))</f>
        <v>0.34090909090909088</v>
      </c>
      <c r="J24" s="88" t="s">
        <v>44</v>
      </c>
    </row>
    <row r="25" spans="1:10" s="90" customFormat="1" ht="12">
      <c r="A25" s="143"/>
      <c r="B25" s="144"/>
      <c r="C25" s="127"/>
      <c r="D25" s="85">
        <f t="shared" si="0"/>
        <v>0.34090909090909088</v>
      </c>
      <c r="E25" s="86"/>
      <c r="F25" s="87" t="s">
        <v>146</v>
      </c>
      <c r="G25" s="88" t="s">
        <v>67</v>
      </c>
      <c r="H25" s="89">
        <f t="shared" si="1"/>
        <v>5</v>
      </c>
      <c r="I25" s="88">
        <f>IF([1]项目总工作量!B$6="交易类",H25*1.5/22,IF([1]项目总工作量!B$6="数据分析类",H25*1.5*0.9/22,IF([1]项目总工作量!B$6="流程管理类",H25*1.5*0.8/22,IF([1]项目总工作量!B$6="渠道类",H25*1.5*0.7/22,FALSE))))</f>
        <v>0.34090909090909088</v>
      </c>
      <c r="J25" s="88" t="s">
        <v>44</v>
      </c>
    </row>
    <row r="26" spans="1:10" s="90" customFormat="1" ht="12">
      <c r="A26" s="143"/>
      <c r="B26" s="144"/>
      <c r="C26" s="127"/>
      <c r="D26" s="85">
        <f t="shared" si="0"/>
        <v>0.34090909090909088</v>
      </c>
      <c r="E26" s="86"/>
      <c r="F26" s="87" t="s">
        <v>147</v>
      </c>
      <c r="G26" s="88" t="s">
        <v>67</v>
      </c>
      <c r="H26" s="89">
        <f t="shared" si="1"/>
        <v>5</v>
      </c>
      <c r="I26" s="88">
        <f>IF([1]项目总工作量!B$6="交易类",H26*1.5/22,IF([1]项目总工作量!B$6="数据分析类",H26*1.5*0.9/22,IF([1]项目总工作量!B$6="流程管理类",H26*1.5*0.8/22,IF([1]项目总工作量!B$6="渠道类",H26*1.5*0.7/22,FALSE))))</f>
        <v>0.34090909090909088</v>
      </c>
      <c r="J26" s="88" t="s">
        <v>44</v>
      </c>
    </row>
    <row r="27" spans="1:10" s="90" customFormat="1" ht="12">
      <c r="A27" s="143"/>
      <c r="B27" s="144"/>
      <c r="C27" s="127"/>
      <c r="D27" s="85">
        <f t="shared" si="0"/>
        <v>0.34090909090909088</v>
      </c>
      <c r="E27" s="86"/>
      <c r="F27" s="87" t="s">
        <v>148</v>
      </c>
      <c r="G27" s="88" t="s">
        <v>67</v>
      </c>
      <c r="H27" s="89">
        <f t="shared" si="1"/>
        <v>5</v>
      </c>
      <c r="I27" s="88">
        <f>IF([1]项目总工作量!B$6="交易类",H27*1.5/22,IF([1]项目总工作量!B$6="数据分析类",H27*1.5*0.9/22,IF([1]项目总工作量!B$6="流程管理类",H27*1.5*0.8/22,IF([1]项目总工作量!B$6="渠道类",H27*1.5*0.7/22,FALSE))))</f>
        <v>0.34090909090909088</v>
      </c>
      <c r="J27" s="88" t="s">
        <v>44</v>
      </c>
    </row>
    <row r="28" spans="1:10" s="90" customFormat="1" ht="12">
      <c r="A28" s="143"/>
      <c r="B28" s="144"/>
      <c r="C28" s="127"/>
      <c r="D28" s="85">
        <f t="shared" si="0"/>
        <v>0.34090909090909088</v>
      </c>
      <c r="E28" s="86"/>
      <c r="F28" s="87" t="s">
        <v>149</v>
      </c>
      <c r="G28" s="88" t="s">
        <v>67</v>
      </c>
      <c r="H28" s="89">
        <f t="shared" si="1"/>
        <v>5</v>
      </c>
      <c r="I28" s="88">
        <f>IF([1]项目总工作量!B$6="交易类",H28*1.5/22,IF([1]项目总工作量!B$6="数据分析类",H28*1.5*0.9/22,IF([1]项目总工作量!B$6="流程管理类",H28*1.5*0.8/22,IF([1]项目总工作量!B$6="渠道类",H28*1.5*0.7/22,FALSE))))</f>
        <v>0.34090909090909088</v>
      </c>
      <c r="J28" s="88" t="s">
        <v>44</v>
      </c>
    </row>
    <row r="29" spans="1:10" s="90" customFormat="1" ht="12">
      <c r="A29" s="143"/>
      <c r="B29" s="144"/>
      <c r="C29" s="127"/>
      <c r="D29" s="85">
        <f t="shared" si="0"/>
        <v>0.34090909090909088</v>
      </c>
      <c r="E29" s="86"/>
      <c r="F29" s="87" t="s">
        <v>150</v>
      </c>
      <c r="G29" s="88" t="s">
        <v>67</v>
      </c>
      <c r="H29" s="89">
        <f t="shared" si="1"/>
        <v>5</v>
      </c>
      <c r="I29" s="88">
        <f>IF([1]项目总工作量!B$6="交易类",H29*1.5/22,IF([1]项目总工作量!B$6="数据分析类",H29*1.5*0.9/22,IF([1]项目总工作量!B$6="流程管理类",H29*1.5*0.8/22,IF([1]项目总工作量!B$6="渠道类",H29*1.5*0.7/22,FALSE))))</f>
        <v>0.34090909090909088</v>
      </c>
      <c r="J29" s="88" t="s">
        <v>44</v>
      </c>
    </row>
    <row r="30" spans="1:10" s="90" customFormat="1" ht="12">
      <c r="A30" s="143"/>
      <c r="B30" s="144"/>
      <c r="C30" s="127"/>
      <c r="D30" s="85">
        <f t="shared" si="0"/>
        <v>0.34090909090909088</v>
      </c>
      <c r="E30" s="86"/>
      <c r="F30" s="87" t="s">
        <v>151</v>
      </c>
      <c r="G30" s="88" t="s">
        <v>67</v>
      </c>
      <c r="H30" s="89">
        <f t="shared" si="1"/>
        <v>5</v>
      </c>
      <c r="I30" s="88">
        <f>IF([1]项目总工作量!B$6="交易类",H30*1.5/22,IF([1]项目总工作量!B$6="数据分析类",H30*1.5*0.9/22,IF([1]项目总工作量!B$6="流程管理类",H30*1.5*0.8/22,IF([1]项目总工作量!B$6="渠道类",H30*1.5*0.7/22,FALSE))))</f>
        <v>0.34090909090909088</v>
      </c>
      <c r="J30" s="88" t="s">
        <v>44</v>
      </c>
    </row>
    <row r="31" spans="1:10" s="90" customFormat="1" ht="12">
      <c r="A31" s="143"/>
      <c r="B31" s="144"/>
      <c r="C31" s="127"/>
      <c r="D31" s="85">
        <f t="shared" si="0"/>
        <v>0.34090909090909088</v>
      </c>
      <c r="E31" s="86"/>
      <c r="F31" s="87" t="s">
        <v>152</v>
      </c>
      <c r="G31" s="88" t="s">
        <v>67</v>
      </c>
      <c r="H31" s="89">
        <f t="shared" si="1"/>
        <v>5</v>
      </c>
      <c r="I31" s="88">
        <f>IF([1]项目总工作量!B$6="交易类",H31*1.5/22,IF([1]项目总工作量!B$6="数据分析类",H31*1.5*0.9/22,IF([1]项目总工作量!B$6="流程管理类",H31*1.5*0.8/22,IF([1]项目总工作量!B$6="渠道类",H31*1.5*0.7/22,FALSE))))</f>
        <v>0.34090909090909088</v>
      </c>
      <c r="J31" s="88" t="s">
        <v>44</v>
      </c>
    </row>
    <row r="32" spans="1:10" s="90" customFormat="1" ht="12">
      <c r="A32" s="143"/>
      <c r="B32" s="144"/>
      <c r="C32" s="127"/>
      <c r="D32" s="85">
        <f t="shared" si="0"/>
        <v>0.34090909090909088</v>
      </c>
      <c r="E32" s="86"/>
      <c r="F32" s="87" t="s">
        <v>153</v>
      </c>
      <c r="G32" s="88" t="s">
        <v>67</v>
      </c>
      <c r="H32" s="89">
        <f t="shared" si="1"/>
        <v>5</v>
      </c>
      <c r="I32" s="88">
        <f>IF([1]项目总工作量!B$6="交易类",H32*1.5/22,IF([1]项目总工作量!B$6="数据分析类",H32*1.5*0.9/22,IF([1]项目总工作量!B$6="流程管理类",H32*1.5*0.8/22,IF([1]项目总工作量!B$6="渠道类",H32*1.5*0.7/22,FALSE))))</f>
        <v>0.34090909090909088</v>
      </c>
      <c r="J32" s="88" t="s">
        <v>44</v>
      </c>
    </row>
    <row r="33" spans="1:10" s="90" customFormat="1" ht="12">
      <c r="A33" s="143"/>
      <c r="B33" s="144"/>
      <c r="C33" s="127" t="s">
        <v>489</v>
      </c>
      <c r="D33" s="85">
        <f t="shared" si="0"/>
        <v>0.34090909090909088</v>
      </c>
      <c r="E33" s="86"/>
      <c r="F33" s="87" t="s">
        <v>154</v>
      </c>
      <c r="G33" s="88" t="s">
        <v>67</v>
      </c>
      <c r="H33" s="89">
        <f t="shared" si="1"/>
        <v>5</v>
      </c>
      <c r="I33" s="88">
        <f>IF([1]项目总工作量!B$6="交易类",H33*1.5/22,IF([1]项目总工作量!B$6="数据分析类",H33*1.5*0.9/22,IF([1]项目总工作量!B$6="流程管理类",H33*1.5*0.8/22,IF([1]项目总工作量!B$6="渠道类",H33*1.5*0.7/22,FALSE))))</f>
        <v>0.34090909090909088</v>
      </c>
      <c r="J33" s="88" t="s">
        <v>44</v>
      </c>
    </row>
    <row r="34" spans="1:10" s="90" customFormat="1" ht="12">
      <c r="A34" s="143"/>
      <c r="B34" s="144"/>
      <c r="C34" s="127"/>
      <c r="D34" s="85">
        <f t="shared" si="0"/>
        <v>0.34090909090909088</v>
      </c>
      <c r="E34" s="86"/>
      <c r="F34" s="87" t="s">
        <v>155</v>
      </c>
      <c r="G34" s="88" t="s">
        <v>67</v>
      </c>
      <c r="H34" s="89">
        <f t="shared" si="1"/>
        <v>5</v>
      </c>
      <c r="I34" s="88">
        <f>IF([1]项目总工作量!B$6="交易类",H34*1.5/22,IF([1]项目总工作量!B$6="数据分析类",H34*1.5*0.9/22,IF([1]项目总工作量!B$6="流程管理类",H34*1.5*0.8/22,IF([1]项目总工作量!B$6="渠道类",H34*1.5*0.7/22,FALSE))))</f>
        <v>0.34090909090909088</v>
      </c>
      <c r="J34" s="88" t="s">
        <v>44</v>
      </c>
    </row>
    <row r="35" spans="1:10" s="90" customFormat="1" ht="12">
      <c r="A35" s="143"/>
      <c r="B35" s="144"/>
      <c r="C35" s="127"/>
      <c r="D35" s="85">
        <f t="shared" si="0"/>
        <v>0.34090909090909088</v>
      </c>
      <c r="E35" s="86"/>
      <c r="F35" s="87" t="s">
        <v>156</v>
      </c>
      <c r="G35" s="88" t="s">
        <v>67</v>
      </c>
      <c r="H35" s="89">
        <f t="shared" si="1"/>
        <v>5</v>
      </c>
      <c r="I35" s="88">
        <f>IF([1]项目总工作量!B$6="交易类",H35*1.5/22,IF([1]项目总工作量!B$6="数据分析类",H35*1.5*0.9/22,IF([1]项目总工作量!B$6="流程管理类",H35*1.5*0.8/22,IF([1]项目总工作量!B$6="渠道类",H35*1.5*0.7/22,FALSE))))</f>
        <v>0.34090909090909088</v>
      </c>
      <c r="J35" s="88" t="s">
        <v>44</v>
      </c>
    </row>
    <row r="36" spans="1:10" s="90" customFormat="1" ht="12">
      <c r="A36" s="143">
        <v>2</v>
      </c>
      <c r="B36" s="143" t="s">
        <v>486</v>
      </c>
      <c r="C36" s="127" t="s">
        <v>487</v>
      </c>
      <c r="D36" s="85">
        <f t="shared" si="0"/>
        <v>0.27272727272727271</v>
      </c>
      <c r="E36" s="86"/>
      <c r="F36" s="87" t="s">
        <v>157</v>
      </c>
      <c r="G36" s="88" t="s">
        <v>66</v>
      </c>
      <c r="H36" s="89">
        <f t="shared" ref="H36:H67" si="2">IF(G36="EI",4,IF(G36="EO",5,IF(G36="EQ",4,0)))</f>
        <v>4</v>
      </c>
      <c r="I36" s="88">
        <f>IF([1]项目总工作量!B$6="交易类",H36*1.5/22,IF([1]项目总工作量!B$6="数据分析类",H36*1.5*0.9/22,IF([1]项目总工作量!B$6="流程管理类",H36*1.5*0.8/22,IF([1]项目总工作量!B$6="渠道类",H36*1.5*0.7/22,FALSE))))</f>
        <v>0.27272727272727271</v>
      </c>
      <c r="J36" s="88" t="s">
        <v>44</v>
      </c>
    </row>
    <row r="37" spans="1:10" s="90" customFormat="1" ht="12">
      <c r="A37" s="143"/>
      <c r="B37" s="143"/>
      <c r="C37" s="127"/>
      <c r="D37" s="85">
        <f t="shared" si="0"/>
        <v>0.27272727272727271</v>
      </c>
      <c r="E37" s="86"/>
      <c r="F37" s="87" t="s">
        <v>158</v>
      </c>
      <c r="G37" s="88" t="s">
        <v>66</v>
      </c>
      <c r="H37" s="89">
        <f t="shared" si="2"/>
        <v>4</v>
      </c>
      <c r="I37" s="88">
        <f>IF([1]项目总工作量!B$6="交易类",H37*1.5/22,IF([1]项目总工作量!B$6="数据分析类",H37*1.5*0.9/22,IF([1]项目总工作量!B$6="流程管理类",H37*1.5*0.8/22,IF([1]项目总工作量!B$6="渠道类",H37*1.5*0.7/22,FALSE))))</f>
        <v>0.27272727272727271</v>
      </c>
      <c r="J37" s="88" t="s">
        <v>44</v>
      </c>
    </row>
    <row r="38" spans="1:10" s="90" customFormat="1" ht="12">
      <c r="A38" s="143"/>
      <c r="B38" s="143"/>
      <c r="C38" s="127"/>
      <c r="D38" s="85">
        <f t="shared" si="0"/>
        <v>0.27272727272727271</v>
      </c>
      <c r="E38" s="86"/>
      <c r="F38" s="87" t="s">
        <v>159</v>
      </c>
      <c r="G38" s="88" t="s">
        <v>66</v>
      </c>
      <c r="H38" s="89">
        <f t="shared" si="2"/>
        <v>4</v>
      </c>
      <c r="I38" s="88">
        <f>IF([1]项目总工作量!B$6="交易类",H38*1.5/22,IF([1]项目总工作量!B$6="数据分析类",H38*1.5*0.9/22,IF([1]项目总工作量!B$6="流程管理类",H38*1.5*0.8/22,IF([1]项目总工作量!B$6="渠道类",H38*1.5*0.7/22,FALSE))))</f>
        <v>0.27272727272727271</v>
      </c>
      <c r="J38" s="88" t="s">
        <v>44</v>
      </c>
    </row>
    <row r="39" spans="1:10" s="90" customFormat="1" ht="12">
      <c r="A39" s="143"/>
      <c r="B39" s="143"/>
      <c r="C39" s="127"/>
      <c r="D39" s="85">
        <f t="shared" si="0"/>
        <v>0.27272727272727271</v>
      </c>
      <c r="E39" s="86"/>
      <c r="F39" s="87" t="s">
        <v>160</v>
      </c>
      <c r="G39" s="88" t="s">
        <v>66</v>
      </c>
      <c r="H39" s="89">
        <f t="shared" si="2"/>
        <v>4</v>
      </c>
      <c r="I39" s="88">
        <f>IF([1]项目总工作量!B$6="交易类",H39*1.5/22,IF([1]项目总工作量!B$6="数据分析类",H39*1.5*0.9/22,IF([1]项目总工作量!B$6="流程管理类",H39*1.5*0.8/22,IF([1]项目总工作量!B$6="渠道类",H39*1.5*0.7/22,FALSE))))</f>
        <v>0.27272727272727271</v>
      </c>
      <c r="J39" s="88" t="s">
        <v>44</v>
      </c>
    </row>
    <row r="40" spans="1:10" s="90" customFormat="1" ht="12">
      <c r="A40" s="143"/>
      <c r="B40" s="143"/>
      <c r="C40" s="127"/>
      <c r="D40" s="85">
        <f t="shared" si="0"/>
        <v>0.27272727272727271</v>
      </c>
      <c r="E40" s="86"/>
      <c r="F40" s="87" t="s">
        <v>161</v>
      </c>
      <c r="G40" s="88" t="s">
        <v>66</v>
      </c>
      <c r="H40" s="89">
        <f t="shared" si="2"/>
        <v>4</v>
      </c>
      <c r="I40" s="88">
        <f>IF([1]项目总工作量!B$6="交易类",H40*1.5/22,IF([1]项目总工作量!B$6="数据分析类",H40*1.5*0.9/22,IF([1]项目总工作量!B$6="流程管理类",H40*1.5*0.8/22,IF([1]项目总工作量!B$6="渠道类",H40*1.5*0.7/22,FALSE))))</f>
        <v>0.27272727272727271</v>
      </c>
      <c r="J40" s="88" t="s">
        <v>44</v>
      </c>
    </row>
    <row r="41" spans="1:10" s="90" customFormat="1" ht="12">
      <c r="A41" s="143"/>
      <c r="B41" s="143"/>
      <c r="C41" s="127"/>
      <c r="D41" s="85">
        <f t="shared" si="0"/>
        <v>0.27272727272727271</v>
      </c>
      <c r="E41" s="86"/>
      <c r="F41" s="87" t="s">
        <v>162</v>
      </c>
      <c r="G41" s="88" t="s">
        <v>66</v>
      </c>
      <c r="H41" s="89">
        <f t="shared" si="2"/>
        <v>4</v>
      </c>
      <c r="I41" s="88">
        <f>IF([1]项目总工作量!B$6="交易类",H41*1.5/22,IF([1]项目总工作量!B$6="数据分析类",H41*1.5*0.9/22,IF([1]项目总工作量!B$6="流程管理类",H41*1.5*0.8/22,IF([1]项目总工作量!B$6="渠道类",H41*1.5*0.7/22,FALSE))))</f>
        <v>0.27272727272727271</v>
      </c>
      <c r="J41" s="88" t="s">
        <v>44</v>
      </c>
    </row>
    <row r="42" spans="1:10" s="90" customFormat="1" ht="12">
      <c r="A42" s="143"/>
      <c r="B42" s="143"/>
      <c r="C42" s="127"/>
      <c r="D42" s="85">
        <f t="shared" si="0"/>
        <v>0.27272727272727271</v>
      </c>
      <c r="E42" s="86"/>
      <c r="F42" s="87" t="s">
        <v>163</v>
      </c>
      <c r="G42" s="88" t="s">
        <v>66</v>
      </c>
      <c r="H42" s="89">
        <f t="shared" si="2"/>
        <v>4</v>
      </c>
      <c r="I42" s="88">
        <f>IF([1]项目总工作量!B$6="交易类",H42*1.5/22,IF([1]项目总工作量!B$6="数据分析类",H42*1.5*0.9/22,IF([1]项目总工作量!B$6="流程管理类",H42*1.5*0.8/22,IF([1]项目总工作量!B$6="渠道类",H42*1.5*0.7/22,FALSE))))</f>
        <v>0.27272727272727271</v>
      </c>
      <c r="J42" s="88" t="s">
        <v>44</v>
      </c>
    </row>
    <row r="43" spans="1:10" s="90" customFormat="1" ht="12">
      <c r="A43" s="143"/>
      <c r="B43" s="143"/>
      <c r="C43" s="127"/>
      <c r="D43" s="85">
        <f t="shared" si="0"/>
        <v>0.27272727272727271</v>
      </c>
      <c r="E43" s="86"/>
      <c r="F43" s="87" t="s">
        <v>164</v>
      </c>
      <c r="G43" s="88" t="s">
        <v>66</v>
      </c>
      <c r="H43" s="89">
        <f t="shared" si="2"/>
        <v>4</v>
      </c>
      <c r="I43" s="88">
        <f>IF([1]项目总工作量!B$6="交易类",H43*1.5/22,IF([1]项目总工作量!B$6="数据分析类",H43*1.5*0.9/22,IF([1]项目总工作量!B$6="流程管理类",H43*1.5*0.8/22,IF([1]项目总工作量!B$6="渠道类",H43*1.5*0.7/22,FALSE))))</f>
        <v>0.27272727272727271</v>
      </c>
      <c r="J43" s="88" t="s">
        <v>44</v>
      </c>
    </row>
    <row r="44" spans="1:10" s="90" customFormat="1" ht="12">
      <c r="A44" s="143"/>
      <c r="B44" s="143"/>
      <c r="C44" s="127"/>
      <c r="D44" s="85">
        <f t="shared" si="0"/>
        <v>0.27272727272727271</v>
      </c>
      <c r="E44" s="86"/>
      <c r="F44" s="87" t="s">
        <v>165</v>
      </c>
      <c r="G44" s="88" t="s">
        <v>66</v>
      </c>
      <c r="H44" s="89">
        <f t="shared" si="2"/>
        <v>4</v>
      </c>
      <c r="I44" s="88">
        <f>IF([1]项目总工作量!B$6="交易类",H44*1.5/22,IF([1]项目总工作量!B$6="数据分析类",H44*1.5*0.9/22,IF([1]项目总工作量!B$6="流程管理类",H44*1.5*0.8/22,IF([1]项目总工作量!B$6="渠道类",H44*1.5*0.7/22,FALSE))))</f>
        <v>0.27272727272727271</v>
      </c>
      <c r="J44" s="88" t="s">
        <v>44</v>
      </c>
    </row>
    <row r="45" spans="1:10" s="90" customFormat="1" ht="12">
      <c r="A45" s="143"/>
      <c r="B45" s="143"/>
      <c r="C45" s="127"/>
      <c r="D45" s="85">
        <f t="shared" si="0"/>
        <v>0.27272727272727271</v>
      </c>
      <c r="E45" s="86"/>
      <c r="F45" s="87" t="s">
        <v>166</v>
      </c>
      <c r="G45" s="88" t="s">
        <v>66</v>
      </c>
      <c r="H45" s="89">
        <f t="shared" si="2"/>
        <v>4</v>
      </c>
      <c r="I45" s="88">
        <f>IF([1]项目总工作量!B$6="交易类",H45*1.5/22,IF([1]项目总工作量!B$6="数据分析类",H45*1.5*0.9/22,IF([1]项目总工作量!B$6="流程管理类",H45*1.5*0.8/22,IF([1]项目总工作量!B$6="渠道类",H45*1.5*0.7/22,FALSE))))</f>
        <v>0.27272727272727271</v>
      </c>
      <c r="J45" s="88" t="s">
        <v>44</v>
      </c>
    </row>
    <row r="46" spans="1:10" s="90" customFormat="1" ht="12">
      <c r="A46" s="143"/>
      <c r="B46" s="143"/>
      <c r="C46" s="127"/>
      <c r="D46" s="85">
        <f t="shared" si="0"/>
        <v>0.27272727272727271</v>
      </c>
      <c r="E46" s="86"/>
      <c r="F46" s="87" t="s">
        <v>167</v>
      </c>
      <c r="G46" s="88" t="s">
        <v>66</v>
      </c>
      <c r="H46" s="89">
        <f t="shared" si="2"/>
        <v>4</v>
      </c>
      <c r="I46" s="88">
        <f>IF([1]项目总工作量!B$6="交易类",H46*1.5/22,IF([1]项目总工作量!B$6="数据分析类",H46*1.5*0.9/22,IF([1]项目总工作量!B$6="流程管理类",H46*1.5*0.8/22,IF([1]项目总工作量!B$6="渠道类",H46*1.5*0.7/22,FALSE))))</f>
        <v>0.27272727272727271</v>
      </c>
      <c r="J46" s="88" t="s">
        <v>44</v>
      </c>
    </row>
    <row r="47" spans="1:10" s="90" customFormat="1" ht="12">
      <c r="A47" s="143"/>
      <c r="B47" s="143"/>
      <c r="C47" s="127"/>
      <c r="D47" s="85">
        <f t="shared" si="0"/>
        <v>0.27272727272727271</v>
      </c>
      <c r="E47" s="86"/>
      <c r="F47" s="87" t="s">
        <v>168</v>
      </c>
      <c r="G47" s="88" t="s">
        <v>66</v>
      </c>
      <c r="H47" s="89">
        <f t="shared" si="2"/>
        <v>4</v>
      </c>
      <c r="I47" s="88">
        <f>IF([1]项目总工作量!B$6="交易类",H47*1.5/22,IF([1]项目总工作量!B$6="数据分析类",H47*1.5*0.9/22,IF([1]项目总工作量!B$6="流程管理类",H47*1.5*0.8/22,IF([1]项目总工作量!B$6="渠道类",H47*1.5*0.7/22,FALSE))))</f>
        <v>0.27272727272727271</v>
      </c>
      <c r="J47" s="88" t="s">
        <v>44</v>
      </c>
    </row>
    <row r="48" spans="1:10" s="90" customFormat="1" ht="12">
      <c r="A48" s="143"/>
      <c r="B48" s="143"/>
      <c r="C48" s="127"/>
      <c r="D48" s="85">
        <f t="shared" si="0"/>
        <v>0.27272727272727271</v>
      </c>
      <c r="E48" s="86"/>
      <c r="F48" s="87" t="s">
        <v>169</v>
      </c>
      <c r="G48" s="88" t="s">
        <v>66</v>
      </c>
      <c r="H48" s="89">
        <f t="shared" si="2"/>
        <v>4</v>
      </c>
      <c r="I48" s="88">
        <f>IF([1]项目总工作量!B$6="交易类",H48*1.5/22,IF([1]项目总工作量!B$6="数据分析类",H48*1.5*0.9/22,IF([1]项目总工作量!B$6="流程管理类",H48*1.5*0.8/22,IF([1]项目总工作量!B$6="渠道类",H48*1.5*0.7/22,FALSE))))</f>
        <v>0.27272727272727271</v>
      </c>
      <c r="J48" s="88" t="s">
        <v>44</v>
      </c>
    </row>
    <row r="49" spans="1:10" s="90" customFormat="1" ht="12">
      <c r="A49" s="143"/>
      <c r="B49" s="143"/>
      <c r="C49" s="127"/>
      <c r="D49" s="85">
        <f t="shared" ref="D49:D113" si="3">I49</f>
        <v>0.27272727272727271</v>
      </c>
      <c r="E49" s="86"/>
      <c r="F49" s="87" t="s">
        <v>170</v>
      </c>
      <c r="G49" s="88" t="s">
        <v>66</v>
      </c>
      <c r="H49" s="89">
        <f t="shared" si="2"/>
        <v>4</v>
      </c>
      <c r="I49" s="88">
        <f>IF([1]项目总工作量!B$6="交易类",H49*1.5/22,IF([1]项目总工作量!B$6="数据分析类",H49*1.5*0.9/22,IF([1]项目总工作量!B$6="流程管理类",H49*1.5*0.8/22,IF([1]项目总工作量!B$6="渠道类",H49*1.5*0.7/22,FALSE))))</f>
        <v>0.27272727272727271</v>
      </c>
      <c r="J49" s="88" t="s">
        <v>44</v>
      </c>
    </row>
    <row r="50" spans="1:10" s="90" customFormat="1" ht="12">
      <c r="A50" s="143"/>
      <c r="B50" s="143"/>
      <c r="C50" s="127"/>
      <c r="D50" s="85">
        <f t="shared" si="3"/>
        <v>0.27272727272727271</v>
      </c>
      <c r="E50" s="86"/>
      <c r="F50" s="87" t="s">
        <v>171</v>
      </c>
      <c r="G50" s="88" t="s">
        <v>66</v>
      </c>
      <c r="H50" s="89">
        <f t="shared" si="2"/>
        <v>4</v>
      </c>
      <c r="I50" s="88">
        <f>IF([1]项目总工作量!B$6="交易类",H50*1.5/22,IF([1]项目总工作量!B$6="数据分析类",H50*1.5*0.9/22,IF([1]项目总工作量!B$6="流程管理类",H50*1.5*0.8/22,IF([1]项目总工作量!B$6="渠道类",H50*1.5*0.7/22,FALSE))))</f>
        <v>0.27272727272727271</v>
      </c>
      <c r="J50" s="88" t="s">
        <v>44</v>
      </c>
    </row>
    <row r="51" spans="1:10" s="90" customFormat="1" ht="12">
      <c r="A51" s="143"/>
      <c r="B51" s="143"/>
      <c r="C51" s="127"/>
      <c r="D51" s="85">
        <f t="shared" si="3"/>
        <v>0.27272727272727271</v>
      </c>
      <c r="E51" s="86"/>
      <c r="F51" s="87" t="s">
        <v>172</v>
      </c>
      <c r="G51" s="88" t="s">
        <v>66</v>
      </c>
      <c r="H51" s="89">
        <f t="shared" si="2"/>
        <v>4</v>
      </c>
      <c r="I51" s="88">
        <f>IF([1]项目总工作量!B$6="交易类",H51*1.5/22,IF([1]项目总工作量!B$6="数据分析类",H51*1.5*0.9/22,IF([1]项目总工作量!B$6="流程管理类",H51*1.5*0.8/22,IF([1]项目总工作量!B$6="渠道类",H51*1.5*0.7/22,FALSE))))</f>
        <v>0.27272727272727271</v>
      </c>
      <c r="J51" s="88" t="s">
        <v>44</v>
      </c>
    </row>
    <row r="52" spans="1:10" s="90" customFormat="1" ht="12">
      <c r="A52" s="143"/>
      <c r="B52" s="143"/>
      <c r="C52" s="127"/>
      <c r="D52" s="85">
        <f t="shared" si="3"/>
        <v>0.27272727272727271</v>
      </c>
      <c r="E52" s="86"/>
      <c r="F52" s="87" t="s">
        <v>173</v>
      </c>
      <c r="G52" s="88" t="s">
        <v>66</v>
      </c>
      <c r="H52" s="89">
        <f t="shared" si="2"/>
        <v>4</v>
      </c>
      <c r="I52" s="88">
        <f>IF([1]项目总工作量!B$6="交易类",H52*1.5/22,IF([1]项目总工作量!B$6="数据分析类",H52*1.5*0.9/22,IF([1]项目总工作量!B$6="流程管理类",H52*1.5*0.8/22,IF([1]项目总工作量!B$6="渠道类",H52*1.5*0.7/22,FALSE))))</f>
        <v>0.27272727272727271</v>
      </c>
      <c r="J52" s="88" t="s">
        <v>44</v>
      </c>
    </row>
    <row r="53" spans="1:10" s="90" customFormat="1" ht="12">
      <c r="A53" s="143"/>
      <c r="B53" s="143"/>
      <c r="C53" s="127"/>
      <c r="D53" s="85">
        <f t="shared" si="3"/>
        <v>0.27272727272727271</v>
      </c>
      <c r="E53" s="86"/>
      <c r="F53" s="87" t="s">
        <v>174</v>
      </c>
      <c r="G53" s="88" t="s">
        <v>66</v>
      </c>
      <c r="H53" s="89">
        <f t="shared" si="2"/>
        <v>4</v>
      </c>
      <c r="I53" s="88">
        <f>IF([1]项目总工作量!B$6="交易类",H53*1.5/22,IF([1]项目总工作量!B$6="数据分析类",H53*1.5*0.9/22,IF([1]项目总工作量!B$6="流程管理类",H53*1.5*0.8/22,IF([1]项目总工作量!B$6="渠道类",H53*1.5*0.7/22,FALSE))))</f>
        <v>0.27272727272727271</v>
      </c>
      <c r="J53" s="88" t="s">
        <v>44</v>
      </c>
    </row>
    <row r="54" spans="1:10" s="90" customFormat="1" ht="12">
      <c r="A54" s="143"/>
      <c r="B54" s="143"/>
      <c r="C54" s="127"/>
      <c r="D54" s="85">
        <f t="shared" si="3"/>
        <v>0.27272727272727271</v>
      </c>
      <c r="E54" s="86"/>
      <c r="F54" s="87" t="s">
        <v>175</v>
      </c>
      <c r="G54" s="88" t="s">
        <v>66</v>
      </c>
      <c r="H54" s="89">
        <f t="shared" si="2"/>
        <v>4</v>
      </c>
      <c r="I54" s="88">
        <f>IF([1]项目总工作量!B$6="交易类",H54*1.5/22,IF([1]项目总工作量!B$6="数据分析类",H54*1.5*0.9/22,IF([1]项目总工作量!B$6="流程管理类",H54*1.5*0.8/22,IF([1]项目总工作量!B$6="渠道类",H54*1.5*0.7/22,FALSE))))</f>
        <v>0.27272727272727271</v>
      </c>
      <c r="J54" s="88" t="s">
        <v>44</v>
      </c>
    </row>
    <row r="55" spans="1:10" s="90" customFormat="1" ht="12">
      <c r="A55" s="143"/>
      <c r="B55" s="143"/>
      <c r="C55" s="127"/>
      <c r="D55" s="85">
        <f t="shared" si="3"/>
        <v>0.27272727272727271</v>
      </c>
      <c r="E55" s="86"/>
      <c r="F55" s="87" t="s">
        <v>176</v>
      </c>
      <c r="G55" s="88" t="s">
        <v>66</v>
      </c>
      <c r="H55" s="89">
        <f t="shared" si="2"/>
        <v>4</v>
      </c>
      <c r="I55" s="88">
        <f>IF([1]项目总工作量!B$6="交易类",H55*1.5/22,IF([1]项目总工作量!B$6="数据分析类",H55*1.5*0.9/22,IF([1]项目总工作量!B$6="流程管理类",H55*1.5*0.8/22,IF([1]项目总工作量!B$6="渠道类",H55*1.5*0.7/22,FALSE))))</f>
        <v>0.27272727272727271</v>
      </c>
      <c r="J55" s="88" t="s">
        <v>44</v>
      </c>
    </row>
    <row r="56" spans="1:10" s="90" customFormat="1" ht="12">
      <c r="A56" s="143"/>
      <c r="B56" s="143"/>
      <c r="C56" s="127"/>
      <c r="D56" s="85">
        <f t="shared" si="3"/>
        <v>0.27272727272727271</v>
      </c>
      <c r="E56" s="86"/>
      <c r="F56" s="87" t="s">
        <v>177</v>
      </c>
      <c r="G56" s="88" t="s">
        <v>66</v>
      </c>
      <c r="H56" s="89">
        <f t="shared" si="2"/>
        <v>4</v>
      </c>
      <c r="I56" s="88">
        <f>IF([1]项目总工作量!B$6="交易类",H56*1.5/22,IF([1]项目总工作量!B$6="数据分析类",H56*1.5*0.9/22,IF([1]项目总工作量!B$6="流程管理类",H56*1.5*0.8/22,IF([1]项目总工作量!B$6="渠道类",H56*1.5*0.7/22,FALSE))))</f>
        <v>0.27272727272727271</v>
      </c>
      <c r="J56" s="88" t="s">
        <v>44</v>
      </c>
    </row>
    <row r="57" spans="1:10" s="90" customFormat="1" ht="12">
      <c r="A57" s="143"/>
      <c r="B57" s="143"/>
      <c r="C57" s="127"/>
      <c r="D57" s="85">
        <f t="shared" si="3"/>
        <v>0.27272727272727271</v>
      </c>
      <c r="E57" s="86"/>
      <c r="F57" s="87" t="s">
        <v>178</v>
      </c>
      <c r="G57" s="88" t="s">
        <v>66</v>
      </c>
      <c r="H57" s="89">
        <f t="shared" si="2"/>
        <v>4</v>
      </c>
      <c r="I57" s="88">
        <f>IF([1]项目总工作量!B$6="交易类",H57*1.5/22,IF([1]项目总工作量!B$6="数据分析类",H57*1.5*0.9/22,IF([1]项目总工作量!B$6="流程管理类",H57*1.5*0.8/22,IF([1]项目总工作量!B$6="渠道类",H57*1.5*0.7/22,FALSE))))</f>
        <v>0.27272727272727271</v>
      </c>
      <c r="J57" s="88" t="s">
        <v>44</v>
      </c>
    </row>
    <row r="58" spans="1:10" s="90" customFormat="1" ht="12">
      <c r="A58" s="143"/>
      <c r="B58" s="143"/>
      <c r="C58" s="127"/>
      <c r="D58" s="85">
        <f t="shared" si="3"/>
        <v>0.27272727272727271</v>
      </c>
      <c r="E58" s="86"/>
      <c r="F58" s="87" t="s">
        <v>179</v>
      </c>
      <c r="G58" s="88" t="s">
        <v>66</v>
      </c>
      <c r="H58" s="89">
        <f t="shared" si="2"/>
        <v>4</v>
      </c>
      <c r="I58" s="88">
        <f>IF([1]项目总工作量!B$6="交易类",H58*1.5/22,IF([1]项目总工作量!B$6="数据分析类",H58*1.5*0.9/22,IF([1]项目总工作量!B$6="流程管理类",H58*1.5*0.8/22,IF([1]项目总工作量!B$6="渠道类",H58*1.5*0.7/22,FALSE))))</f>
        <v>0.27272727272727271</v>
      </c>
      <c r="J58" s="88" t="s">
        <v>44</v>
      </c>
    </row>
    <row r="59" spans="1:10" s="90" customFormat="1" ht="12">
      <c r="A59" s="143"/>
      <c r="B59" s="143"/>
      <c r="C59" s="127"/>
      <c r="D59" s="85">
        <f t="shared" si="3"/>
        <v>0.27272727272727271</v>
      </c>
      <c r="E59" s="86"/>
      <c r="F59" s="87" t="s">
        <v>180</v>
      </c>
      <c r="G59" s="88" t="s">
        <v>66</v>
      </c>
      <c r="H59" s="89">
        <f t="shared" si="2"/>
        <v>4</v>
      </c>
      <c r="I59" s="88">
        <f>IF([1]项目总工作量!B$6="交易类",H59*1.5/22,IF([1]项目总工作量!B$6="数据分析类",H59*1.5*0.9/22,IF([1]项目总工作量!B$6="流程管理类",H59*1.5*0.8/22,IF([1]项目总工作量!B$6="渠道类",H59*1.5*0.7/22,FALSE))))</f>
        <v>0.27272727272727271</v>
      </c>
      <c r="J59" s="88" t="s">
        <v>44</v>
      </c>
    </row>
    <row r="60" spans="1:10" s="90" customFormat="1" ht="12">
      <c r="A60" s="143"/>
      <c r="B60" s="143"/>
      <c r="C60" s="127"/>
      <c r="D60" s="85">
        <f t="shared" si="3"/>
        <v>0.27272727272727271</v>
      </c>
      <c r="E60" s="86"/>
      <c r="F60" s="87" t="s">
        <v>181</v>
      </c>
      <c r="G60" s="88" t="s">
        <v>66</v>
      </c>
      <c r="H60" s="89">
        <f t="shared" si="2"/>
        <v>4</v>
      </c>
      <c r="I60" s="88">
        <f>IF([1]项目总工作量!B$6="交易类",H60*1.5/22,IF([1]项目总工作量!B$6="数据分析类",H60*1.5*0.9/22,IF([1]项目总工作量!B$6="流程管理类",H60*1.5*0.8/22,IF([1]项目总工作量!B$6="渠道类",H60*1.5*0.7/22,FALSE))))</f>
        <v>0.27272727272727271</v>
      </c>
      <c r="J60" s="88" t="s">
        <v>44</v>
      </c>
    </row>
    <row r="61" spans="1:10" s="90" customFormat="1" ht="12">
      <c r="A61" s="143"/>
      <c r="B61" s="143"/>
      <c r="C61" s="127"/>
      <c r="D61" s="85">
        <f t="shared" si="3"/>
        <v>0.27272727272727271</v>
      </c>
      <c r="E61" s="86"/>
      <c r="F61" s="87" t="s">
        <v>182</v>
      </c>
      <c r="G61" s="88" t="s">
        <v>66</v>
      </c>
      <c r="H61" s="89">
        <f t="shared" si="2"/>
        <v>4</v>
      </c>
      <c r="I61" s="88">
        <f>IF([1]项目总工作量!B$6="交易类",H61*1.5/22,IF([1]项目总工作量!B$6="数据分析类",H61*1.5*0.9/22,IF([1]项目总工作量!B$6="流程管理类",H61*1.5*0.8/22,IF([1]项目总工作量!B$6="渠道类",H61*1.5*0.7/22,FALSE))))</f>
        <v>0.27272727272727271</v>
      </c>
      <c r="J61" s="88" t="s">
        <v>44</v>
      </c>
    </row>
    <row r="62" spans="1:10" s="90" customFormat="1" ht="12">
      <c r="A62" s="143"/>
      <c r="B62" s="143"/>
      <c r="C62" s="127"/>
      <c r="D62" s="85">
        <f t="shared" si="3"/>
        <v>0.27272727272727271</v>
      </c>
      <c r="E62" s="86"/>
      <c r="F62" s="87" t="s">
        <v>183</v>
      </c>
      <c r="G62" s="88" t="s">
        <v>66</v>
      </c>
      <c r="H62" s="89">
        <f t="shared" si="2"/>
        <v>4</v>
      </c>
      <c r="I62" s="88">
        <f>IF([1]项目总工作量!B$6="交易类",H62*1.5/22,IF([1]项目总工作量!B$6="数据分析类",H62*1.5*0.9/22,IF([1]项目总工作量!B$6="流程管理类",H62*1.5*0.8/22,IF([1]项目总工作量!B$6="渠道类",H62*1.5*0.7/22,FALSE))))</f>
        <v>0.27272727272727271</v>
      </c>
      <c r="J62" s="88" t="s">
        <v>44</v>
      </c>
    </row>
    <row r="63" spans="1:10" s="90" customFormat="1" ht="12">
      <c r="A63" s="143"/>
      <c r="B63" s="143"/>
      <c r="C63" s="127"/>
      <c r="D63" s="85">
        <f t="shared" si="3"/>
        <v>0.27272727272727271</v>
      </c>
      <c r="E63" s="86"/>
      <c r="F63" s="87" t="s">
        <v>184</v>
      </c>
      <c r="G63" s="88" t="s">
        <v>66</v>
      </c>
      <c r="H63" s="89">
        <f t="shared" si="2"/>
        <v>4</v>
      </c>
      <c r="I63" s="88">
        <f>IF([1]项目总工作量!B$6="交易类",H63*1.5/22,IF([1]项目总工作量!B$6="数据分析类",H63*1.5*0.9/22,IF([1]项目总工作量!B$6="流程管理类",H63*1.5*0.8/22,IF([1]项目总工作量!B$6="渠道类",H63*1.5*0.7/22,FALSE))))</f>
        <v>0.27272727272727271</v>
      </c>
      <c r="J63" s="88" t="s">
        <v>44</v>
      </c>
    </row>
    <row r="64" spans="1:10" s="90" customFormat="1" ht="12">
      <c r="A64" s="143"/>
      <c r="B64" s="143"/>
      <c r="C64" s="127" t="s">
        <v>490</v>
      </c>
      <c r="D64" s="85">
        <f t="shared" si="3"/>
        <v>0.27272727272727271</v>
      </c>
      <c r="E64" s="86"/>
      <c r="F64" s="87" t="s">
        <v>185</v>
      </c>
      <c r="G64" s="88" t="s">
        <v>66</v>
      </c>
      <c r="H64" s="89">
        <f t="shared" si="2"/>
        <v>4</v>
      </c>
      <c r="I64" s="88">
        <f>IF([1]项目总工作量!B$6="交易类",H64*1.5/22,IF([1]项目总工作量!B$6="数据分析类",H64*1.5*0.9/22,IF([1]项目总工作量!B$6="流程管理类",H64*1.5*0.8/22,IF([1]项目总工作量!B$6="渠道类",H64*1.5*0.7/22,FALSE))))</f>
        <v>0.27272727272727271</v>
      </c>
      <c r="J64" s="88" t="s">
        <v>44</v>
      </c>
    </row>
    <row r="65" spans="1:10" s="90" customFormat="1" ht="12">
      <c r="A65" s="143"/>
      <c r="B65" s="143"/>
      <c r="C65" s="127"/>
      <c r="D65" s="85">
        <f t="shared" si="3"/>
        <v>0.27272727272727271</v>
      </c>
      <c r="E65" s="86"/>
      <c r="F65" s="87" t="s">
        <v>186</v>
      </c>
      <c r="G65" s="88" t="s">
        <v>66</v>
      </c>
      <c r="H65" s="89">
        <f t="shared" si="2"/>
        <v>4</v>
      </c>
      <c r="I65" s="88">
        <f>IF([1]项目总工作量!B$6="交易类",H65*1.5/22,IF([1]项目总工作量!B$6="数据分析类",H65*1.5*0.9/22,IF([1]项目总工作量!B$6="流程管理类",H65*1.5*0.8/22,IF([1]项目总工作量!B$6="渠道类",H65*1.5*0.7/22,FALSE))))</f>
        <v>0.27272727272727271</v>
      </c>
      <c r="J65" s="88" t="s">
        <v>44</v>
      </c>
    </row>
    <row r="66" spans="1:10" s="90" customFormat="1" ht="12">
      <c r="A66" s="143"/>
      <c r="B66" s="143"/>
      <c r="C66" s="127"/>
      <c r="D66" s="85">
        <f t="shared" si="3"/>
        <v>0.27272727272727271</v>
      </c>
      <c r="E66" s="86"/>
      <c r="F66" s="87" t="s">
        <v>187</v>
      </c>
      <c r="G66" s="88" t="s">
        <v>66</v>
      </c>
      <c r="H66" s="89">
        <f t="shared" si="2"/>
        <v>4</v>
      </c>
      <c r="I66" s="88">
        <f>IF([1]项目总工作量!B$6="交易类",H66*1.5/22,IF([1]项目总工作量!B$6="数据分析类",H66*1.5*0.9/22,IF([1]项目总工作量!B$6="流程管理类",H66*1.5*0.8/22,IF([1]项目总工作量!B$6="渠道类",H66*1.5*0.7/22,FALSE))))</f>
        <v>0.27272727272727271</v>
      </c>
      <c r="J66" s="88" t="s">
        <v>44</v>
      </c>
    </row>
    <row r="67" spans="1:10" s="90" customFormat="1" ht="12">
      <c r="A67" s="143"/>
      <c r="B67" s="143"/>
      <c r="C67" s="127"/>
      <c r="D67" s="85">
        <f t="shared" si="3"/>
        <v>0.27272727272727271</v>
      </c>
      <c r="E67" s="86"/>
      <c r="F67" s="87" t="s">
        <v>188</v>
      </c>
      <c r="G67" s="88" t="s">
        <v>66</v>
      </c>
      <c r="H67" s="89">
        <f t="shared" si="2"/>
        <v>4</v>
      </c>
      <c r="I67" s="88">
        <f>IF([1]项目总工作量!B$6="交易类",H67*1.5/22,IF([1]项目总工作量!B$6="数据分析类",H67*1.5*0.9/22,IF([1]项目总工作量!B$6="流程管理类",H67*1.5*0.8/22,IF([1]项目总工作量!B$6="渠道类",H67*1.5*0.7/22,FALSE))))</f>
        <v>0.27272727272727271</v>
      </c>
      <c r="J67" s="88" t="s">
        <v>44</v>
      </c>
    </row>
    <row r="68" spans="1:10" s="90" customFormat="1" ht="12">
      <c r="A68" s="143"/>
      <c r="B68" s="143"/>
      <c r="C68" s="127"/>
      <c r="D68" s="85">
        <f t="shared" si="3"/>
        <v>0.27272727272727271</v>
      </c>
      <c r="E68" s="86"/>
      <c r="F68" s="87" t="s">
        <v>189</v>
      </c>
      <c r="G68" s="88" t="s">
        <v>66</v>
      </c>
      <c r="H68" s="89">
        <f t="shared" ref="H68:H104" si="4">IF(G68="EI",4,IF(G68="EO",5,IF(G68="EQ",4,0)))</f>
        <v>4</v>
      </c>
      <c r="I68" s="88">
        <f>IF([1]项目总工作量!B$6="交易类",H68*1.5/22,IF([1]项目总工作量!B$6="数据分析类",H68*1.5*0.9/22,IF([1]项目总工作量!B$6="流程管理类",H68*1.5*0.8/22,IF([1]项目总工作量!B$6="渠道类",H68*1.5*0.7/22,FALSE))))</f>
        <v>0.27272727272727271</v>
      </c>
      <c r="J68" s="88" t="s">
        <v>44</v>
      </c>
    </row>
    <row r="69" spans="1:10" s="90" customFormat="1" ht="12">
      <c r="A69" s="143"/>
      <c r="B69" s="143"/>
      <c r="C69" s="127"/>
      <c r="D69" s="85">
        <f t="shared" si="3"/>
        <v>0.27272727272727271</v>
      </c>
      <c r="E69" s="86"/>
      <c r="F69" s="87" t="s">
        <v>190</v>
      </c>
      <c r="G69" s="88" t="s">
        <v>66</v>
      </c>
      <c r="H69" s="89">
        <f t="shared" si="4"/>
        <v>4</v>
      </c>
      <c r="I69" s="88">
        <f>IF([1]项目总工作量!B$6="交易类",H69*1.5/22,IF([1]项目总工作量!B$6="数据分析类",H69*1.5*0.9/22,IF([1]项目总工作量!B$6="流程管理类",H69*1.5*0.8/22,IF([1]项目总工作量!B$6="渠道类",H69*1.5*0.7/22,FALSE))))</f>
        <v>0.27272727272727271</v>
      </c>
      <c r="J69" s="88" t="s">
        <v>44</v>
      </c>
    </row>
    <row r="70" spans="1:10" s="90" customFormat="1" ht="12">
      <c r="A70" s="143"/>
      <c r="B70" s="143"/>
      <c r="C70" s="127"/>
      <c r="D70" s="85">
        <f t="shared" si="3"/>
        <v>0.27272727272727271</v>
      </c>
      <c r="E70" s="86"/>
      <c r="F70" s="87" t="s">
        <v>191</v>
      </c>
      <c r="G70" s="88" t="s">
        <v>66</v>
      </c>
      <c r="H70" s="89">
        <f t="shared" si="4"/>
        <v>4</v>
      </c>
      <c r="I70" s="88">
        <f>IF([1]项目总工作量!B$6="交易类",H70*1.5/22,IF([1]项目总工作量!B$6="数据分析类",H70*1.5*0.9/22,IF([1]项目总工作量!B$6="流程管理类",H70*1.5*0.8/22,IF([1]项目总工作量!B$6="渠道类",H70*1.5*0.7/22,FALSE))))</f>
        <v>0.27272727272727271</v>
      </c>
      <c r="J70" s="88" t="s">
        <v>44</v>
      </c>
    </row>
    <row r="71" spans="1:10" s="90" customFormat="1" ht="12">
      <c r="A71" s="143"/>
      <c r="B71" s="143"/>
      <c r="C71" s="127"/>
      <c r="D71" s="85">
        <f t="shared" si="3"/>
        <v>0.27272727272727271</v>
      </c>
      <c r="E71" s="86"/>
      <c r="F71" s="87" t="s">
        <v>192</v>
      </c>
      <c r="G71" s="88" t="s">
        <v>66</v>
      </c>
      <c r="H71" s="89">
        <f t="shared" si="4"/>
        <v>4</v>
      </c>
      <c r="I71" s="88">
        <f>IF([1]项目总工作量!B$6="交易类",H71*1.5/22,IF([1]项目总工作量!B$6="数据分析类",H71*1.5*0.9/22,IF([1]项目总工作量!B$6="流程管理类",H71*1.5*0.8/22,IF([1]项目总工作量!B$6="渠道类",H71*1.5*0.7/22,FALSE))))</f>
        <v>0.27272727272727271</v>
      </c>
      <c r="J71" s="88" t="s">
        <v>44</v>
      </c>
    </row>
    <row r="72" spans="1:10" s="90" customFormat="1" ht="12">
      <c r="A72" s="143"/>
      <c r="B72" s="143"/>
      <c r="C72" s="127"/>
      <c r="D72" s="85">
        <f t="shared" si="3"/>
        <v>0.27272727272727271</v>
      </c>
      <c r="E72" s="86"/>
      <c r="F72" s="87" t="s">
        <v>193</v>
      </c>
      <c r="G72" s="88" t="s">
        <v>66</v>
      </c>
      <c r="H72" s="89">
        <f t="shared" si="4"/>
        <v>4</v>
      </c>
      <c r="I72" s="88">
        <f>IF([1]项目总工作量!B$6="交易类",H72*1.5/22,IF([1]项目总工作量!B$6="数据分析类",H72*1.5*0.9/22,IF([1]项目总工作量!B$6="流程管理类",H72*1.5*0.8/22,IF([1]项目总工作量!B$6="渠道类",H72*1.5*0.7/22,FALSE))))</f>
        <v>0.27272727272727271</v>
      </c>
      <c r="J72" s="88" t="s">
        <v>44</v>
      </c>
    </row>
    <row r="73" spans="1:10" s="90" customFormat="1" ht="12">
      <c r="A73" s="143"/>
      <c r="B73" s="143"/>
      <c r="C73" s="127"/>
      <c r="D73" s="85">
        <f t="shared" si="3"/>
        <v>0.27272727272727271</v>
      </c>
      <c r="E73" s="86"/>
      <c r="F73" s="87" t="s">
        <v>194</v>
      </c>
      <c r="G73" s="88" t="s">
        <v>66</v>
      </c>
      <c r="H73" s="89">
        <f t="shared" si="4"/>
        <v>4</v>
      </c>
      <c r="I73" s="88">
        <f>IF([1]项目总工作量!B$6="交易类",H73*1.5/22,IF([1]项目总工作量!B$6="数据分析类",H73*1.5*0.9/22,IF([1]项目总工作量!B$6="流程管理类",H73*1.5*0.8/22,IF([1]项目总工作量!B$6="渠道类",H73*1.5*0.7/22,FALSE))))</f>
        <v>0.27272727272727271</v>
      </c>
      <c r="J73" s="88" t="s">
        <v>44</v>
      </c>
    </row>
    <row r="74" spans="1:10" s="90" customFormat="1" ht="12">
      <c r="A74" s="143"/>
      <c r="B74" s="143"/>
      <c r="C74" s="127"/>
      <c r="D74" s="85">
        <f t="shared" si="3"/>
        <v>0.27272727272727271</v>
      </c>
      <c r="E74" s="86"/>
      <c r="F74" s="87" t="s">
        <v>195</v>
      </c>
      <c r="G74" s="88" t="s">
        <v>66</v>
      </c>
      <c r="H74" s="89">
        <f t="shared" si="4"/>
        <v>4</v>
      </c>
      <c r="I74" s="88">
        <f>IF([1]项目总工作量!B$6="交易类",H74*1.5/22,IF([1]项目总工作量!B$6="数据分析类",H74*1.5*0.9/22,IF([1]项目总工作量!B$6="流程管理类",H74*1.5*0.8/22,IF([1]项目总工作量!B$6="渠道类",H74*1.5*0.7/22,FALSE))))</f>
        <v>0.27272727272727271</v>
      </c>
      <c r="J74" s="88" t="s">
        <v>44</v>
      </c>
    </row>
    <row r="75" spans="1:10" s="90" customFormat="1" ht="12">
      <c r="A75" s="143"/>
      <c r="B75" s="143"/>
      <c r="C75" s="127"/>
      <c r="D75" s="85">
        <f t="shared" si="3"/>
        <v>0.27272727272727271</v>
      </c>
      <c r="E75" s="86"/>
      <c r="F75" s="87" t="s">
        <v>196</v>
      </c>
      <c r="G75" s="88" t="s">
        <v>66</v>
      </c>
      <c r="H75" s="89">
        <f t="shared" si="4"/>
        <v>4</v>
      </c>
      <c r="I75" s="88">
        <f>IF([1]项目总工作量!B$6="交易类",H75*1.5/22,IF([1]项目总工作量!B$6="数据分析类",H75*1.5*0.9/22,IF([1]项目总工作量!B$6="流程管理类",H75*1.5*0.8/22,IF([1]项目总工作量!B$6="渠道类",H75*1.5*0.7/22,FALSE))))</f>
        <v>0.27272727272727271</v>
      </c>
      <c r="J75" s="88" t="s">
        <v>44</v>
      </c>
    </row>
    <row r="76" spans="1:10" s="90" customFormat="1" ht="12">
      <c r="A76" s="143"/>
      <c r="B76" s="143"/>
      <c r="C76" s="127"/>
      <c r="D76" s="85">
        <f t="shared" si="3"/>
        <v>0.27272727272727271</v>
      </c>
      <c r="E76" s="86"/>
      <c r="F76" s="87" t="s">
        <v>197</v>
      </c>
      <c r="G76" s="88" t="s">
        <v>66</v>
      </c>
      <c r="H76" s="89">
        <f t="shared" si="4"/>
        <v>4</v>
      </c>
      <c r="I76" s="88">
        <f>IF([1]项目总工作量!B$6="交易类",H76*1.5/22,IF([1]项目总工作量!B$6="数据分析类",H76*1.5*0.9/22,IF([1]项目总工作量!B$6="流程管理类",H76*1.5*0.8/22,IF([1]项目总工作量!B$6="渠道类",H76*1.5*0.7/22,FALSE))))</f>
        <v>0.27272727272727271</v>
      </c>
      <c r="J76" s="88" t="s">
        <v>44</v>
      </c>
    </row>
    <row r="77" spans="1:10" s="90" customFormat="1" ht="12">
      <c r="A77" s="143"/>
      <c r="B77" s="143"/>
      <c r="C77" s="127"/>
      <c r="D77" s="85">
        <f t="shared" si="3"/>
        <v>0.27272727272727271</v>
      </c>
      <c r="E77" s="86"/>
      <c r="F77" s="87" t="s">
        <v>198</v>
      </c>
      <c r="G77" s="88" t="s">
        <v>66</v>
      </c>
      <c r="H77" s="89">
        <f t="shared" si="4"/>
        <v>4</v>
      </c>
      <c r="I77" s="88">
        <f>IF([1]项目总工作量!B$6="交易类",H77*1.5/22,IF([1]项目总工作量!B$6="数据分析类",H77*1.5*0.9/22,IF([1]项目总工作量!B$6="流程管理类",H77*1.5*0.8/22,IF([1]项目总工作量!B$6="渠道类",H77*1.5*0.7/22,FALSE))))</f>
        <v>0.27272727272727271</v>
      </c>
      <c r="J77" s="88" t="s">
        <v>44</v>
      </c>
    </row>
    <row r="78" spans="1:10" s="90" customFormat="1" ht="12">
      <c r="A78" s="143"/>
      <c r="B78" s="143"/>
      <c r="C78" s="127"/>
      <c r="D78" s="85">
        <f t="shared" si="3"/>
        <v>0.27272727272727271</v>
      </c>
      <c r="E78" s="86"/>
      <c r="F78" s="87" t="s">
        <v>199</v>
      </c>
      <c r="G78" s="88" t="s">
        <v>66</v>
      </c>
      <c r="H78" s="89">
        <f t="shared" si="4"/>
        <v>4</v>
      </c>
      <c r="I78" s="88">
        <f>IF([1]项目总工作量!B$6="交易类",H78*1.5/22,IF([1]项目总工作量!B$6="数据分析类",H78*1.5*0.9/22,IF([1]项目总工作量!B$6="流程管理类",H78*1.5*0.8/22,IF([1]项目总工作量!B$6="渠道类",H78*1.5*0.7/22,FALSE))))</f>
        <v>0.27272727272727271</v>
      </c>
      <c r="J78" s="88" t="s">
        <v>44</v>
      </c>
    </row>
    <row r="79" spans="1:10" s="90" customFormat="1" ht="12">
      <c r="A79" s="143"/>
      <c r="B79" s="143"/>
      <c r="C79" s="127"/>
      <c r="D79" s="85">
        <f t="shared" si="3"/>
        <v>0.27272727272727271</v>
      </c>
      <c r="E79" s="86"/>
      <c r="F79" s="87" t="s">
        <v>200</v>
      </c>
      <c r="G79" s="88" t="s">
        <v>66</v>
      </c>
      <c r="H79" s="89">
        <f t="shared" si="4"/>
        <v>4</v>
      </c>
      <c r="I79" s="88">
        <f>IF([1]项目总工作量!B$6="交易类",H79*1.5/22,IF([1]项目总工作量!B$6="数据分析类",H79*1.5*0.9/22,IF([1]项目总工作量!B$6="流程管理类",H79*1.5*0.8/22,IF([1]项目总工作量!B$6="渠道类",H79*1.5*0.7/22,FALSE))))</f>
        <v>0.27272727272727271</v>
      </c>
      <c r="J79" s="88" t="s">
        <v>44</v>
      </c>
    </row>
    <row r="80" spans="1:10" s="90" customFormat="1" ht="12">
      <c r="A80" s="143"/>
      <c r="B80" s="143"/>
      <c r="C80" s="127"/>
      <c r="D80" s="85">
        <f t="shared" si="3"/>
        <v>0.27272727272727271</v>
      </c>
      <c r="E80" s="86"/>
      <c r="F80" s="87" t="s">
        <v>201</v>
      </c>
      <c r="G80" s="88" t="s">
        <v>66</v>
      </c>
      <c r="H80" s="89">
        <f t="shared" si="4"/>
        <v>4</v>
      </c>
      <c r="I80" s="88">
        <f>IF([1]项目总工作量!B$6="交易类",H80*1.5/22,IF([1]项目总工作量!B$6="数据分析类",H80*1.5*0.9/22,IF([1]项目总工作量!B$6="流程管理类",H80*1.5*0.8/22,IF([1]项目总工作量!B$6="渠道类",H80*1.5*0.7/22,FALSE))))</f>
        <v>0.27272727272727271</v>
      </c>
      <c r="J80" s="88" t="s">
        <v>44</v>
      </c>
    </row>
    <row r="81" spans="1:10" s="90" customFormat="1" ht="12">
      <c r="A81" s="143">
        <v>3</v>
      </c>
      <c r="B81" s="124" t="s">
        <v>72</v>
      </c>
      <c r="C81" s="154" t="s">
        <v>70</v>
      </c>
      <c r="D81" s="85">
        <f t="shared" si="3"/>
        <v>0.27272727272727271</v>
      </c>
      <c r="E81" s="86"/>
      <c r="F81" s="87" t="s">
        <v>559</v>
      </c>
      <c r="G81" s="88" t="s">
        <v>66</v>
      </c>
      <c r="H81" s="89">
        <f t="shared" si="4"/>
        <v>4</v>
      </c>
      <c r="I81" s="88">
        <f>IF(项目总工作量!B$6="交易类",H81*1.5/22,IF(项目总工作量!B$6="数据分析类",H81*1.5*0.9/22,IF(项目总工作量!B$6="流程管理类",H81*1.5*0.8/22,IF(项目总工作量!B$6="渠道类",H81*1.5*0.7/22,FALSE))))</f>
        <v>0.27272727272727271</v>
      </c>
      <c r="J81" s="88" t="s">
        <v>44</v>
      </c>
    </row>
    <row r="82" spans="1:10" s="90" customFormat="1" ht="12">
      <c r="A82" s="143"/>
      <c r="B82" s="125"/>
      <c r="C82" s="155"/>
      <c r="D82" s="85">
        <f t="shared" si="3"/>
        <v>0.27272727272727271</v>
      </c>
      <c r="E82" s="86"/>
      <c r="F82" s="93" t="s">
        <v>560</v>
      </c>
      <c r="G82" s="88" t="s">
        <v>66</v>
      </c>
      <c r="H82" s="89">
        <f t="shared" si="4"/>
        <v>4</v>
      </c>
      <c r="I82" s="88">
        <f>IF(项目总工作量!B$6="交易类",H82*1.5/22,IF(项目总工作量!B$6="数据分析类",H82*1.5*0.9/22,IF(项目总工作量!B$6="流程管理类",H82*1.5*0.8/22,IF(项目总工作量!B$6="渠道类",H82*1.5*0.7/22,FALSE))))</f>
        <v>0.27272727272727271</v>
      </c>
      <c r="J82" s="88"/>
    </row>
    <row r="83" spans="1:10" s="90" customFormat="1" ht="12">
      <c r="A83" s="143"/>
      <c r="B83" s="125"/>
      <c r="C83" s="155"/>
      <c r="D83" s="85">
        <f t="shared" si="3"/>
        <v>0.27272727272727271</v>
      </c>
      <c r="E83" s="86"/>
      <c r="F83" s="93" t="s">
        <v>564</v>
      </c>
      <c r="G83" s="88" t="s">
        <v>66</v>
      </c>
      <c r="H83" s="89">
        <f t="shared" si="4"/>
        <v>4</v>
      </c>
      <c r="I83" s="88">
        <f>IF(项目总工作量!B$6="交易类",H83*1.5/22,IF(项目总工作量!B$6="数据分析类",H83*1.5*0.9/22,IF(项目总工作量!B$6="流程管理类",H83*1.5*0.8/22,IF(项目总工作量!B$6="渠道类",H83*1.5*0.7/22,FALSE))))</f>
        <v>0.27272727272727271</v>
      </c>
      <c r="J83" s="88"/>
    </row>
    <row r="84" spans="1:10" s="90" customFormat="1" ht="12">
      <c r="A84" s="143"/>
      <c r="B84" s="125"/>
      <c r="C84" s="155"/>
      <c r="D84" s="85">
        <f t="shared" si="3"/>
        <v>0.27272727272727271</v>
      </c>
      <c r="E84" s="86"/>
      <c r="F84" s="93" t="s">
        <v>565</v>
      </c>
      <c r="G84" s="88" t="s">
        <v>66</v>
      </c>
      <c r="H84" s="89">
        <f t="shared" si="4"/>
        <v>4</v>
      </c>
      <c r="I84" s="88">
        <f>IF(项目总工作量!B$6="交易类",H84*1.5/22,IF(项目总工作量!B$6="数据分析类",H84*1.5*0.9/22,IF(项目总工作量!B$6="流程管理类",H84*1.5*0.8/22,IF(项目总工作量!B$6="渠道类",H84*1.5*0.7/22,FALSE))))</f>
        <v>0.27272727272727271</v>
      </c>
      <c r="J84" s="88"/>
    </row>
    <row r="85" spans="1:10" s="90" customFormat="1" ht="12">
      <c r="A85" s="143"/>
      <c r="B85" s="125"/>
      <c r="C85" s="155"/>
      <c r="D85" s="85">
        <f t="shared" si="3"/>
        <v>0.27272727272727271</v>
      </c>
      <c r="E85" s="86"/>
      <c r="F85" s="87" t="s">
        <v>561</v>
      </c>
      <c r="G85" s="88" t="s">
        <v>66</v>
      </c>
      <c r="H85" s="89">
        <f t="shared" si="4"/>
        <v>4</v>
      </c>
      <c r="I85" s="88">
        <f>IF(项目总工作量!B$6="交易类",H85*1.5/22,IF(项目总工作量!B$6="数据分析类",H85*1.5*0.9/22,IF(项目总工作量!B$6="流程管理类",H85*1.5*0.8/22,IF(项目总工作量!B$6="渠道类",H85*1.5*0.7/22,FALSE))))</f>
        <v>0.27272727272727271</v>
      </c>
      <c r="J85" s="88" t="s">
        <v>44</v>
      </c>
    </row>
    <row r="86" spans="1:10" s="90" customFormat="1" ht="12">
      <c r="A86" s="143"/>
      <c r="B86" s="125"/>
      <c r="C86" s="155"/>
      <c r="D86" s="85">
        <f t="shared" si="3"/>
        <v>0.27272727272727271</v>
      </c>
      <c r="E86" s="86"/>
      <c r="F86" s="93" t="s">
        <v>562</v>
      </c>
      <c r="G86" s="88" t="s">
        <v>66</v>
      </c>
      <c r="H86" s="89">
        <f t="shared" si="4"/>
        <v>4</v>
      </c>
      <c r="I86" s="88">
        <f>IF(项目总工作量!B$6="交易类",H86*1.5/22,IF(项目总工作量!B$6="数据分析类",H86*1.5*0.9/22,IF(项目总工作量!B$6="流程管理类",H86*1.5*0.8/22,IF(项目总工作量!B$6="渠道类",H86*1.5*0.7/22,FALSE))))</f>
        <v>0.27272727272727271</v>
      </c>
      <c r="J86" s="88"/>
    </row>
    <row r="87" spans="1:10" s="90" customFormat="1" ht="12">
      <c r="A87" s="143"/>
      <c r="B87" s="125"/>
      <c r="C87" s="155"/>
      <c r="D87" s="85">
        <f t="shared" si="3"/>
        <v>0.27272727272727271</v>
      </c>
      <c r="E87" s="86"/>
      <c r="F87" s="93" t="s">
        <v>563</v>
      </c>
      <c r="G87" s="88" t="s">
        <v>66</v>
      </c>
      <c r="H87" s="89">
        <f t="shared" si="4"/>
        <v>4</v>
      </c>
      <c r="I87" s="88">
        <f>IF(项目总工作量!B$6="交易类",H87*1.5/22,IF(项目总工作量!B$6="数据分析类",H87*1.5*0.9/22,IF(项目总工作量!B$6="流程管理类",H87*1.5*0.8/22,IF(项目总工作量!B$6="渠道类",H87*1.5*0.7/22,FALSE))))</f>
        <v>0.27272727272727271</v>
      </c>
      <c r="J87" s="88"/>
    </row>
    <row r="88" spans="1:10" s="90" customFormat="1" ht="12">
      <c r="A88" s="143"/>
      <c r="B88" s="125"/>
      <c r="C88" s="155"/>
      <c r="D88" s="85">
        <f t="shared" si="3"/>
        <v>0.27272727272727271</v>
      </c>
      <c r="E88" s="86"/>
      <c r="F88" s="87" t="s">
        <v>71</v>
      </c>
      <c r="G88" s="88" t="s">
        <v>66</v>
      </c>
      <c r="H88" s="89">
        <f t="shared" si="4"/>
        <v>4</v>
      </c>
      <c r="I88" s="88">
        <f>IF(项目总工作量!B$6="交易类",H88*1.5/22,IF(项目总工作量!B$6="数据分析类",H88*1.5*0.9/22,IF(项目总工作量!B$6="流程管理类",H88*1.5*0.8/22,IF(项目总工作量!B$6="渠道类",H88*1.5*0.7/22,FALSE))))</f>
        <v>0.27272727272727271</v>
      </c>
      <c r="J88" s="88" t="s">
        <v>44</v>
      </c>
    </row>
    <row r="89" spans="1:10" s="90" customFormat="1" ht="12">
      <c r="A89" s="143"/>
      <c r="B89" s="125"/>
      <c r="C89" s="155"/>
      <c r="D89" s="85">
        <f t="shared" si="3"/>
        <v>0.27272727272727271</v>
      </c>
      <c r="E89" s="86"/>
      <c r="F89" s="87" t="s">
        <v>75</v>
      </c>
      <c r="G89" s="88" t="s">
        <v>66</v>
      </c>
      <c r="H89" s="89">
        <f t="shared" si="4"/>
        <v>4</v>
      </c>
      <c r="I89" s="88">
        <f>IF(项目总工作量!B$6="交易类",H89*1.5/22,IF(项目总工作量!B$6="数据分析类",H89*1.5*0.9/22,IF(项目总工作量!B$6="流程管理类",H89*1.5*0.8/22,IF(项目总工作量!B$6="渠道类",H89*1.5*0.7/22,FALSE))))</f>
        <v>0.27272727272727271</v>
      </c>
      <c r="J89" s="88" t="s">
        <v>44</v>
      </c>
    </row>
    <row r="90" spans="1:10" s="90" customFormat="1" ht="12">
      <c r="A90" s="143"/>
      <c r="B90" s="125"/>
      <c r="C90" s="155"/>
      <c r="D90" s="85">
        <f t="shared" si="3"/>
        <v>0.27272727272727271</v>
      </c>
      <c r="E90" s="86"/>
      <c r="F90" s="87" t="s">
        <v>73</v>
      </c>
      <c r="G90" s="88" t="s">
        <v>66</v>
      </c>
      <c r="H90" s="89">
        <f t="shared" si="4"/>
        <v>4</v>
      </c>
      <c r="I90" s="88">
        <f>IF(项目总工作量!B$6="交易类",H90*1.5/22,IF(项目总工作量!B$6="数据分析类",H90*1.5*0.9/22,IF(项目总工作量!B$6="流程管理类",H90*1.5*0.8/22,IF(项目总工作量!B$6="渠道类",H90*1.5*0.7/22,FALSE))))</f>
        <v>0.27272727272727271</v>
      </c>
      <c r="J90" s="88" t="s">
        <v>44</v>
      </c>
    </row>
    <row r="91" spans="1:10" s="90" customFormat="1" ht="12">
      <c r="A91" s="143"/>
      <c r="B91" s="125"/>
      <c r="C91" s="155"/>
      <c r="D91" s="85">
        <f t="shared" si="3"/>
        <v>0.27272727272727271</v>
      </c>
      <c r="E91" s="86"/>
      <c r="F91" s="87" t="s">
        <v>78</v>
      </c>
      <c r="G91" s="88" t="s">
        <v>66</v>
      </c>
      <c r="H91" s="89">
        <f t="shared" si="4"/>
        <v>4</v>
      </c>
      <c r="I91" s="88">
        <f>IF(项目总工作量!B$6="交易类",H91*1.5/22,IF(项目总工作量!B$6="数据分析类",H91*1.5*0.9/22,IF(项目总工作量!B$6="流程管理类",H91*1.5*0.8/22,IF(项目总工作量!B$6="渠道类",H91*1.5*0.7/22,FALSE))))</f>
        <v>0.27272727272727271</v>
      </c>
      <c r="J91" s="88" t="s">
        <v>44</v>
      </c>
    </row>
    <row r="92" spans="1:10" s="90" customFormat="1" ht="12">
      <c r="A92" s="143"/>
      <c r="B92" s="125"/>
      <c r="C92" s="155"/>
      <c r="D92" s="85">
        <f t="shared" si="3"/>
        <v>0.27272727272727271</v>
      </c>
      <c r="E92" s="86"/>
      <c r="F92" s="87" t="s">
        <v>74</v>
      </c>
      <c r="G92" s="88" t="s">
        <v>66</v>
      </c>
      <c r="H92" s="89">
        <f t="shared" si="4"/>
        <v>4</v>
      </c>
      <c r="I92" s="88">
        <f>IF(项目总工作量!B$6="交易类",H92*1.5/22,IF(项目总工作量!B$6="数据分析类",H92*1.5*0.9/22,IF(项目总工作量!B$6="流程管理类",H92*1.5*0.8/22,IF(项目总工作量!B$6="渠道类",H92*1.5*0.7/22,FALSE))))</f>
        <v>0.27272727272727271</v>
      </c>
      <c r="J92" s="88" t="s">
        <v>44</v>
      </c>
    </row>
    <row r="93" spans="1:10" s="90" customFormat="1" ht="12">
      <c r="A93" s="143"/>
      <c r="B93" s="125"/>
      <c r="C93" s="155"/>
      <c r="D93" s="85">
        <f t="shared" si="3"/>
        <v>0.27272727272727271</v>
      </c>
      <c r="E93" s="86"/>
      <c r="F93" s="105" t="s">
        <v>566</v>
      </c>
      <c r="G93" s="88" t="s">
        <v>66</v>
      </c>
      <c r="H93" s="89">
        <f t="shared" si="4"/>
        <v>4</v>
      </c>
      <c r="I93" s="88">
        <f>IF(项目总工作量!B$6="交易类",H93*1.5/22,IF(项目总工作量!B$6="数据分析类",H93*1.5*0.9/22,IF(项目总工作量!B$6="流程管理类",H93*1.5*0.8/22,IF(项目总工作量!B$6="渠道类",H93*1.5*0.7/22,FALSE))))</f>
        <v>0.27272727272727271</v>
      </c>
      <c r="J93" s="88" t="s">
        <v>44</v>
      </c>
    </row>
    <row r="94" spans="1:10" s="90" customFormat="1" ht="12">
      <c r="A94" s="143"/>
      <c r="B94" s="125"/>
      <c r="C94" s="155"/>
      <c r="D94" s="85">
        <f t="shared" si="3"/>
        <v>0.27272727272727271</v>
      </c>
      <c r="E94" s="86"/>
      <c r="F94" s="105" t="s">
        <v>567</v>
      </c>
      <c r="G94" s="88" t="s">
        <v>66</v>
      </c>
      <c r="H94" s="89">
        <f t="shared" si="4"/>
        <v>4</v>
      </c>
      <c r="I94" s="88">
        <f>IF(项目总工作量!B$6="交易类",H94*1.5/22,IF(项目总工作量!B$6="数据分析类",H94*1.5*0.9/22,IF(项目总工作量!B$6="流程管理类",H94*1.5*0.8/22,IF(项目总工作量!B$6="渠道类",H94*1.5*0.7/22,FALSE))))</f>
        <v>0.27272727272727271</v>
      </c>
      <c r="J94" s="88" t="s">
        <v>44</v>
      </c>
    </row>
    <row r="95" spans="1:10" s="90" customFormat="1" ht="12">
      <c r="A95" s="143"/>
      <c r="B95" s="125"/>
      <c r="C95" s="156"/>
      <c r="D95" s="85">
        <f t="shared" si="3"/>
        <v>0.27272727272727271</v>
      </c>
      <c r="E95" s="86"/>
      <c r="F95" s="105" t="s">
        <v>568</v>
      </c>
      <c r="G95" s="88" t="s">
        <v>66</v>
      </c>
      <c r="H95" s="89">
        <f t="shared" si="4"/>
        <v>4</v>
      </c>
      <c r="I95" s="88">
        <f>IF(项目总工作量!B$6="交易类",H95*1.5/22,IF(项目总工作量!B$6="数据分析类",H95*1.5*0.9/22,IF(项目总工作量!B$6="流程管理类",H95*1.5*0.8/22,IF(项目总工作量!B$6="渠道类",H95*1.5*0.7/22,FALSE))))</f>
        <v>0.27272727272727271</v>
      </c>
      <c r="J95" s="88" t="s">
        <v>44</v>
      </c>
    </row>
    <row r="96" spans="1:10" s="90" customFormat="1" ht="12.45" customHeight="1">
      <c r="A96" s="143"/>
      <c r="B96" s="125"/>
      <c r="C96" s="52" t="s">
        <v>80</v>
      </c>
      <c r="D96" s="85">
        <f t="shared" si="3"/>
        <v>0.27272727272727271</v>
      </c>
      <c r="E96" s="86"/>
      <c r="F96" s="87" t="s">
        <v>569</v>
      </c>
      <c r="G96" s="88" t="s">
        <v>66</v>
      </c>
      <c r="H96" s="89">
        <f t="shared" si="4"/>
        <v>4</v>
      </c>
      <c r="I96" s="88">
        <f>IF(项目总工作量!B$6="交易类",H96*1.5/22,IF(项目总工作量!B$6="数据分析类",H96*1.5*0.9/22,IF(项目总工作量!B$6="流程管理类",H96*1.5*0.8/22,IF(项目总工作量!B$6="渠道类",H96*1.5*0.7/22,FALSE))))</f>
        <v>0.27272727272727271</v>
      </c>
      <c r="J96" s="88" t="s">
        <v>44</v>
      </c>
    </row>
    <row r="97" spans="1:10" s="90" customFormat="1" ht="12.45" customHeight="1">
      <c r="A97" s="143"/>
      <c r="B97" s="125"/>
      <c r="C97" s="104"/>
      <c r="D97" s="85"/>
      <c r="E97" s="86"/>
      <c r="F97" s="105" t="s">
        <v>538</v>
      </c>
      <c r="G97" s="88" t="s">
        <v>66</v>
      </c>
      <c r="H97" s="89">
        <f t="shared" si="4"/>
        <v>4</v>
      </c>
      <c r="I97" s="88">
        <f>IF(项目总工作量!B$6="交易类",H97*1.5/22,IF(项目总工作量!B$6="数据分析类",H97*1.5*0.9/22,IF(项目总工作量!B$6="流程管理类",H97*1.5*0.8/22,IF(项目总工作量!B$6="渠道类",H97*1.5*0.7/22,FALSE))))</f>
        <v>0.27272727272727271</v>
      </c>
      <c r="J97" s="88" t="s">
        <v>44</v>
      </c>
    </row>
    <row r="98" spans="1:10" s="90" customFormat="1" ht="12.45" customHeight="1">
      <c r="A98" s="143"/>
      <c r="B98" s="125"/>
      <c r="C98" s="92"/>
      <c r="D98" s="85">
        <f t="shared" si="3"/>
        <v>0.27272727272727271</v>
      </c>
      <c r="E98" s="86"/>
      <c r="F98" s="93" t="s">
        <v>539</v>
      </c>
      <c r="G98" s="88" t="s">
        <v>66</v>
      </c>
      <c r="H98" s="89">
        <f t="shared" ref="H98:H99" si="5">IF(G98="EI",4,IF(G98="EO",5,IF(G98="EQ",4,0)))</f>
        <v>4</v>
      </c>
      <c r="I98" s="88">
        <f>IF(项目总工作量!B$6="交易类",H98*1.5/22,IF(项目总工作量!B$6="数据分析类",H98*1.5*0.9/22,IF(项目总工作量!B$6="流程管理类",H98*1.5*0.8/22,IF(项目总工作量!B$6="渠道类",H98*1.5*0.7/22,FALSE))))</f>
        <v>0.27272727272727271</v>
      </c>
      <c r="J98" s="88" t="s">
        <v>44</v>
      </c>
    </row>
    <row r="99" spans="1:10" s="90" customFormat="1" ht="12.45" customHeight="1">
      <c r="A99" s="143"/>
      <c r="B99" s="125"/>
      <c r="C99" s="92"/>
      <c r="D99" s="85">
        <f t="shared" si="3"/>
        <v>0.27272727272727271</v>
      </c>
      <c r="E99" s="86"/>
      <c r="F99" s="93" t="s">
        <v>540</v>
      </c>
      <c r="G99" s="88" t="s">
        <v>66</v>
      </c>
      <c r="H99" s="89">
        <f t="shared" si="5"/>
        <v>4</v>
      </c>
      <c r="I99" s="88">
        <f>IF(项目总工作量!B$6="交易类",H99*1.5/22,IF(项目总工作量!B$6="数据分析类",H99*1.5*0.9/22,IF(项目总工作量!B$6="流程管理类",H99*1.5*0.8/22,IF(项目总工作量!B$6="渠道类",H99*1.5*0.7/22,FALSE))))</f>
        <v>0.27272727272727271</v>
      </c>
      <c r="J99" s="88" t="s">
        <v>44</v>
      </c>
    </row>
    <row r="100" spans="1:10" s="90" customFormat="1" ht="12.45" customHeight="1">
      <c r="A100" s="143"/>
      <c r="B100" s="125"/>
      <c r="C100" s="52" t="s">
        <v>81</v>
      </c>
      <c r="D100" s="85">
        <f t="shared" si="3"/>
        <v>0.27272727272727271</v>
      </c>
      <c r="E100" s="86">
        <v>1</v>
      </c>
      <c r="F100" s="87" t="s">
        <v>82</v>
      </c>
      <c r="G100" s="88" t="s">
        <v>66</v>
      </c>
      <c r="H100" s="89">
        <f t="shared" si="4"/>
        <v>4</v>
      </c>
      <c r="I100" s="88">
        <f>IF(项目总工作量!B$6="交易类",H100*1.5/22,IF(项目总工作量!B$6="数据分析类",H100*1.5*0.9/22,IF(项目总工作量!B$6="流程管理类",H100*1.5*0.8/22,IF(项目总工作量!B$6="渠道类",H100*1.5*0.7/22,FALSE))))</f>
        <v>0.27272727272727271</v>
      </c>
      <c r="J100" s="88" t="s">
        <v>44</v>
      </c>
    </row>
    <row r="101" spans="1:10" s="90" customFormat="1" ht="12.45" customHeight="1">
      <c r="A101" s="143"/>
      <c r="B101" s="125"/>
      <c r="C101" s="92"/>
      <c r="D101" s="85">
        <f t="shared" si="3"/>
        <v>0.27272727272727271</v>
      </c>
      <c r="E101" s="86"/>
      <c r="F101" s="93" t="s">
        <v>556</v>
      </c>
      <c r="G101" s="88" t="s">
        <v>66</v>
      </c>
      <c r="H101" s="89">
        <f t="shared" si="4"/>
        <v>4</v>
      </c>
      <c r="I101" s="88">
        <f>IF(项目总工作量!B$6="交易类",H101*1.5/22,IF(项目总工作量!B$6="数据分析类",H101*1.5*0.9/22,IF(项目总工作量!B$6="流程管理类",H101*1.5*0.8/22,IF(项目总工作量!B$6="渠道类",H101*1.5*0.7/22,FALSE))))</f>
        <v>0.27272727272727271</v>
      </c>
      <c r="J101" s="88" t="s">
        <v>44</v>
      </c>
    </row>
    <row r="102" spans="1:10" s="90" customFormat="1" ht="12.45" customHeight="1">
      <c r="A102" s="143"/>
      <c r="B102" s="125"/>
      <c r="C102" s="92"/>
      <c r="D102" s="85">
        <f t="shared" si="3"/>
        <v>0.27272727272727271</v>
      </c>
      <c r="E102" s="86"/>
      <c r="F102" s="93" t="s">
        <v>557</v>
      </c>
      <c r="G102" s="88" t="s">
        <v>66</v>
      </c>
      <c r="H102" s="89">
        <f t="shared" si="4"/>
        <v>4</v>
      </c>
      <c r="I102" s="88">
        <f>IF(项目总工作量!B$6="交易类",H102*1.5/22,IF(项目总工作量!B$6="数据分析类",H102*1.5*0.9/22,IF(项目总工作量!B$6="流程管理类",H102*1.5*0.8/22,IF(项目总工作量!B$6="渠道类",H102*1.5*0.7/22,FALSE))))</f>
        <v>0.27272727272727271</v>
      </c>
      <c r="J102" s="88" t="s">
        <v>44</v>
      </c>
    </row>
    <row r="103" spans="1:10" s="90" customFormat="1" ht="12">
      <c r="A103" s="143"/>
      <c r="B103" s="125"/>
      <c r="C103" s="52" t="s">
        <v>77</v>
      </c>
      <c r="D103" s="85">
        <f t="shared" si="3"/>
        <v>0.27272727272727271</v>
      </c>
      <c r="E103" s="86">
        <v>5</v>
      </c>
      <c r="F103" s="87" t="s">
        <v>84</v>
      </c>
      <c r="G103" s="88" t="s">
        <v>66</v>
      </c>
      <c r="H103" s="89">
        <f t="shared" si="4"/>
        <v>4</v>
      </c>
      <c r="I103" s="88">
        <f>IF(项目总工作量!B$6="交易类",H103*1.5/22,IF(项目总工作量!B$6="数据分析类",H103*1.5*0.9/22,IF(项目总工作量!B$6="流程管理类",H103*1.5*0.8/22,IF(项目总工作量!B$6="渠道类",H103*1.5*0.7/22,FALSE))))</f>
        <v>0.27272727272727271</v>
      </c>
      <c r="J103" s="88" t="s">
        <v>44</v>
      </c>
    </row>
    <row r="104" spans="1:10" s="90" customFormat="1" ht="12">
      <c r="A104" s="143"/>
      <c r="B104" s="125"/>
      <c r="C104" s="127" t="s">
        <v>76</v>
      </c>
      <c r="D104" s="85">
        <f t="shared" si="3"/>
        <v>0.27272727272727271</v>
      </c>
      <c r="E104" s="86">
        <v>2</v>
      </c>
      <c r="F104" s="87" t="s">
        <v>85</v>
      </c>
      <c r="G104" s="88" t="s">
        <v>66</v>
      </c>
      <c r="H104" s="89">
        <f t="shared" si="4"/>
        <v>4</v>
      </c>
      <c r="I104" s="88">
        <f>IF(项目总工作量!B$6="交易类",H104*1.5/22,IF(项目总工作量!B$6="数据分析类",H104*1.5*0.9/22,IF(项目总工作量!B$6="流程管理类",H104*1.5*0.8/22,IF(项目总工作量!B$6="渠道类",H104*1.5*0.7/22,FALSE))))</f>
        <v>0.27272727272727271</v>
      </c>
      <c r="J104" s="88" t="s">
        <v>44</v>
      </c>
    </row>
    <row r="105" spans="1:10" s="90" customFormat="1" ht="12">
      <c r="A105" s="143"/>
      <c r="B105" s="125"/>
      <c r="C105" s="127"/>
      <c r="D105" s="85">
        <f t="shared" si="3"/>
        <v>0.27272727272727271</v>
      </c>
      <c r="E105" s="86"/>
      <c r="F105" s="87" t="s">
        <v>86</v>
      </c>
      <c r="G105" s="88" t="s">
        <v>66</v>
      </c>
      <c r="H105" s="89">
        <f t="shared" ref="H105:H128" si="6">IF(G105="EI",4,IF(G105="EO",5,IF(G105="EQ",4,0)))</f>
        <v>4</v>
      </c>
      <c r="I105" s="88">
        <f>IF(项目总工作量!B$6="交易类",H105*1.5/22,IF(项目总工作量!B$6="数据分析类",H105*1.5*0.9/22,IF(项目总工作量!B$6="流程管理类",H105*1.5*0.8/22,IF(项目总工作量!B$6="渠道类",H105*1.5*0.7/22,FALSE))))</f>
        <v>0.27272727272727271</v>
      </c>
      <c r="J105" s="88" t="s">
        <v>44</v>
      </c>
    </row>
    <row r="106" spans="1:10" s="90" customFormat="1" ht="12">
      <c r="A106" s="143"/>
      <c r="B106" s="125"/>
      <c r="C106" s="128" t="s">
        <v>79</v>
      </c>
      <c r="D106" s="85">
        <f t="shared" si="3"/>
        <v>0.27272727272727271</v>
      </c>
      <c r="E106" s="86"/>
      <c r="F106" s="87" t="s">
        <v>87</v>
      </c>
      <c r="G106" s="88" t="s">
        <v>66</v>
      </c>
      <c r="H106" s="89">
        <f t="shared" si="6"/>
        <v>4</v>
      </c>
      <c r="I106" s="88">
        <f>IF(项目总工作量!B$6="交易类",H106*1.5/22,IF(项目总工作量!B$6="数据分析类",H106*1.5*0.9/22,IF(项目总工作量!B$6="流程管理类",H106*1.5*0.8/22,IF(项目总工作量!B$6="渠道类",H106*1.5*0.7/22,FALSE))))</f>
        <v>0.27272727272727271</v>
      </c>
      <c r="J106" s="88" t="s">
        <v>44</v>
      </c>
    </row>
    <row r="107" spans="1:10" s="90" customFormat="1" ht="12">
      <c r="A107" s="143"/>
      <c r="B107" s="125"/>
      <c r="C107" s="129"/>
      <c r="D107" s="85">
        <f t="shared" si="3"/>
        <v>0.27272727272727271</v>
      </c>
      <c r="E107" s="86"/>
      <c r="F107" s="87" t="s">
        <v>89</v>
      </c>
      <c r="G107" s="88" t="s">
        <v>66</v>
      </c>
      <c r="H107" s="89">
        <f t="shared" si="6"/>
        <v>4</v>
      </c>
      <c r="I107" s="88">
        <f>IF(项目总工作量!B$6="交易类",H107*1.5/22,IF(项目总工作量!B$6="数据分析类",H107*1.5*0.9/22,IF(项目总工作量!B$6="流程管理类",H107*1.5*0.8/22,IF(项目总工作量!B$6="渠道类",H107*1.5*0.7/22,FALSE))))</f>
        <v>0.27272727272727271</v>
      </c>
      <c r="J107" s="88" t="s">
        <v>44</v>
      </c>
    </row>
    <row r="108" spans="1:10" s="90" customFormat="1" ht="12">
      <c r="A108" s="143"/>
      <c r="B108" s="125"/>
      <c r="C108" s="129"/>
      <c r="D108" s="85">
        <f t="shared" si="3"/>
        <v>0.27272727272727271</v>
      </c>
      <c r="E108" s="86"/>
      <c r="F108" s="87" t="s">
        <v>110</v>
      </c>
      <c r="G108" s="88" t="s">
        <v>66</v>
      </c>
      <c r="H108" s="89">
        <f t="shared" si="6"/>
        <v>4</v>
      </c>
      <c r="I108" s="88">
        <f>IF(项目总工作量!B$6="交易类",H108*1.5/22,IF(项目总工作量!B$6="数据分析类",H108*1.5*0.9/22,IF(项目总工作量!B$6="流程管理类",H108*1.5*0.8/22,IF(项目总工作量!B$6="渠道类",H108*1.5*0.7/22,FALSE))))</f>
        <v>0.27272727272727271</v>
      </c>
      <c r="J108" s="88" t="s">
        <v>44</v>
      </c>
    </row>
    <row r="109" spans="1:10" s="90" customFormat="1" ht="12">
      <c r="A109" s="143"/>
      <c r="B109" s="125"/>
      <c r="C109" s="129"/>
      <c r="D109" s="85">
        <f t="shared" si="3"/>
        <v>0.27272727272727271</v>
      </c>
      <c r="E109" s="86"/>
      <c r="F109" s="87" t="s">
        <v>111</v>
      </c>
      <c r="G109" s="88" t="s">
        <v>66</v>
      </c>
      <c r="H109" s="89">
        <f t="shared" si="6"/>
        <v>4</v>
      </c>
      <c r="I109" s="88">
        <f>IF(项目总工作量!B$6="交易类",H109*1.5/22,IF(项目总工作量!B$6="数据分析类",H109*1.5*0.9/22,IF(项目总工作量!B$6="流程管理类",H109*1.5*0.8/22,IF(项目总工作量!B$6="渠道类",H109*1.5*0.7/22,FALSE))))</f>
        <v>0.27272727272727271</v>
      </c>
      <c r="J109" s="88" t="s">
        <v>44</v>
      </c>
    </row>
    <row r="110" spans="1:10" s="90" customFormat="1" ht="12">
      <c r="A110" s="143"/>
      <c r="B110" s="125"/>
      <c r="C110" s="129"/>
      <c r="D110" s="85">
        <f t="shared" si="3"/>
        <v>0.27272727272727271</v>
      </c>
      <c r="E110" s="86"/>
      <c r="F110" s="87" t="s">
        <v>112</v>
      </c>
      <c r="G110" s="88" t="s">
        <v>66</v>
      </c>
      <c r="H110" s="89">
        <f t="shared" si="6"/>
        <v>4</v>
      </c>
      <c r="I110" s="88">
        <f>IF(项目总工作量!B$6="交易类",H110*1.5/22,IF(项目总工作量!B$6="数据分析类",H110*1.5*0.9/22,IF(项目总工作量!B$6="流程管理类",H110*1.5*0.8/22,IF(项目总工作量!B$6="渠道类",H110*1.5*0.7/22,FALSE))))</f>
        <v>0.27272727272727271</v>
      </c>
      <c r="J110" s="88" t="s">
        <v>44</v>
      </c>
    </row>
    <row r="111" spans="1:10" s="90" customFormat="1" ht="12">
      <c r="A111" s="143"/>
      <c r="B111" s="125"/>
      <c r="C111" s="129"/>
      <c r="D111" s="85">
        <f t="shared" si="3"/>
        <v>0.27272727272727271</v>
      </c>
      <c r="E111" s="86"/>
      <c r="F111" s="87" t="s">
        <v>113</v>
      </c>
      <c r="G111" s="88" t="s">
        <v>66</v>
      </c>
      <c r="H111" s="89">
        <f t="shared" si="6"/>
        <v>4</v>
      </c>
      <c r="I111" s="88">
        <f>IF(项目总工作量!B$6="交易类",H111*1.5/22,IF(项目总工作量!B$6="数据分析类",H111*1.5*0.9/22,IF(项目总工作量!B$6="流程管理类",H111*1.5*0.8/22,IF(项目总工作量!B$6="渠道类",H111*1.5*0.7/22,FALSE))))</f>
        <v>0.27272727272727271</v>
      </c>
      <c r="J111" s="88" t="s">
        <v>44</v>
      </c>
    </row>
    <row r="112" spans="1:10" s="90" customFormat="1" ht="12">
      <c r="A112" s="143"/>
      <c r="B112" s="125"/>
      <c r="C112" s="129"/>
      <c r="D112" s="85">
        <f t="shared" si="3"/>
        <v>0.27272727272727271</v>
      </c>
      <c r="E112" s="86"/>
      <c r="F112" s="87" t="s">
        <v>114</v>
      </c>
      <c r="G112" s="88" t="s">
        <v>66</v>
      </c>
      <c r="H112" s="89">
        <f t="shared" si="6"/>
        <v>4</v>
      </c>
      <c r="I112" s="88">
        <f>IF(项目总工作量!B$6="交易类",H112*1.5/22,IF(项目总工作量!B$6="数据分析类",H112*1.5*0.9/22,IF(项目总工作量!B$6="流程管理类",H112*1.5*0.8/22,IF(项目总工作量!B$6="渠道类",H112*1.5*0.7/22,FALSE))))</f>
        <v>0.27272727272727271</v>
      </c>
      <c r="J112" s="88" t="s">
        <v>44</v>
      </c>
    </row>
    <row r="113" spans="1:10" s="90" customFormat="1" ht="12">
      <c r="A113" s="143"/>
      <c r="B113" s="125"/>
      <c r="C113" s="129"/>
      <c r="D113" s="85">
        <f t="shared" si="3"/>
        <v>0.27272727272727271</v>
      </c>
      <c r="E113" s="86"/>
      <c r="F113" s="87" t="s">
        <v>115</v>
      </c>
      <c r="G113" s="88" t="s">
        <v>66</v>
      </c>
      <c r="H113" s="89">
        <f t="shared" si="6"/>
        <v>4</v>
      </c>
      <c r="I113" s="88">
        <f>IF(项目总工作量!B$6="交易类",H113*1.5/22,IF(项目总工作量!B$6="数据分析类",H113*1.5*0.9/22,IF(项目总工作量!B$6="流程管理类",H113*1.5*0.8/22,IF(项目总工作量!B$6="渠道类",H113*1.5*0.7/22,FALSE))))</f>
        <v>0.27272727272727271</v>
      </c>
      <c r="J113" s="88" t="s">
        <v>44</v>
      </c>
    </row>
    <row r="114" spans="1:10" s="90" customFormat="1" ht="12">
      <c r="A114" s="143"/>
      <c r="B114" s="125"/>
      <c r="C114" s="129"/>
      <c r="D114" s="85">
        <f t="shared" ref="D114:D190" si="7">I114</f>
        <v>0.27272727272727271</v>
      </c>
      <c r="E114" s="86"/>
      <c r="F114" s="87" t="s">
        <v>93</v>
      </c>
      <c r="G114" s="88" t="s">
        <v>66</v>
      </c>
      <c r="H114" s="89">
        <f t="shared" si="6"/>
        <v>4</v>
      </c>
      <c r="I114" s="88">
        <f>IF(项目总工作量!B$6="交易类",H114*1.5/22,IF(项目总工作量!B$6="数据分析类",H114*1.5*0.9/22,IF(项目总工作量!B$6="流程管理类",H114*1.5*0.8/22,IF(项目总工作量!B$6="渠道类",H114*1.5*0.7/22,FALSE))))</f>
        <v>0.27272727272727271</v>
      </c>
      <c r="J114" s="88" t="s">
        <v>44</v>
      </c>
    </row>
    <row r="115" spans="1:10" s="90" customFormat="1" ht="12">
      <c r="A115" s="143"/>
      <c r="B115" s="125"/>
      <c r="C115" s="129"/>
      <c r="D115" s="85">
        <f t="shared" si="7"/>
        <v>0.27272727272727271</v>
      </c>
      <c r="E115" s="86"/>
      <c r="F115" s="87" t="s">
        <v>90</v>
      </c>
      <c r="G115" s="88" t="s">
        <v>66</v>
      </c>
      <c r="H115" s="89">
        <f t="shared" si="6"/>
        <v>4</v>
      </c>
      <c r="I115" s="88">
        <f>IF(项目总工作量!B$6="交易类",H115*1.5/22,IF(项目总工作量!B$6="数据分析类",H115*1.5*0.9/22,IF(项目总工作量!B$6="流程管理类",H115*1.5*0.8/22,IF(项目总工作量!B$6="渠道类",H115*1.5*0.7/22,FALSE))))</f>
        <v>0.27272727272727271</v>
      </c>
      <c r="J115" s="88" t="s">
        <v>44</v>
      </c>
    </row>
    <row r="116" spans="1:10" s="90" customFormat="1" ht="12">
      <c r="A116" s="143"/>
      <c r="B116" s="125"/>
      <c r="C116" s="129"/>
      <c r="D116" s="85">
        <f t="shared" si="7"/>
        <v>0.27272727272727271</v>
      </c>
      <c r="E116" s="86"/>
      <c r="F116" s="87" t="s">
        <v>116</v>
      </c>
      <c r="G116" s="88" t="s">
        <v>66</v>
      </c>
      <c r="H116" s="89">
        <f>IF(G116="EI",4,IF(G116="EO",5,IF(G116="EQ",4,0)))</f>
        <v>4</v>
      </c>
      <c r="I116" s="88">
        <f>IF(项目总工作量!B$6="交易类",H116*1.5/22,IF(项目总工作量!B$6="数据分析类",H116*1.5*0.9/22,IF(项目总工作量!B$6="流程管理类",H116*1.5*0.8/22,IF(项目总工作量!B$6="渠道类",H116*1.5*0.7/22,FALSE))))</f>
        <v>0.27272727272727271</v>
      </c>
      <c r="J116" s="88" t="s">
        <v>44</v>
      </c>
    </row>
    <row r="117" spans="1:10" s="90" customFormat="1" ht="12">
      <c r="A117" s="143"/>
      <c r="B117" s="125"/>
      <c r="C117" s="129"/>
      <c r="D117" s="85">
        <f t="shared" si="7"/>
        <v>0.27272727272727271</v>
      </c>
      <c r="E117" s="86"/>
      <c r="F117" s="87" t="s">
        <v>117</v>
      </c>
      <c r="G117" s="88" t="s">
        <v>66</v>
      </c>
      <c r="H117" s="89">
        <f t="shared" si="6"/>
        <v>4</v>
      </c>
      <c r="I117" s="88">
        <f>IF(项目总工作量!B$6="交易类",H117*1.5/22,IF(项目总工作量!B$6="数据分析类",H117*1.5*0.9/22,IF(项目总工作量!B$6="流程管理类",H117*1.5*0.8/22,IF(项目总工作量!B$6="渠道类",H117*1.5*0.7/22,FALSE))))</f>
        <v>0.27272727272727271</v>
      </c>
      <c r="J117" s="88" t="s">
        <v>44</v>
      </c>
    </row>
    <row r="118" spans="1:10" s="90" customFormat="1" ht="12">
      <c r="A118" s="143"/>
      <c r="B118" s="125"/>
      <c r="C118" s="129"/>
      <c r="D118" s="85">
        <f t="shared" si="7"/>
        <v>0.27272727272727271</v>
      </c>
      <c r="E118" s="86"/>
      <c r="F118" s="87" t="s">
        <v>91</v>
      </c>
      <c r="G118" s="88" t="s">
        <v>66</v>
      </c>
      <c r="H118" s="89">
        <f t="shared" si="6"/>
        <v>4</v>
      </c>
      <c r="I118" s="88">
        <f>IF(项目总工作量!B$6="交易类",H118*1.5/22,IF(项目总工作量!B$6="数据分析类",H118*1.5*0.9/22,IF(项目总工作量!B$6="流程管理类",H118*1.5*0.8/22,IF(项目总工作量!B$6="渠道类",H118*1.5*0.7/22,FALSE))))</f>
        <v>0.27272727272727271</v>
      </c>
      <c r="J118" s="88" t="s">
        <v>44</v>
      </c>
    </row>
    <row r="119" spans="1:10" s="90" customFormat="1" ht="12">
      <c r="A119" s="143"/>
      <c r="B119" s="125"/>
      <c r="C119" s="129"/>
      <c r="D119" s="85">
        <f t="shared" si="7"/>
        <v>0.27272727272727271</v>
      </c>
      <c r="E119" s="86"/>
      <c r="F119" s="87" t="s">
        <v>92</v>
      </c>
      <c r="G119" s="88" t="s">
        <v>66</v>
      </c>
      <c r="H119" s="89">
        <f t="shared" si="6"/>
        <v>4</v>
      </c>
      <c r="I119" s="88">
        <f>IF(项目总工作量!B$6="交易类",H119*1.5/22,IF(项目总工作量!B$6="数据分析类",H119*1.5*0.9/22,IF(项目总工作量!B$6="流程管理类",H119*1.5*0.8/22,IF(项目总工作量!B$6="渠道类",H119*1.5*0.7/22,FALSE))))</f>
        <v>0.27272727272727271</v>
      </c>
      <c r="J119" s="88" t="s">
        <v>44</v>
      </c>
    </row>
    <row r="120" spans="1:10" s="90" customFormat="1" ht="12">
      <c r="A120" s="143"/>
      <c r="B120" s="125"/>
      <c r="C120" s="129"/>
      <c r="D120" s="85">
        <f t="shared" si="7"/>
        <v>0.27272727272727271</v>
      </c>
      <c r="E120" s="86">
        <v>1</v>
      </c>
      <c r="F120" s="87" t="s">
        <v>83</v>
      </c>
      <c r="G120" s="88" t="s">
        <v>66</v>
      </c>
      <c r="H120" s="89">
        <f t="shared" si="6"/>
        <v>4</v>
      </c>
      <c r="I120" s="88">
        <f>IF(项目总工作量!B$6="交易类",H120*1.5/22,IF(项目总工作量!B$6="数据分析类",H120*1.5*0.9/22,IF(项目总工作量!B$6="流程管理类",H120*1.5*0.8/22,IF(项目总工作量!B$6="渠道类",H120*1.5*0.7/22,FALSE))))</f>
        <v>0.27272727272727271</v>
      </c>
      <c r="J120" s="88" t="s">
        <v>44</v>
      </c>
    </row>
    <row r="121" spans="1:10" s="90" customFormat="1" ht="12">
      <c r="A121" s="143"/>
      <c r="B121" s="125"/>
      <c r="C121" s="129"/>
      <c r="D121" s="85">
        <f t="shared" si="7"/>
        <v>0.27272727272727271</v>
      </c>
      <c r="E121" s="86">
        <v>0.25</v>
      </c>
      <c r="F121" s="87" t="s">
        <v>94</v>
      </c>
      <c r="G121" s="88" t="s">
        <v>66</v>
      </c>
      <c r="H121" s="89">
        <f t="shared" si="6"/>
        <v>4</v>
      </c>
      <c r="I121" s="88">
        <f>IF(项目总工作量!B$6="交易类",H121*1.5/22,IF(项目总工作量!B$6="数据分析类",H121*1.5*0.9/22,IF(项目总工作量!B$6="流程管理类",H121*1.5*0.8/22,IF(项目总工作量!B$6="渠道类",H121*1.5*0.7/22,FALSE))))</f>
        <v>0.27272727272727271</v>
      </c>
      <c r="J121" s="88" t="s">
        <v>44</v>
      </c>
    </row>
    <row r="122" spans="1:10" s="90" customFormat="1" ht="12">
      <c r="A122" s="143"/>
      <c r="B122" s="125"/>
      <c r="C122" s="129"/>
      <c r="D122" s="85">
        <f t="shared" si="7"/>
        <v>0.27272727272727271</v>
      </c>
      <c r="E122" s="86"/>
      <c r="F122" s="87" t="s">
        <v>96</v>
      </c>
      <c r="G122" s="88" t="s">
        <v>66</v>
      </c>
      <c r="H122" s="89">
        <f t="shared" si="6"/>
        <v>4</v>
      </c>
      <c r="I122" s="88">
        <f>IF(项目总工作量!B$6="交易类",H122*1.5/22,IF(项目总工作量!B$6="数据分析类",H122*1.5*0.9/22,IF(项目总工作量!B$6="流程管理类",H122*1.5*0.8/22,IF(项目总工作量!B$6="渠道类",H122*1.5*0.7/22,FALSE))))</f>
        <v>0.27272727272727271</v>
      </c>
      <c r="J122" s="88" t="s">
        <v>44</v>
      </c>
    </row>
    <row r="123" spans="1:10" s="90" customFormat="1" ht="12">
      <c r="A123" s="143"/>
      <c r="B123" s="125"/>
      <c r="C123" s="129"/>
      <c r="D123" s="85">
        <f t="shared" si="7"/>
        <v>0.27272727272727271</v>
      </c>
      <c r="E123" s="86"/>
      <c r="F123" s="87" t="s">
        <v>97</v>
      </c>
      <c r="G123" s="88" t="s">
        <v>66</v>
      </c>
      <c r="H123" s="89">
        <f t="shared" si="6"/>
        <v>4</v>
      </c>
      <c r="I123" s="88">
        <f>IF(项目总工作量!B$6="交易类",H123*1.5/22,IF(项目总工作量!B$6="数据分析类",H123*1.5*0.9/22,IF(项目总工作量!B$6="流程管理类",H123*1.5*0.8/22,IF(项目总工作量!B$6="渠道类",H123*1.5*0.7/22,FALSE))))</f>
        <v>0.27272727272727271</v>
      </c>
      <c r="J123" s="88" t="s">
        <v>44</v>
      </c>
    </row>
    <row r="124" spans="1:10" s="90" customFormat="1" ht="12">
      <c r="A124" s="143"/>
      <c r="B124" s="125"/>
      <c r="C124" s="129"/>
      <c r="D124" s="85">
        <f t="shared" si="7"/>
        <v>0</v>
      </c>
      <c r="E124" s="86"/>
      <c r="F124" s="93" t="s">
        <v>558</v>
      </c>
      <c r="G124" s="88" t="s">
        <v>66</v>
      </c>
      <c r="H124" s="89"/>
      <c r="I124" s="88"/>
      <c r="J124" s="88"/>
    </row>
    <row r="125" spans="1:10" s="90" customFormat="1" ht="12">
      <c r="A125" s="143"/>
      <c r="B125" s="125"/>
      <c r="C125" s="129"/>
      <c r="D125" s="85">
        <f t="shared" si="7"/>
        <v>0.27272727272727271</v>
      </c>
      <c r="E125" s="86"/>
      <c r="F125" s="87" t="s">
        <v>98</v>
      </c>
      <c r="G125" s="88" t="s">
        <v>66</v>
      </c>
      <c r="H125" s="89">
        <f t="shared" si="6"/>
        <v>4</v>
      </c>
      <c r="I125" s="88">
        <f>IF(项目总工作量!B$6="交易类",H125*1.5/22,IF(项目总工作量!B$6="数据分析类",H125*1.5*0.9/22,IF(项目总工作量!B$6="流程管理类",H125*1.5*0.8/22,IF(项目总工作量!B$6="渠道类",H125*1.5*0.7/22,FALSE))))</f>
        <v>0.27272727272727271</v>
      </c>
      <c r="J125" s="88" t="s">
        <v>44</v>
      </c>
    </row>
    <row r="126" spans="1:10" s="90" customFormat="1" ht="12">
      <c r="A126" s="143"/>
      <c r="B126" s="125"/>
      <c r="C126" s="129"/>
      <c r="D126" s="85">
        <f t="shared" si="7"/>
        <v>0</v>
      </c>
      <c r="E126" s="86"/>
      <c r="F126" s="93" t="s">
        <v>545</v>
      </c>
      <c r="G126" s="88" t="s">
        <v>66</v>
      </c>
      <c r="H126" s="89"/>
      <c r="I126" s="88"/>
      <c r="J126" s="88"/>
    </row>
    <row r="127" spans="1:10" s="90" customFormat="1" ht="12">
      <c r="A127" s="143"/>
      <c r="B127" s="125"/>
      <c r="C127" s="129"/>
      <c r="D127" s="85">
        <f t="shared" si="7"/>
        <v>0.27272727272727271</v>
      </c>
      <c r="E127" s="86"/>
      <c r="F127" s="87" t="s">
        <v>99</v>
      </c>
      <c r="G127" s="88" t="s">
        <v>66</v>
      </c>
      <c r="H127" s="89">
        <f t="shared" si="6"/>
        <v>4</v>
      </c>
      <c r="I127" s="88">
        <f>IF(项目总工作量!B$6="交易类",H127*1.5/22,IF(项目总工作量!B$6="数据分析类",H127*1.5*0.9/22,IF(项目总工作量!B$6="流程管理类",H127*1.5*0.8/22,IF(项目总工作量!B$6="渠道类",H127*1.5*0.7/22,FALSE))))</f>
        <v>0.27272727272727271</v>
      </c>
      <c r="J127" s="88" t="s">
        <v>44</v>
      </c>
    </row>
    <row r="128" spans="1:10" s="90" customFormat="1" ht="12">
      <c r="A128" s="143"/>
      <c r="B128" s="125"/>
      <c r="C128" s="129"/>
      <c r="D128" s="85">
        <f t="shared" si="7"/>
        <v>0.27272727272727271</v>
      </c>
      <c r="E128" s="86"/>
      <c r="F128" s="87" t="s">
        <v>100</v>
      </c>
      <c r="G128" s="88" t="s">
        <v>66</v>
      </c>
      <c r="H128" s="89">
        <f t="shared" si="6"/>
        <v>4</v>
      </c>
      <c r="I128" s="88">
        <f>IF(项目总工作量!B$6="交易类",H128*1.5/22,IF(项目总工作量!B$6="数据分析类",H128*1.5*0.9/22,IF(项目总工作量!B$6="流程管理类",H128*1.5*0.8/22,IF(项目总工作量!B$6="渠道类",H128*1.5*0.7/22,FALSE))))</f>
        <v>0.27272727272727271</v>
      </c>
      <c r="J128" s="88" t="s">
        <v>44</v>
      </c>
    </row>
    <row r="129" spans="1:10" s="90" customFormat="1" ht="12">
      <c r="A129" s="143"/>
      <c r="B129" s="125"/>
      <c r="C129" s="129"/>
      <c r="D129" s="85">
        <f t="shared" si="7"/>
        <v>0.27272727272727271</v>
      </c>
      <c r="E129" s="86"/>
      <c r="F129" s="87" t="s">
        <v>95</v>
      </c>
      <c r="G129" s="88" t="s">
        <v>66</v>
      </c>
      <c r="H129" s="89">
        <f t="shared" ref="H129:H160" si="8">IF(G129="EI",4,IF(G129="EO",5,IF(G129="EQ",4,0)))</f>
        <v>4</v>
      </c>
      <c r="I129" s="88">
        <f>IF(项目总工作量!B$6="交易类",H129*1.5/22,IF(项目总工作量!B$6="数据分析类",H129*1.5*0.9/22,IF(项目总工作量!B$6="流程管理类",H129*1.5*0.8/22,IF(项目总工作量!B$6="渠道类",H129*1.5*0.7/22,FALSE))))</f>
        <v>0.27272727272727271</v>
      </c>
      <c r="J129" s="88" t="s">
        <v>44</v>
      </c>
    </row>
    <row r="130" spans="1:10" s="90" customFormat="1" ht="12">
      <c r="A130" s="143"/>
      <c r="B130" s="125"/>
      <c r="C130" s="129"/>
      <c r="D130" s="85">
        <f t="shared" si="7"/>
        <v>0.27272727272727271</v>
      </c>
      <c r="E130" s="86"/>
      <c r="F130" s="87" t="s">
        <v>101</v>
      </c>
      <c r="G130" s="88" t="s">
        <v>66</v>
      </c>
      <c r="H130" s="89">
        <f t="shared" si="8"/>
        <v>4</v>
      </c>
      <c r="I130" s="88">
        <f>IF(项目总工作量!B$6="交易类",H130*1.5/22,IF(项目总工作量!B$6="数据分析类",H130*1.5*0.9/22,IF(项目总工作量!B$6="流程管理类",H130*1.5*0.8/22,IF(项目总工作量!B$6="渠道类",H130*1.5*0.7/22,FALSE))))</f>
        <v>0.27272727272727271</v>
      </c>
      <c r="J130" s="88" t="s">
        <v>44</v>
      </c>
    </row>
    <row r="131" spans="1:10" s="90" customFormat="1" ht="12">
      <c r="A131" s="143"/>
      <c r="B131" s="125"/>
      <c r="C131" s="129"/>
      <c r="D131" s="85">
        <f t="shared" si="7"/>
        <v>0.27272727272727271</v>
      </c>
      <c r="E131" s="86"/>
      <c r="F131" s="87" t="s">
        <v>109</v>
      </c>
      <c r="G131" s="88" t="s">
        <v>66</v>
      </c>
      <c r="H131" s="89">
        <f t="shared" si="8"/>
        <v>4</v>
      </c>
      <c r="I131" s="88">
        <f>IF(项目总工作量!B$6="交易类",H131*1.5/22,IF(项目总工作量!B$6="数据分析类",H131*1.5*0.9/22,IF(项目总工作量!B$6="流程管理类",H131*1.5*0.8/22,IF(项目总工作量!B$6="渠道类",H131*1.5*0.7/22,FALSE))))</f>
        <v>0.27272727272727271</v>
      </c>
      <c r="J131" s="88" t="s">
        <v>44</v>
      </c>
    </row>
    <row r="132" spans="1:10" s="90" customFormat="1" ht="12">
      <c r="A132" s="143"/>
      <c r="B132" s="125"/>
      <c r="C132" s="129"/>
      <c r="D132" s="85">
        <f t="shared" si="7"/>
        <v>0.27272727272727271</v>
      </c>
      <c r="E132" s="86"/>
      <c r="F132" s="87" t="s">
        <v>88</v>
      </c>
      <c r="G132" s="88" t="s">
        <v>66</v>
      </c>
      <c r="H132" s="89">
        <f t="shared" si="8"/>
        <v>4</v>
      </c>
      <c r="I132" s="88">
        <f>IF(项目总工作量!B$6="交易类",H132*1.5/22,IF(项目总工作量!B$6="数据分析类",H132*1.5*0.9/22,IF(项目总工作量!B$6="流程管理类",H132*1.5*0.8/22,IF(项目总工作量!B$6="渠道类",H132*1.5*0.7/22,FALSE))))</f>
        <v>0.27272727272727271</v>
      </c>
      <c r="J132" s="88" t="s">
        <v>44</v>
      </c>
    </row>
    <row r="133" spans="1:10" s="90" customFormat="1" ht="12">
      <c r="A133" s="143"/>
      <c r="B133" s="125"/>
      <c r="C133" s="129"/>
      <c r="D133" s="85">
        <f t="shared" si="7"/>
        <v>0.27272727272727271</v>
      </c>
      <c r="E133" s="86"/>
      <c r="F133" s="87" t="s">
        <v>541</v>
      </c>
      <c r="G133" s="88" t="s">
        <v>66</v>
      </c>
      <c r="H133" s="89">
        <f t="shared" si="8"/>
        <v>4</v>
      </c>
      <c r="I133" s="88">
        <f>IF(项目总工作量!B$6="交易类",H133*1.5/22,IF(项目总工作量!B$6="数据分析类",H133*1.5*0.9/22,IF(项目总工作量!B$6="流程管理类",H133*1.5*0.8/22,IF(项目总工作量!B$6="渠道类",H133*1.5*0.7/22,FALSE))))</f>
        <v>0.27272727272727271</v>
      </c>
      <c r="J133" s="88" t="s">
        <v>44</v>
      </c>
    </row>
    <row r="134" spans="1:10" s="90" customFormat="1" ht="12">
      <c r="A134" s="143"/>
      <c r="B134" s="125"/>
      <c r="C134" s="129"/>
      <c r="D134" s="85">
        <f t="shared" si="7"/>
        <v>0.27272727272727271</v>
      </c>
      <c r="E134" s="86"/>
      <c r="F134" s="93" t="s">
        <v>542</v>
      </c>
      <c r="G134" s="88" t="s">
        <v>66</v>
      </c>
      <c r="H134" s="89">
        <f t="shared" si="8"/>
        <v>4</v>
      </c>
      <c r="I134" s="88">
        <f>IF(项目总工作量!B$6="交易类",H134*1.5/22,IF(项目总工作量!B$6="数据分析类",H134*1.5*0.9/22,IF(项目总工作量!B$6="流程管理类",H134*1.5*0.8/22,IF(项目总工作量!B$6="渠道类",H134*1.5*0.7/22,FALSE))))</f>
        <v>0.27272727272727271</v>
      </c>
      <c r="J134" s="88" t="s">
        <v>44</v>
      </c>
    </row>
    <row r="135" spans="1:10" s="90" customFormat="1" ht="12">
      <c r="A135" s="143"/>
      <c r="B135" s="125"/>
      <c r="C135" s="129"/>
      <c r="D135" s="85" t="e">
        <f t="shared" si="7"/>
        <v>#REF!</v>
      </c>
      <c r="E135" s="86"/>
      <c r="F135" s="93" t="s">
        <v>543</v>
      </c>
      <c r="G135" s="88" t="s">
        <v>66</v>
      </c>
      <c r="H135" s="89">
        <f t="shared" si="8"/>
        <v>4</v>
      </c>
      <c r="I135" s="88" t="e">
        <f>IF(项目总工作量!B$6="交易类",#REF!*1.5/22,IF(项目总工作量!B$6="数据分析类",#REF!*1.5*0.9/22,IF(项目总工作量!B$6="流程管理类",#REF!*1.5*0.8/22,IF(项目总工作量!B$6="渠道类",#REF!*1.5*0.7/22,FALSE))))</f>
        <v>#REF!</v>
      </c>
      <c r="J135" s="88" t="s">
        <v>44</v>
      </c>
    </row>
    <row r="136" spans="1:10" s="90" customFormat="1" ht="12">
      <c r="A136" s="143"/>
      <c r="B136" s="125"/>
      <c r="C136" s="129"/>
      <c r="D136" s="85">
        <f t="shared" si="7"/>
        <v>0.27272727272727271</v>
      </c>
      <c r="E136" s="86"/>
      <c r="F136" s="93" t="s">
        <v>544</v>
      </c>
      <c r="G136" s="88" t="s">
        <v>66</v>
      </c>
      <c r="H136" s="89">
        <f t="shared" si="8"/>
        <v>4</v>
      </c>
      <c r="I136" s="88">
        <f>IF(项目总工作量!B$6="交易类",H134*1.5/22,IF(项目总工作量!B$6="数据分析类",H134*1.5*0.9/22,IF(项目总工作量!B$6="流程管理类",H134*1.5*0.8/22,IF(项目总工作量!B$6="渠道类",H134*1.5*0.7/22,FALSE))))</f>
        <v>0.27272727272727271</v>
      </c>
      <c r="J136" s="88" t="s">
        <v>44</v>
      </c>
    </row>
    <row r="137" spans="1:10" s="90" customFormat="1" ht="12">
      <c r="A137" s="143"/>
      <c r="B137" s="125"/>
      <c r="C137" s="129"/>
      <c r="D137" s="85">
        <f t="shared" si="7"/>
        <v>0.27272727272727271</v>
      </c>
      <c r="E137" s="86"/>
      <c r="F137" s="87" t="s">
        <v>102</v>
      </c>
      <c r="G137" s="88" t="s">
        <v>66</v>
      </c>
      <c r="H137" s="89">
        <f t="shared" si="8"/>
        <v>4</v>
      </c>
      <c r="I137" s="88">
        <f>IF(项目总工作量!B$6="交易类",H137*1.5/22,IF(项目总工作量!B$6="数据分析类",H137*1.5*0.9/22,IF(项目总工作量!B$6="流程管理类",H137*1.5*0.8/22,IF(项目总工作量!B$6="渠道类",H137*1.5*0.7/22,FALSE))))</f>
        <v>0.27272727272727271</v>
      </c>
      <c r="J137" s="88" t="s">
        <v>44</v>
      </c>
    </row>
    <row r="138" spans="1:10" s="90" customFormat="1" ht="12">
      <c r="A138" s="143"/>
      <c r="B138" s="125"/>
      <c r="C138" s="129"/>
      <c r="D138" s="85">
        <f t="shared" si="7"/>
        <v>0.27272727272727271</v>
      </c>
      <c r="E138" s="86"/>
      <c r="F138" s="87" t="s">
        <v>103</v>
      </c>
      <c r="G138" s="88" t="s">
        <v>66</v>
      </c>
      <c r="H138" s="89">
        <f t="shared" si="8"/>
        <v>4</v>
      </c>
      <c r="I138" s="88">
        <f>IF(项目总工作量!B$6="交易类",H138*1.5/22,IF(项目总工作量!B$6="数据分析类",H138*1.5*0.9/22,IF(项目总工作量!B$6="流程管理类",H138*1.5*0.8/22,IF(项目总工作量!B$6="渠道类",H138*1.5*0.7/22,FALSE))))</f>
        <v>0.27272727272727271</v>
      </c>
      <c r="J138" s="88" t="s">
        <v>44</v>
      </c>
    </row>
    <row r="139" spans="1:10" s="90" customFormat="1" ht="12">
      <c r="A139" s="143"/>
      <c r="B139" s="125"/>
      <c r="C139" s="129"/>
      <c r="D139" s="85">
        <f t="shared" si="7"/>
        <v>0.27272727272727271</v>
      </c>
      <c r="E139" s="86"/>
      <c r="F139" s="87" t="s">
        <v>104</v>
      </c>
      <c r="G139" s="88" t="s">
        <v>66</v>
      </c>
      <c r="H139" s="89">
        <f t="shared" si="8"/>
        <v>4</v>
      </c>
      <c r="I139" s="88">
        <f>IF(项目总工作量!B$6="交易类",H139*1.5/22,IF(项目总工作量!B$6="数据分析类",H139*1.5*0.9/22,IF(项目总工作量!B$6="流程管理类",H139*1.5*0.8/22,IF(项目总工作量!B$6="渠道类",H139*1.5*0.7/22,FALSE))))</f>
        <v>0.27272727272727271</v>
      </c>
      <c r="J139" s="88" t="s">
        <v>44</v>
      </c>
    </row>
    <row r="140" spans="1:10" s="90" customFormat="1" ht="12">
      <c r="A140" s="143"/>
      <c r="B140" s="125"/>
      <c r="C140" s="129"/>
      <c r="D140" s="85">
        <f t="shared" si="7"/>
        <v>0.27272727272727271</v>
      </c>
      <c r="E140" s="86">
        <v>1</v>
      </c>
      <c r="F140" s="87" t="s">
        <v>105</v>
      </c>
      <c r="G140" s="88" t="s">
        <v>66</v>
      </c>
      <c r="H140" s="89">
        <f t="shared" si="8"/>
        <v>4</v>
      </c>
      <c r="I140" s="88">
        <f>IF(项目总工作量!B$6="交易类",H140*1.5/22,IF(项目总工作量!B$6="数据分析类",H140*1.5*0.9/22,IF(项目总工作量!B$6="流程管理类",H140*1.5*0.8/22,IF(项目总工作量!B$6="渠道类",H140*1.5*0.7/22,FALSE))))</f>
        <v>0.27272727272727271</v>
      </c>
      <c r="J140" s="88" t="s">
        <v>44</v>
      </c>
    </row>
    <row r="141" spans="1:10" s="90" customFormat="1" ht="12">
      <c r="A141" s="143"/>
      <c r="B141" s="125"/>
      <c r="C141" s="129"/>
      <c r="D141" s="85">
        <f t="shared" si="7"/>
        <v>0.27272727272727271</v>
      </c>
      <c r="E141" s="86"/>
      <c r="F141" s="87" t="s">
        <v>106</v>
      </c>
      <c r="G141" s="88" t="s">
        <v>66</v>
      </c>
      <c r="H141" s="89">
        <f t="shared" si="8"/>
        <v>4</v>
      </c>
      <c r="I141" s="88">
        <f>IF(项目总工作量!B$6="交易类",H141*1.5/22,IF(项目总工作量!B$6="数据分析类",H141*1.5*0.9/22,IF(项目总工作量!B$6="流程管理类",H141*1.5*0.8/22,IF(项目总工作量!B$6="渠道类",H141*1.5*0.7/22,FALSE))))</f>
        <v>0.27272727272727271</v>
      </c>
      <c r="J141" s="88" t="s">
        <v>44</v>
      </c>
    </row>
    <row r="142" spans="1:10" s="90" customFormat="1" ht="12">
      <c r="A142" s="143"/>
      <c r="B142" s="125"/>
      <c r="C142" s="129"/>
      <c r="D142" s="85">
        <f t="shared" si="7"/>
        <v>0.27272727272727271</v>
      </c>
      <c r="E142" s="86"/>
      <c r="F142" s="87" t="s">
        <v>107</v>
      </c>
      <c r="G142" s="88" t="s">
        <v>66</v>
      </c>
      <c r="H142" s="89">
        <f t="shared" si="8"/>
        <v>4</v>
      </c>
      <c r="I142" s="88">
        <f>IF(项目总工作量!B$6="交易类",H142*1.5/22,IF(项目总工作量!B$6="数据分析类",H142*1.5*0.9/22,IF(项目总工作量!B$6="流程管理类",H142*1.5*0.8/22,IF(项目总工作量!B$6="渠道类",H142*1.5*0.7/22,FALSE))))</f>
        <v>0.27272727272727271</v>
      </c>
      <c r="J142" s="88" t="s">
        <v>44</v>
      </c>
    </row>
    <row r="143" spans="1:10" s="90" customFormat="1" ht="12">
      <c r="A143" s="143"/>
      <c r="B143" s="125"/>
      <c r="C143" s="129"/>
      <c r="D143" s="85">
        <f t="shared" si="7"/>
        <v>0.27272727272727271</v>
      </c>
      <c r="E143" s="86"/>
      <c r="F143" s="87" t="s">
        <v>108</v>
      </c>
      <c r="G143" s="88" t="s">
        <v>66</v>
      </c>
      <c r="H143" s="89">
        <f t="shared" si="8"/>
        <v>4</v>
      </c>
      <c r="I143" s="88">
        <f>IF(项目总工作量!B$6="交易类",H143*1.5/22,IF(项目总工作量!B$6="数据分析类",H143*1.5*0.9/22,IF(项目总工作量!B$6="流程管理类",H143*1.5*0.8/22,IF(项目总工作量!B$6="渠道类",H143*1.5*0.7/22,FALSE))))</f>
        <v>0.27272727272727271</v>
      </c>
      <c r="J143" s="88" t="s">
        <v>44</v>
      </c>
    </row>
    <row r="144" spans="1:10" s="90" customFormat="1" ht="12">
      <c r="A144" s="143"/>
      <c r="B144" s="125"/>
      <c r="C144" s="129"/>
      <c r="D144" s="85">
        <f t="shared" si="7"/>
        <v>0.27272727272727271</v>
      </c>
      <c r="E144" s="86"/>
      <c r="F144" s="87" t="s">
        <v>118</v>
      </c>
      <c r="G144" s="88" t="s">
        <v>66</v>
      </c>
      <c r="H144" s="89">
        <f t="shared" si="8"/>
        <v>4</v>
      </c>
      <c r="I144" s="88">
        <f>IF(项目总工作量!B$6="交易类",H144*1.5/22,IF(项目总工作量!B$6="数据分析类",H144*1.5*0.9/22,IF(项目总工作量!B$6="流程管理类",H144*1.5*0.8/22,IF(项目总工作量!B$6="渠道类",H144*1.5*0.7/22,FALSE))))</f>
        <v>0.27272727272727271</v>
      </c>
      <c r="J144" s="88" t="s">
        <v>44</v>
      </c>
    </row>
    <row r="145" spans="1:10" s="90" customFormat="1" ht="12">
      <c r="A145" s="143"/>
      <c r="B145" s="125"/>
      <c r="C145" s="129"/>
      <c r="D145" s="85">
        <f>I146</f>
        <v>0.27272727272727271</v>
      </c>
      <c r="E145" s="86"/>
      <c r="F145" s="87" t="s">
        <v>119</v>
      </c>
      <c r="G145" s="88" t="s">
        <v>66</v>
      </c>
      <c r="H145" s="89">
        <f t="shared" si="8"/>
        <v>4</v>
      </c>
      <c r="I145" s="88">
        <f>IF(项目总工作量!B$6="交易类",H144*1.5/22,IF(项目总工作量!B$6="数据分析类",H144*1.5*0.9/22,IF(项目总工作量!B$6="流程管理类",H144*1.5*0.8/22,IF(项目总工作量!B$6="渠道类",H144*1.5*0.7/22,FALSE))))</f>
        <v>0.27272727272727271</v>
      </c>
      <c r="J145" s="88" t="s">
        <v>44</v>
      </c>
    </row>
    <row r="146" spans="1:10" s="90" customFormat="1" ht="12">
      <c r="A146" s="143"/>
      <c r="B146" s="125"/>
      <c r="C146" s="129"/>
      <c r="D146" s="85">
        <f>I147</f>
        <v>0.27272727272727271</v>
      </c>
      <c r="E146" s="86"/>
      <c r="F146" s="93" t="s">
        <v>537</v>
      </c>
      <c r="G146" s="88" t="s">
        <v>66</v>
      </c>
      <c r="H146" s="89">
        <f t="shared" si="8"/>
        <v>4</v>
      </c>
      <c r="I146" s="88">
        <f>IF(项目总工作量!B$6="交易类",H145*1.5/22,IF(项目总工作量!B$6="数据分析类",H145*1.5*0.9/22,IF(项目总工作量!B$6="流程管理类",H145*1.5*0.8/22,IF(项目总工作量!B$6="渠道类",H145*1.5*0.7/22,FALSE))))</f>
        <v>0.27272727272727271</v>
      </c>
      <c r="J146" s="88" t="s">
        <v>44</v>
      </c>
    </row>
    <row r="147" spans="1:10" s="90" customFormat="1" ht="12">
      <c r="A147" s="143"/>
      <c r="B147" s="125"/>
      <c r="C147" s="129"/>
      <c r="D147" s="85">
        <f t="shared" si="7"/>
        <v>0.27272727272727271</v>
      </c>
      <c r="E147" s="86"/>
      <c r="F147" s="87" t="s">
        <v>120</v>
      </c>
      <c r="G147" s="88" t="s">
        <v>66</v>
      </c>
      <c r="H147" s="89">
        <f t="shared" si="8"/>
        <v>4</v>
      </c>
      <c r="I147" s="88">
        <f>IF(项目总工作量!B$6="交易类",H147*1.5/22,IF(项目总工作量!B$6="数据分析类",H147*1.5*0.9/22,IF(项目总工作量!B$6="流程管理类",H147*1.5*0.8/22,IF(项目总工作量!B$6="渠道类",H147*1.5*0.7/22,FALSE))))</f>
        <v>0.27272727272727271</v>
      </c>
      <c r="J147" s="88" t="s">
        <v>44</v>
      </c>
    </row>
    <row r="148" spans="1:10" s="90" customFormat="1" ht="12">
      <c r="A148" s="143"/>
      <c r="B148" s="125"/>
      <c r="C148" s="129"/>
      <c r="D148" s="85">
        <f t="shared" si="7"/>
        <v>0.27272727272727271</v>
      </c>
      <c r="E148" s="86"/>
      <c r="F148" s="93" t="s">
        <v>546</v>
      </c>
      <c r="G148" s="88" t="s">
        <v>66</v>
      </c>
      <c r="H148" s="89">
        <f t="shared" si="8"/>
        <v>4</v>
      </c>
      <c r="I148" s="88">
        <f>IF(项目总工作量!B$6="交易类",H148*1.5/22,IF(项目总工作量!B$6="数据分析类",H148*1.5*0.9/22,IF(项目总工作量!B$6="流程管理类",H148*1.5*0.8/22,IF(项目总工作量!B$6="渠道类",H148*1.5*0.7/22,FALSE))))</f>
        <v>0.27272727272727271</v>
      </c>
      <c r="J148" s="88" t="s">
        <v>44</v>
      </c>
    </row>
    <row r="149" spans="1:10" s="90" customFormat="1" ht="12">
      <c r="A149" s="143"/>
      <c r="B149" s="125"/>
      <c r="C149" s="129"/>
      <c r="D149" s="85">
        <f t="shared" si="7"/>
        <v>0.27272727272727271</v>
      </c>
      <c r="E149" s="86"/>
      <c r="F149" s="87" t="s">
        <v>121</v>
      </c>
      <c r="G149" s="88" t="s">
        <v>66</v>
      </c>
      <c r="H149" s="89">
        <f t="shared" si="8"/>
        <v>4</v>
      </c>
      <c r="I149" s="88">
        <f>IF(项目总工作量!B$6="交易类",H149*1.5/22,IF(项目总工作量!B$6="数据分析类",H149*1.5*0.9/22,IF(项目总工作量!B$6="流程管理类",H149*1.5*0.8/22,IF(项目总工作量!B$6="渠道类",H149*1.5*0.7/22,FALSE))))</f>
        <v>0.27272727272727271</v>
      </c>
      <c r="J149" s="88" t="s">
        <v>44</v>
      </c>
    </row>
    <row r="150" spans="1:10" s="90" customFormat="1" ht="12">
      <c r="A150" s="143"/>
      <c r="B150" s="125"/>
      <c r="C150" s="129"/>
      <c r="D150" s="85">
        <f t="shared" si="7"/>
        <v>0.27272727272727271</v>
      </c>
      <c r="E150" s="86"/>
      <c r="F150" s="93" t="s">
        <v>547</v>
      </c>
      <c r="G150" s="88" t="s">
        <v>66</v>
      </c>
      <c r="H150" s="89">
        <f t="shared" si="8"/>
        <v>4</v>
      </c>
      <c r="I150" s="88">
        <f>IF(项目总工作量!B$6="交易类",H150*1.5/22,IF(项目总工作量!B$6="数据分析类",H150*1.5*0.9/22,IF(项目总工作量!B$6="流程管理类",H150*1.5*0.8/22,IF(项目总工作量!B$6="渠道类",H150*1.5*0.7/22,FALSE))))</f>
        <v>0.27272727272727271</v>
      </c>
      <c r="J150" s="88" t="s">
        <v>44</v>
      </c>
    </row>
    <row r="151" spans="1:10" s="90" customFormat="1" ht="12">
      <c r="A151" s="143"/>
      <c r="B151" s="125"/>
      <c r="C151" s="129"/>
      <c r="D151" s="85">
        <f t="shared" si="7"/>
        <v>0.27272727272727271</v>
      </c>
      <c r="E151" s="86"/>
      <c r="F151" s="87" t="s">
        <v>122</v>
      </c>
      <c r="G151" s="88" t="s">
        <v>66</v>
      </c>
      <c r="H151" s="89">
        <f t="shared" si="8"/>
        <v>4</v>
      </c>
      <c r="I151" s="88">
        <f>IF(项目总工作量!B$6="交易类",H151*1.5/22,IF(项目总工作量!B$6="数据分析类",H151*1.5*0.9/22,IF(项目总工作量!B$6="流程管理类",H151*1.5*0.8/22,IF(项目总工作量!B$6="渠道类",H151*1.5*0.7/22,FALSE))))</f>
        <v>0.27272727272727271</v>
      </c>
      <c r="J151" s="88" t="s">
        <v>44</v>
      </c>
    </row>
    <row r="152" spans="1:10" s="90" customFormat="1" ht="12">
      <c r="A152" s="143"/>
      <c r="B152" s="125"/>
      <c r="C152" s="129"/>
      <c r="D152" s="85">
        <f t="shared" si="7"/>
        <v>0.27272727272727271</v>
      </c>
      <c r="E152" s="86"/>
      <c r="F152" s="93" t="s">
        <v>548</v>
      </c>
      <c r="G152" s="88" t="s">
        <v>66</v>
      </c>
      <c r="H152" s="89">
        <f t="shared" si="8"/>
        <v>4</v>
      </c>
      <c r="I152" s="88">
        <f>IF(项目总工作量!B$6="交易类",H152*1.5/22,IF(项目总工作量!B$6="数据分析类",H152*1.5*0.9/22,IF(项目总工作量!B$6="流程管理类",H152*1.5*0.8/22,IF(项目总工作量!B$6="渠道类",H152*1.5*0.7/22,FALSE))))</f>
        <v>0.27272727272727271</v>
      </c>
      <c r="J152" s="88" t="s">
        <v>44</v>
      </c>
    </row>
    <row r="153" spans="1:10" s="90" customFormat="1" ht="12">
      <c r="A153" s="143"/>
      <c r="B153" s="125"/>
      <c r="C153" s="129"/>
      <c r="D153" s="85">
        <f t="shared" si="7"/>
        <v>0.27272727272727271</v>
      </c>
      <c r="E153" s="86"/>
      <c r="F153" s="87" t="s">
        <v>549</v>
      </c>
      <c r="G153" s="88" t="s">
        <v>66</v>
      </c>
      <c r="H153" s="89">
        <f t="shared" si="8"/>
        <v>4</v>
      </c>
      <c r="I153" s="88">
        <f>IF(项目总工作量!B$6="交易类",H153*1.5/22,IF(项目总工作量!B$6="数据分析类",H153*1.5*0.9/22,IF(项目总工作量!B$6="流程管理类",H153*1.5*0.8/22,IF(项目总工作量!B$6="渠道类",H153*1.5*0.7/22,FALSE))))</f>
        <v>0.27272727272727271</v>
      </c>
      <c r="J153" s="88" t="s">
        <v>44</v>
      </c>
    </row>
    <row r="154" spans="1:10" s="90" customFormat="1" ht="12">
      <c r="A154" s="143"/>
      <c r="B154" s="125"/>
      <c r="C154" s="129"/>
      <c r="D154" s="85">
        <f t="shared" si="7"/>
        <v>0.27272727272727271</v>
      </c>
      <c r="E154" s="86"/>
      <c r="F154" s="93" t="s">
        <v>550</v>
      </c>
      <c r="G154" s="88" t="s">
        <v>66</v>
      </c>
      <c r="H154" s="89">
        <f t="shared" si="8"/>
        <v>4</v>
      </c>
      <c r="I154" s="88">
        <f>IF(项目总工作量!B$6="交易类",H154*1.5/22,IF(项目总工作量!B$6="数据分析类",H154*1.5*0.9/22,IF(项目总工作量!B$6="流程管理类",H154*1.5*0.8/22,IF(项目总工作量!B$6="渠道类",H154*1.5*0.7/22,FALSE))))</f>
        <v>0.27272727272727271</v>
      </c>
      <c r="J154" s="88" t="s">
        <v>44</v>
      </c>
    </row>
    <row r="155" spans="1:10" s="90" customFormat="1" ht="12">
      <c r="A155" s="143"/>
      <c r="B155" s="125"/>
      <c r="C155" s="129"/>
      <c r="D155" s="85">
        <f t="shared" si="7"/>
        <v>0.27272727272727271</v>
      </c>
      <c r="E155" s="86"/>
      <c r="F155" s="87" t="s">
        <v>551</v>
      </c>
      <c r="G155" s="88" t="s">
        <v>66</v>
      </c>
      <c r="H155" s="89">
        <f t="shared" si="8"/>
        <v>4</v>
      </c>
      <c r="I155" s="88">
        <f>IF(项目总工作量!B$6="交易类",H155*1.5/22,IF(项目总工作量!B$6="数据分析类",H155*1.5*0.9/22,IF(项目总工作量!B$6="流程管理类",H155*1.5*0.8/22,IF(项目总工作量!B$6="渠道类",H155*1.5*0.7/22,FALSE))))</f>
        <v>0.27272727272727271</v>
      </c>
      <c r="J155" s="88" t="s">
        <v>44</v>
      </c>
    </row>
    <row r="156" spans="1:10" s="90" customFormat="1" ht="12">
      <c r="A156" s="143"/>
      <c r="B156" s="125"/>
      <c r="C156" s="129"/>
      <c r="D156" s="85">
        <f t="shared" si="7"/>
        <v>0.27272727272727271</v>
      </c>
      <c r="E156" s="86"/>
      <c r="F156" s="93" t="s">
        <v>552</v>
      </c>
      <c r="G156" s="88" t="s">
        <v>66</v>
      </c>
      <c r="H156" s="89">
        <f t="shared" si="8"/>
        <v>4</v>
      </c>
      <c r="I156" s="88">
        <f>IF(项目总工作量!B$6="交易类",H156*1.5/22,IF(项目总工作量!B$6="数据分析类",H156*1.5*0.9/22,IF(项目总工作量!B$6="流程管理类",H156*1.5*0.8/22,IF(项目总工作量!B$6="渠道类",H156*1.5*0.7/22,FALSE))))</f>
        <v>0.27272727272727271</v>
      </c>
      <c r="J156" s="88" t="s">
        <v>44</v>
      </c>
    </row>
    <row r="157" spans="1:10" s="90" customFormat="1" ht="12">
      <c r="A157" s="143"/>
      <c r="B157" s="125"/>
      <c r="C157" s="129"/>
      <c r="D157" s="85">
        <f t="shared" si="7"/>
        <v>0.27272727272727271</v>
      </c>
      <c r="E157" s="86"/>
      <c r="F157" s="87" t="s">
        <v>553</v>
      </c>
      <c r="G157" s="88" t="s">
        <v>66</v>
      </c>
      <c r="H157" s="89">
        <f t="shared" si="8"/>
        <v>4</v>
      </c>
      <c r="I157" s="88">
        <f>IF(项目总工作量!B$6="交易类",H157*1.5/22,IF(项目总工作量!B$6="数据分析类",H157*1.5*0.9/22,IF(项目总工作量!B$6="流程管理类",H157*1.5*0.8/22,IF(项目总工作量!B$6="渠道类",H157*1.5*0.7/22,FALSE))))</f>
        <v>0.27272727272727271</v>
      </c>
      <c r="J157" s="88" t="s">
        <v>44</v>
      </c>
    </row>
    <row r="158" spans="1:10" s="90" customFormat="1" ht="12">
      <c r="A158" s="143"/>
      <c r="B158" s="125"/>
      <c r="C158" s="129"/>
      <c r="D158" s="85">
        <f t="shared" si="7"/>
        <v>0.27272727272727271</v>
      </c>
      <c r="E158" s="86"/>
      <c r="F158" s="93" t="s">
        <v>554</v>
      </c>
      <c r="G158" s="88" t="s">
        <v>66</v>
      </c>
      <c r="H158" s="89">
        <f t="shared" si="8"/>
        <v>4</v>
      </c>
      <c r="I158" s="88">
        <f>IF(项目总工作量!B$6="交易类",H158*1.5/22,IF(项目总工作量!B$6="数据分析类",H158*1.5*0.9/22,IF(项目总工作量!B$6="流程管理类",H158*1.5*0.8/22,IF(项目总工作量!B$6="渠道类",H158*1.5*0.7/22,FALSE))))</f>
        <v>0.27272727272727271</v>
      </c>
      <c r="J158" s="88" t="s">
        <v>44</v>
      </c>
    </row>
    <row r="159" spans="1:10" s="90" customFormat="1" ht="12">
      <c r="A159" s="143"/>
      <c r="B159" s="125"/>
      <c r="C159" s="129"/>
      <c r="D159" s="85">
        <f t="shared" si="7"/>
        <v>0.27272727272727271</v>
      </c>
      <c r="E159" s="86"/>
      <c r="F159" s="87" t="s">
        <v>123</v>
      </c>
      <c r="G159" s="88" t="s">
        <v>66</v>
      </c>
      <c r="H159" s="89">
        <f t="shared" si="8"/>
        <v>4</v>
      </c>
      <c r="I159" s="88">
        <f>IF(项目总工作量!B$6="交易类",H159*1.5/22,IF(项目总工作量!B$6="数据分析类",H159*1.5*0.9/22,IF(项目总工作量!B$6="流程管理类",H159*1.5*0.8/22,IF(项目总工作量!B$6="渠道类",H159*1.5*0.7/22,FALSE))))</f>
        <v>0.27272727272727271</v>
      </c>
      <c r="J159" s="88" t="s">
        <v>44</v>
      </c>
    </row>
    <row r="160" spans="1:10" s="90" customFormat="1" ht="12">
      <c r="A160" s="91"/>
      <c r="B160" s="126"/>
      <c r="C160" s="130"/>
      <c r="D160" s="85">
        <f t="shared" si="7"/>
        <v>0.27272727272727271</v>
      </c>
      <c r="E160" s="86"/>
      <c r="F160" s="93" t="s">
        <v>555</v>
      </c>
      <c r="G160" s="88" t="s">
        <v>66</v>
      </c>
      <c r="H160" s="89">
        <f t="shared" si="8"/>
        <v>4</v>
      </c>
      <c r="I160" s="88">
        <f>IF(项目总工作量!B$6="交易类",H160*1.5/22,IF(项目总工作量!B$6="数据分析类",H160*1.5*0.9/22,IF(项目总工作量!B$6="流程管理类",H160*1.5*0.8/22,IF(项目总工作量!B$6="渠道类",H160*1.5*0.7/22,FALSE))))</f>
        <v>0.27272727272727271</v>
      </c>
      <c r="J160" s="88" t="s">
        <v>44</v>
      </c>
    </row>
    <row r="161" spans="1:256" s="95" customFormat="1" ht="15.45" customHeight="1">
      <c r="A161" s="131">
        <v>4</v>
      </c>
      <c r="B161" s="133" t="s">
        <v>391</v>
      </c>
      <c r="C161" s="135" t="s">
        <v>392</v>
      </c>
      <c r="D161" s="85">
        <f t="shared" si="7"/>
        <v>0.27272727272727271</v>
      </c>
      <c r="E161" s="98"/>
      <c r="F161" s="99" t="s">
        <v>393</v>
      </c>
      <c r="G161" s="88" t="s">
        <v>66</v>
      </c>
      <c r="H161" s="100">
        <f t="shared" ref="H161:H224" si="9">IF(G161="EI",4,IF(G161="EO",5,IF(G161="EQ",4,0)))</f>
        <v>4</v>
      </c>
      <c r="I161" s="101">
        <f>IF([2]项目总工作量!B$6="交易类",H161*1.5/22,IF([2]项目总工作量!B$6="数据分析类",H161*1.5*0.9/22,IF([2]项目总工作量!B$6="流程管理类",H161*1.5*0.8/22,IF([2]项目总工作量!B$6="渠道类",H161*1.5*0.7/22,FALSE))))</f>
        <v>0.27272727272727271</v>
      </c>
      <c r="J161" s="88" t="s">
        <v>44</v>
      </c>
      <c r="K161" s="94"/>
      <c r="L161" s="94"/>
      <c r="M161" s="94"/>
      <c r="N161" s="94"/>
      <c r="O161" s="94"/>
      <c r="P161" s="94"/>
      <c r="Q161" s="94"/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4"/>
      <c r="AU161" s="94"/>
      <c r="AV161" s="94"/>
      <c r="AW161" s="94"/>
      <c r="AX161" s="94"/>
      <c r="AY161" s="94"/>
      <c r="AZ161" s="94"/>
      <c r="BA161" s="94"/>
      <c r="BB161" s="94"/>
      <c r="BC161" s="94"/>
      <c r="BD161" s="94"/>
      <c r="BE161" s="94"/>
      <c r="BF161" s="94"/>
      <c r="BG161" s="94"/>
      <c r="BH161" s="94"/>
      <c r="BI161" s="94"/>
      <c r="BJ161" s="94"/>
      <c r="BK161" s="94"/>
      <c r="BL161" s="94"/>
      <c r="BM161" s="94"/>
      <c r="BN161" s="94"/>
      <c r="BO161" s="94"/>
      <c r="BP161" s="94"/>
      <c r="BQ161" s="94"/>
      <c r="BR161" s="94"/>
      <c r="BS161" s="94"/>
      <c r="BT161" s="94"/>
      <c r="BU161" s="94"/>
      <c r="BV161" s="94"/>
      <c r="BW161" s="94"/>
      <c r="BX161" s="94"/>
      <c r="BY161" s="94"/>
      <c r="BZ161" s="94"/>
      <c r="CA161" s="94"/>
      <c r="CB161" s="94"/>
      <c r="CC161" s="94"/>
      <c r="CD161" s="94"/>
      <c r="CE161" s="94"/>
      <c r="CF161" s="94"/>
      <c r="CG161" s="94"/>
      <c r="CH161" s="94"/>
      <c r="CI161" s="94"/>
      <c r="CJ161" s="94"/>
      <c r="CK161" s="94"/>
      <c r="CL161" s="94"/>
      <c r="CM161" s="94"/>
      <c r="CN161" s="94"/>
      <c r="CO161" s="94"/>
      <c r="CP161" s="94"/>
      <c r="CQ161" s="94"/>
      <c r="CR161" s="94"/>
      <c r="CS161" s="94"/>
      <c r="CT161" s="94"/>
      <c r="CU161" s="94"/>
      <c r="CV161" s="94"/>
      <c r="CW161" s="94"/>
      <c r="CX161" s="94"/>
      <c r="CY161" s="94"/>
      <c r="CZ161" s="94"/>
      <c r="DA161" s="94"/>
      <c r="DB161" s="94"/>
      <c r="DC161" s="94"/>
      <c r="DD161" s="94"/>
      <c r="DE161" s="94"/>
      <c r="DF161" s="94"/>
      <c r="DG161" s="94"/>
      <c r="DH161" s="94"/>
      <c r="DI161" s="94"/>
      <c r="DJ161" s="94"/>
      <c r="DK161" s="94"/>
      <c r="DL161" s="94"/>
      <c r="DM161" s="94"/>
      <c r="DN161" s="94"/>
      <c r="DO161" s="94"/>
      <c r="DP161" s="94"/>
      <c r="DQ161" s="94"/>
      <c r="DR161" s="94"/>
      <c r="DS161" s="94"/>
      <c r="DT161" s="94"/>
      <c r="DU161" s="94"/>
      <c r="DV161" s="94"/>
      <c r="DW161" s="94"/>
      <c r="DX161" s="94"/>
      <c r="DY161" s="94"/>
      <c r="DZ161" s="94"/>
      <c r="EA161" s="94"/>
      <c r="EB161" s="94"/>
      <c r="EC161" s="94"/>
      <c r="ED161" s="94"/>
      <c r="EE161" s="94"/>
      <c r="EF161" s="94"/>
      <c r="EG161" s="94"/>
      <c r="EH161" s="94"/>
      <c r="EI161" s="94"/>
      <c r="EJ161" s="94"/>
      <c r="EK161" s="94"/>
      <c r="EL161" s="94"/>
      <c r="EM161" s="94"/>
      <c r="EN161" s="94"/>
      <c r="EO161" s="94"/>
      <c r="EP161" s="94"/>
      <c r="EQ161" s="94"/>
      <c r="ER161" s="94"/>
      <c r="ES161" s="94"/>
      <c r="ET161" s="94"/>
      <c r="EU161" s="94"/>
      <c r="EV161" s="94"/>
      <c r="EW161" s="94"/>
      <c r="EX161" s="94"/>
      <c r="EY161" s="94"/>
      <c r="EZ161" s="94"/>
      <c r="FA161" s="94"/>
      <c r="FB161" s="94"/>
      <c r="FC161" s="94"/>
      <c r="FD161" s="94"/>
      <c r="FE161" s="94"/>
      <c r="FF161" s="94"/>
      <c r="FG161" s="94"/>
      <c r="FH161" s="94"/>
      <c r="FI161" s="94"/>
      <c r="FJ161" s="94"/>
      <c r="FK161" s="94"/>
      <c r="FL161" s="94"/>
      <c r="FM161" s="94"/>
      <c r="FN161" s="94"/>
      <c r="FO161" s="94"/>
      <c r="FP161" s="94"/>
      <c r="FQ161" s="94"/>
      <c r="FR161" s="94"/>
      <c r="FS161" s="94"/>
      <c r="FT161" s="94"/>
      <c r="FU161" s="94"/>
      <c r="FV161" s="94"/>
      <c r="FW161" s="94"/>
      <c r="FX161" s="94"/>
      <c r="FY161" s="94"/>
      <c r="FZ161" s="94"/>
      <c r="GA161" s="94"/>
      <c r="GB161" s="94"/>
      <c r="GC161" s="94"/>
      <c r="GD161" s="94"/>
      <c r="GE161" s="94"/>
      <c r="GF161" s="94"/>
      <c r="GG161" s="94"/>
      <c r="GH161" s="94"/>
      <c r="GI161" s="94"/>
      <c r="GJ161" s="94"/>
      <c r="GK161" s="94"/>
      <c r="GL161" s="94"/>
      <c r="GM161" s="94"/>
      <c r="GN161" s="94"/>
      <c r="GO161" s="94"/>
      <c r="GP161" s="94"/>
      <c r="GQ161" s="94"/>
      <c r="GR161" s="94"/>
      <c r="GS161" s="94"/>
      <c r="GT161" s="94"/>
      <c r="GU161" s="94"/>
      <c r="GV161" s="94"/>
      <c r="GW161" s="94"/>
      <c r="GX161" s="94"/>
      <c r="GY161" s="94"/>
      <c r="GZ161" s="94"/>
      <c r="HA161" s="94"/>
      <c r="HB161" s="94"/>
      <c r="HC161" s="94"/>
      <c r="HD161" s="94"/>
      <c r="HE161" s="94"/>
      <c r="HF161" s="94"/>
      <c r="HG161" s="94"/>
      <c r="HH161" s="94"/>
      <c r="HI161" s="94"/>
      <c r="HJ161" s="94"/>
      <c r="HK161" s="94"/>
      <c r="HL161" s="94"/>
      <c r="HM161" s="94"/>
      <c r="HN161" s="94"/>
      <c r="HO161" s="94"/>
      <c r="HP161" s="94"/>
      <c r="HQ161" s="94"/>
      <c r="HR161" s="94"/>
      <c r="HS161" s="94"/>
      <c r="HT161" s="94"/>
      <c r="HU161" s="94"/>
      <c r="HV161" s="94"/>
      <c r="HW161" s="94"/>
      <c r="HX161" s="94"/>
      <c r="HY161" s="94"/>
      <c r="HZ161" s="94"/>
      <c r="IA161" s="94"/>
      <c r="IB161" s="94"/>
      <c r="IC161" s="94"/>
      <c r="ID161" s="94"/>
      <c r="IE161" s="94"/>
      <c r="IF161" s="94"/>
      <c r="IG161" s="94"/>
      <c r="IH161" s="94"/>
      <c r="II161" s="94"/>
      <c r="IJ161" s="94"/>
      <c r="IK161" s="94"/>
      <c r="IL161" s="94"/>
      <c r="IM161" s="94"/>
      <c r="IN161" s="94"/>
      <c r="IO161" s="94"/>
      <c r="IP161" s="94"/>
      <c r="IQ161" s="94"/>
      <c r="IR161" s="94"/>
      <c r="IS161" s="94"/>
      <c r="IT161" s="94"/>
      <c r="IU161" s="94"/>
      <c r="IV161" s="94"/>
    </row>
    <row r="162" spans="1:256" s="95" customFormat="1" ht="16.05" customHeight="1">
      <c r="A162" s="132"/>
      <c r="B162" s="134"/>
      <c r="C162" s="136"/>
      <c r="D162" s="85">
        <f t="shared" si="7"/>
        <v>0.27272727272727271</v>
      </c>
      <c r="E162" s="98"/>
      <c r="F162" s="99" t="s">
        <v>394</v>
      </c>
      <c r="G162" s="88" t="s">
        <v>66</v>
      </c>
      <c r="H162" s="100">
        <f t="shared" si="9"/>
        <v>4</v>
      </c>
      <c r="I162" s="101">
        <f>IF([2]项目总工作量!B$6="交易类",H162*1.5/22,IF([2]项目总工作量!B$6="数据分析类",H162*1.5*0.9/22,IF([2]项目总工作量!B$6="流程管理类",H162*1.5*0.8/22,IF([2]项目总工作量!B$6="渠道类",H162*1.5*0.7/22,FALSE))))</f>
        <v>0.27272727272727271</v>
      </c>
      <c r="J162" s="88" t="s">
        <v>44</v>
      </c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  <c r="AS162" s="94"/>
      <c r="AT162" s="94"/>
      <c r="AU162" s="94"/>
      <c r="AV162" s="94"/>
      <c r="AW162" s="94"/>
      <c r="AX162" s="94"/>
      <c r="AY162" s="94"/>
      <c r="AZ162" s="94"/>
      <c r="BA162" s="94"/>
      <c r="BB162" s="94"/>
      <c r="BC162" s="94"/>
      <c r="BD162" s="94"/>
      <c r="BE162" s="94"/>
      <c r="BF162" s="94"/>
      <c r="BG162" s="94"/>
      <c r="BH162" s="94"/>
      <c r="BI162" s="94"/>
      <c r="BJ162" s="94"/>
      <c r="BK162" s="94"/>
      <c r="BL162" s="94"/>
      <c r="BM162" s="94"/>
      <c r="BN162" s="94"/>
      <c r="BO162" s="94"/>
      <c r="BP162" s="94"/>
      <c r="BQ162" s="94"/>
      <c r="BR162" s="94"/>
      <c r="BS162" s="94"/>
      <c r="BT162" s="94"/>
      <c r="BU162" s="94"/>
      <c r="BV162" s="94"/>
      <c r="BW162" s="94"/>
      <c r="BX162" s="94"/>
      <c r="BY162" s="94"/>
      <c r="BZ162" s="94"/>
      <c r="CA162" s="94"/>
      <c r="CB162" s="94"/>
      <c r="CC162" s="94"/>
      <c r="CD162" s="94"/>
      <c r="CE162" s="94"/>
      <c r="CF162" s="94"/>
      <c r="CG162" s="94"/>
      <c r="CH162" s="94"/>
      <c r="CI162" s="94"/>
      <c r="CJ162" s="94"/>
      <c r="CK162" s="94"/>
      <c r="CL162" s="94"/>
      <c r="CM162" s="94"/>
      <c r="CN162" s="94"/>
      <c r="CO162" s="94"/>
      <c r="CP162" s="94"/>
      <c r="CQ162" s="94"/>
      <c r="CR162" s="94"/>
      <c r="CS162" s="94"/>
      <c r="CT162" s="94"/>
      <c r="CU162" s="94"/>
      <c r="CV162" s="94"/>
      <c r="CW162" s="94"/>
      <c r="CX162" s="94"/>
      <c r="CY162" s="94"/>
      <c r="CZ162" s="94"/>
      <c r="DA162" s="94"/>
      <c r="DB162" s="94"/>
      <c r="DC162" s="94"/>
      <c r="DD162" s="94"/>
      <c r="DE162" s="94"/>
      <c r="DF162" s="94"/>
      <c r="DG162" s="94"/>
      <c r="DH162" s="94"/>
      <c r="DI162" s="94"/>
      <c r="DJ162" s="94"/>
      <c r="DK162" s="94"/>
      <c r="DL162" s="94"/>
      <c r="DM162" s="94"/>
      <c r="DN162" s="94"/>
      <c r="DO162" s="94"/>
      <c r="DP162" s="94"/>
      <c r="DQ162" s="94"/>
      <c r="DR162" s="94"/>
      <c r="DS162" s="94"/>
      <c r="DT162" s="94"/>
      <c r="DU162" s="94"/>
      <c r="DV162" s="94"/>
      <c r="DW162" s="94"/>
      <c r="DX162" s="94"/>
      <c r="DY162" s="94"/>
      <c r="DZ162" s="94"/>
      <c r="EA162" s="94"/>
      <c r="EB162" s="94"/>
      <c r="EC162" s="94"/>
      <c r="ED162" s="94"/>
      <c r="EE162" s="94"/>
      <c r="EF162" s="94"/>
      <c r="EG162" s="94"/>
      <c r="EH162" s="94"/>
      <c r="EI162" s="94"/>
      <c r="EJ162" s="94"/>
      <c r="EK162" s="94"/>
      <c r="EL162" s="94"/>
      <c r="EM162" s="94"/>
      <c r="EN162" s="94"/>
      <c r="EO162" s="94"/>
      <c r="EP162" s="94"/>
      <c r="EQ162" s="94"/>
      <c r="ER162" s="94"/>
      <c r="ES162" s="94"/>
      <c r="ET162" s="94"/>
      <c r="EU162" s="94"/>
      <c r="EV162" s="94"/>
      <c r="EW162" s="94"/>
      <c r="EX162" s="94"/>
      <c r="EY162" s="94"/>
      <c r="EZ162" s="94"/>
      <c r="FA162" s="94"/>
      <c r="FB162" s="94"/>
      <c r="FC162" s="94"/>
      <c r="FD162" s="94"/>
      <c r="FE162" s="94"/>
      <c r="FF162" s="94"/>
      <c r="FG162" s="94"/>
      <c r="FH162" s="94"/>
      <c r="FI162" s="94"/>
      <c r="FJ162" s="94"/>
      <c r="FK162" s="94"/>
      <c r="FL162" s="94"/>
      <c r="FM162" s="94"/>
      <c r="FN162" s="94"/>
      <c r="FO162" s="94"/>
      <c r="FP162" s="94"/>
      <c r="FQ162" s="94"/>
      <c r="FR162" s="94"/>
      <c r="FS162" s="94"/>
      <c r="FT162" s="94"/>
      <c r="FU162" s="94"/>
      <c r="FV162" s="94"/>
      <c r="FW162" s="94"/>
      <c r="FX162" s="94"/>
      <c r="FY162" s="94"/>
      <c r="FZ162" s="94"/>
      <c r="GA162" s="94"/>
      <c r="GB162" s="94"/>
      <c r="GC162" s="94"/>
      <c r="GD162" s="94"/>
      <c r="GE162" s="94"/>
      <c r="GF162" s="94"/>
      <c r="GG162" s="94"/>
      <c r="GH162" s="94"/>
      <c r="GI162" s="94"/>
      <c r="GJ162" s="94"/>
      <c r="GK162" s="94"/>
      <c r="GL162" s="94"/>
      <c r="GM162" s="94"/>
      <c r="GN162" s="94"/>
      <c r="GO162" s="94"/>
      <c r="GP162" s="94"/>
      <c r="GQ162" s="94"/>
      <c r="GR162" s="94"/>
      <c r="GS162" s="94"/>
      <c r="GT162" s="94"/>
      <c r="GU162" s="94"/>
      <c r="GV162" s="94"/>
      <c r="GW162" s="94"/>
      <c r="GX162" s="94"/>
      <c r="GY162" s="94"/>
      <c r="GZ162" s="94"/>
      <c r="HA162" s="94"/>
      <c r="HB162" s="94"/>
      <c r="HC162" s="94"/>
      <c r="HD162" s="94"/>
      <c r="HE162" s="94"/>
      <c r="HF162" s="94"/>
      <c r="HG162" s="94"/>
      <c r="HH162" s="94"/>
      <c r="HI162" s="94"/>
      <c r="HJ162" s="94"/>
      <c r="HK162" s="94"/>
      <c r="HL162" s="94"/>
      <c r="HM162" s="94"/>
      <c r="HN162" s="94"/>
      <c r="HO162" s="94"/>
      <c r="HP162" s="94"/>
      <c r="HQ162" s="94"/>
      <c r="HR162" s="94"/>
      <c r="HS162" s="94"/>
      <c r="HT162" s="94"/>
      <c r="HU162" s="94"/>
      <c r="HV162" s="94"/>
      <c r="HW162" s="94"/>
      <c r="HX162" s="94"/>
      <c r="HY162" s="94"/>
      <c r="HZ162" s="94"/>
      <c r="IA162" s="94"/>
      <c r="IB162" s="94"/>
      <c r="IC162" s="94"/>
      <c r="ID162" s="94"/>
      <c r="IE162" s="94"/>
      <c r="IF162" s="94"/>
      <c r="IG162" s="94"/>
      <c r="IH162" s="94"/>
      <c r="II162" s="94"/>
      <c r="IJ162" s="94"/>
      <c r="IK162" s="94"/>
      <c r="IL162" s="94"/>
      <c r="IM162" s="94"/>
      <c r="IN162" s="94"/>
      <c r="IO162" s="94"/>
      <c r="IP162" s="94"/>
      <c r="IQ162" s="94"/>
      <c r="IR162" s="94"/>
      <c r="IS162" s="94"/>
      <c r="IT162" s="94"/>
      <c r="IU162" s="94"/>
      <c r="IV162" s="94"/>
    </row>
    <row r="163" spans="1:256" s="95" customFormat="1" ht="16.95" customHeight="1">
      <c r="A163" s="132"/>
      <c r="B163" s="132"/>
      <c r="C163" s="136"/>
      <c r="D163" s="85">
        <f t="shared" si="7"/>
        <v>0.27272727272727271</v>
      </c>
      <c r="E163" s="98"/>
      <c r="F163" s="99" t="s">
        <v>395</v>
      </c>
      <c r="G163" s="88" t="s">
        <v>66</v>
      </c>
      <c r="H163" s="100">
        <f t="shared" si="9"/>
        <v>4</v>
      </c>
      <c r="I163" s="101">
        <f>IF([2]项目总工作量!B$6="交易类",H163*1.5/22,IF([2]项目总工作量!B$6="数据分析类",H163*1.5*0.9/22,IF([2]项目总工作量!B$6="流程管理类",H163*1.5*0.8/22,IF([2]项目总工作量!B$6="渠道类",H163*1.5*0.7/22,FALSE))))</f>
        <v>0.27272727272727271</v>
      </c>
      <c r="J163" s="88" t="s">
        <v>44</v>
      </c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  <c r="AV163" s="94"/>
      <c r="AW163" s="94"/>
      <c r="AX163" s="94"/>
      <c r="AY163" s="94"/>
      <c r="AZ163" s="94"/>
      <c r="BA163" s="94"/>
      <c r="BB163" s="94"/>
      <c r="BC163" s="94"/>
      <c r="BD163" s="94"/>
      <c r="BE163" s="94"/>
      <c r="BF163" s="94"/>
      <c r="BG163" s="94"/>
      <c r="BH163" s="94"/>
      <c r="BI163" s="94"/>
      <c r="BJ163" s="94"/>
      <c r="BK163" s="94"/>
      <c r="BL163" s="94"/>
      <c r="BM163" s="94"/>
      <c r="BN163" s="94"/>
      <c r="BO163" s="94"/>
      <c r="BP163" s="94"/>
      <c r="BQ163" s="94"/>
      <c r="BR163" s="94"/>
      <c r="BS163" s="94"/>
      <c r="BT163" s="94"/>
      <c r="BU163" s="94"/>
      <c r="BV163" s="94"/>
      <c r="BW163" s="94"/>
      <c r="BX163" s="94"/>
      <c r="BY163" s="94"/>
      <c r="BZ163" s="94"/>
      <c r="CA163" s="94"/>
      <c r="CB163" s="94"/>
      <c r="CC163" s="94"/>
      <c r="CD163" s="94"/>
      <c r="CE163" s="94"/>
      <c r="CF163" s="94"/>
      <c r="CG163" s="94"/>
      <c r="CH163" s="94"/>
      <c r="CI163" s="94"/>
      <c r="CJ163" s="94"/>
      <c r="CK163" s="94"/>
      <c r="CL163" s="94"/>
      <c r="CM163" s="94"/>
      <c r="CN163" s="94"/>
      <c r="CO163" s="94"/>
      <c r="CP163" s="94"/>
      <c r="CQ163" s="94"/>
      <c r="CR163" s="94"/>
      <c r="CS163" s="94"/>
      <c r="CT163" s="94"/>
      <c r="CU163" s="94"/>
      <c r="CV163" s="94"/>
      <c r="CW163" s="94"/>
      <c r="CX163" s="94"/>
      <c r="CY163" s="94"/>
      <c r="CZ163" s="94"/>
      <c r="DA163" s="94"/>
      <c r="DB163" s="94"/>
      <c r="DC163" s="94"/>
      <c r="DD163" s="94"/>
      <c r="DE163" s="94"/>
      <c r="DF163" s="94"/>
      <c r="DG163" s="94"/>
      <c r="DH163" s="94"/>
      <c r="DI163" s="94"/>
      <c r="DJ163" s="94"/>
      <c r="DK163" s="94"/>
      <c r="DL163" s="94"/>
      <c r="DM163" s="94"/>
      <c r="DN163" s="94"/>
      <c r="DO163" s="94"/>
      <c r="DP163" s="94"/>
      <c r="DQ163" s="94"/>
      <c r="DR163" s="94"/>
      <c r="DS163" s="94"/>
      <c r="DT163" s="94"/>
      <c r="DU163" s="94"/>
      <c r="DV163" s="94"/>
      <c r="DW163" s="94"/>
      <c r="DX163" s="94"/>
      <c r="DY163" s="94"/>
      <c r="DZ163" s="94"/>
      <c r="EA163" s="94"/>
      <c r="EB163" s="94"/>
      <c r="EC163" s="94"/>
      <c r="ED163" s="94"/>
      <c r="EE163" s="94"/>
      <c r="EF163" s="94"/>
      <c r="EG163" s="94"/>
      <c r="EH163" s="94"/>
      <c r="EI163" s="94"/>
      <c r="EJ163" s="94"/>
      <c r="EK163" s="94"/>
      <c r="EL163" s="94"/>
      <c r="EM163" s="94"/>
      <c r="EN163" s="94"/>
      <c r="EO163" s="94"/>
      <c r="EP163" s="94"/>
      <c r="EQ163" s="94"/>
      <c r="ER163" s="94"/>
      <c r="ES163" s="94"/>
      <c r="ET163" s="94"/>
      <c r="EU163" s="94"/>
      <c r="EV163" s="94"/>
      <c r="EW163" s="94"/>
      <c r="EX163" s="94"/>
      <c r="EY163" s="94"/>
      <c r="EZ163" s="94"/>
      <c r="FA163" s="94"/>
      <c r="FB163" s="94"/>
      <c r="FC163" s="94"/>
      <c r="FD163" s="94"/>
      <c r="FE163" s="94"/>
      <c r="FF163" s="94"/>
      <c r="FG163" s="94"/>
      <c r="FH163" s="94"/>
      <c r="FI163" s="94"/>
      <c r="FJ163" s="94"/>
      <c r="FK163" s="94"/>
      <c r="FL163" s="94"/>
      <c r="FM163" s="94"/>
      <c r="FN163" s="94"/>
      <c r="FO163" s="94"/>
      <c r="FP163" s="94"/>
      <c r="FQ163" s="94"/>
      <c r="FR163" s="94"/>
      <c r="FS163" s="94"/>
      <c r="FT163" s="94"/>
      <c r="FU163" s="94"/>
      <c r="FV163" s="94"/>
      <c r="FW163" s="94"/>
      <c r="FX163" s="94"/>
      <c r="FY163" s="94"/>
      <c r="FZ163" s="94"/>
      <c r="GA163" s="94"/>
      <c r="GB163" s="94"/>
      <c r="GC163" s="94"/>
      <c r="GD163" s="94"/>
      <c r="GE163" s="94"/>
      <c r="GF163" s="94"/>
      <c r="GG163" s="94"/>
      <c r="GH163" s="94"/>
      <c r="GI163" s="94"/>
      <c r="GJ163" s="94"/>
      <c r="GK163" s="94"/>
      <c r="GL163" s="94"/>
      <c r="GM163" s="94"/>
      <c r="GN163" s="94"/>
      <c r="GO163" s="94"/>
      <c r="GP163" s="94"/>
      <c r="GQ163" s="94"/>
      <c r="GR163" s="94"/>
      <c r="GS163" s="94"/>
      <c r="GT163" s="94"/>
      <c r="GU163" s="94"/>
      <c r="GV163" s="94"/>
      <c r="GW163" s="94"/>
      <c r="GX163" s="94"/>
      <c r="GY163" s="94"/>
      <c r="GZ163" s="94"/>
      <c r="HA163" s="94"/>
      <c r="HB163" s="94"/>
      <c r="HC163" s="94"/>
      <c r="HD163" s="94"/>
      <c r="HE163" s="94"/>
      <c r="HF163" s="94"/>
      <c r="HG163" s="94"/>
      <c r="HH163" s="94"/>
      <c r="HI163" s="94"/>
      <c r="HJ163" s="94"/>
      <c r="HK163" s="94"/>
      <c r="HL163" s="94"/>
      <c r="HM163" s="94"/>
      <c r="HN163" s="94"/>
      <c r="HO163" s="94"/>
      <c r="HP163" s="94"/>
      <c r="HQ163" s="94"/>
      <c r="HR163" s="94"/>
      <c r="HS163" s="94"/>
      <c r="HT163" s="94"/>
      <c r="HU163" s="94"/>
      <c r="HV163" s="94"/>
      <c r="HW163" s="94"/>
      <c r="HX163" s="94"/>
      <c r="HY163" s="94"/>
      <c r="HZ163" s="94"/>
      <c r="IA163" s="94"/>
      <c r="IB163" s="94"/>
      <c r="IC163" s="94"/>
      <c r="ID163" s="94"/>
      <c r="IE163" s="94"/>
      <c r="IF163" s="94"/>
      <c r="IG163" s="94"/>
      <c r="IH163" s="94"/>
      <c r="II163" s="94"/>
      <c r="IJ163" s="94"/>
      <c r="IK163" s="94"/>
      <c r="IL163" s="94"/>
      <c r="IM163" s="94"/>
      <c r="IN163" s="94"/>
      <c r="IO163" s="94"/>
      <c r="IP163" s="94"/>
      <c r="IQ163" s="94"/>
      <c r="IR163" s="94"/>
      <c r="IS163" s="94"/>
      <c r="IT163" s="94"/>
      <c r="IU163" s="94"/>
      <c r="IV163" s="94"/>
    </row>
    <row r="164" spans="1:256" s="95" customFormat="1" ht="16.95" customHeight="1">
      <c r="A164" s="132"/>
      <c r="B164" s="132"/>
      <c r="C164" s="136"/>
      <c r="D164" s="85">
        <f t="shared" si="7"/>
        <v>0.27272727272727271</v>
      </c>
      <c r="E164" s="98"/>
      <c r="F164" s="102" t="s">
        <v>396</v>
      </c>
      <c r="G164" s="88" t="s">
        <v>66</v>
      </c>
      <c r="H164" s="100">
        <f t="shared" si="9"/>
        <v>4</v>
      </c>
      <c r="I164" s="101">
        <f>IF([2]项目总工作量!B$6="交易类",H164*1.5/22,IF([2]项目总工作量!B$6="数据分析类",H164*1.5*0.9/22,IF([2]项目总工作量!B$6="流程管理类",H164*1.5*0.8/22,IF([2]项目总工作量!B$6="渠道类",H164*1.5*0.7/22,FALSE))))</f>
        <v>0.27272727272727271</v>
      </c>
      <c r="J164" s="88" t="s">
        <v>44</v>
      </c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  <c r="AI164" s="94"/>
      <c r="AJ164" s="94"/>
      <c r="AK164" s="94"/>
      <c r="AL164" s="94"/>
      <c r="AM164" s="94"/>
      <c r="AN164" s="94"/>
      <c r="AO164" s="94"/>
      <c r="AP164" s="94"/>
      <c r="AQ164" s="94"/>
      <c r="AR164" s="94"/>
      <c r="AS164" s="94"/>
      <c r="AT164" s="94"/>
      <c r="AU164" s="94"/>
      <c r="AV164" s="94"/>
      <c r="AW164" s="94"/>
      <c r="AX164" s="94"/>
      <c r="AY164" s="94"/>
      <c r="AZ164" s="94"/>
      <c r="BA164" s="94"/>
      <c r="BB164" s="94"/>
      <c r="BC164" s="94"/>
      <c r="BD164" s="94"/>
      <c r="BE164" s="94"/>
      <c r="BF164" s="94"/>
      <c r="BG164" s="94"/>
      <c r="BH164" s="94"/>
      <c r="BI164" s="94"/>
      <c r="BJ164" s="94"/>
      <c r="BK164" s="94"/>
      <c r="BL164" s="94"/>
      <c r="BM164" s="94"/>
      <c r="BN164" s="94"/>
      <c r="BO164" s="94"/>
      <c r="BP164" s="94"/>
      <c r="BQ164" s="94"/>
      <c r="BR164" s="94"/>
      <c r="BS164" s="94"/>
      <c r="BT164" s="94"/>
      <c r="BU164" s="94"/>
      <c r="BV164" s="94"/>
      <c r="BW164" s="94"/>
      <c r="BX164" s="94"/>
      <c r="BY164" s="94"/>
      <c r="BZ164" s="94"/>
      <c r="CA164" s="94"/>
      <c r="CB164" s="94"/>
      <c r="CC164" s="94"/>
      <c r="CD164" s="94"/>
      <c r="CE164" s="94"/>
      <c r="CF164" s="94"/>
      <c r="CG164" s="94"/>
      <c r="CH164" s="94"/>
      <c r="CI164" s="94"/>
      <c r="CJ164" s="94"/>
      <c r="CK164" s="94"/>
      <c r="CL164" s="94"/>
      <c r="CM164" s="94"/>
      <c r="CN164" s="94"/>
      <c r="CO164" s="94"/>
      <c r="CP164" s="94"/>
      <c r="CQ164" s="94"/>
      <c r="CR164" s="94"/>
      <c r="CS164" s="94"/>
      <c r="CT164" s="94"/>
      <c r="CU164" s="94"/>
      <c r="CV164" s="94"/>
      <c r="CW164" s="94"/>
      <c r="CX164" s="94"/>
      <c r="CY164" s="94"/>
      <c r="CZ164" s="94"/>
      <c r="DA164" s="94"/>
      <c r="DB164" s="94"/>
      <c r="DC164" s="94"/>
      <c r="DD164" s="94"/>
      <c r="DE164" s="94"/>
      <c r="DF164" s="94"/>
      <c r="DG164" s="94"/>
      <c r="DH164" s="94"/>
      <c r="DI164" s="94"/>
      <c r="DJ164" s="94"/>
      <c r="DK164" s="94"/>
      <c r="DL164" s="94"/>
      <c r="DM164" s="94"/>
      <c r="DN164" s="94"/>
      <c r="DO164" s="94"/>
      <c r="DP164" s="94"/>
      <c r="DQ164" s="94"/>
      <c r="DR164" s="94"/>
      <c r="DS164" s="94"/>
      <c r="DT164" s="94"/>
      <c r="DU164" s="94"/>
      <c r="DV164" s="94"/>
      <c r="DW164" s="94"/>
      <c r="DX164" s="94"/>
      <c r="DY164" s="94"/>
      <c r="DZ164" s="94"/>
      <c r="EA164" s="94"/>
      <c r="EB164" s="94"/>
      <c r="EC164" s="94"/>
      <c r="ED164" s="94"/>
      <c r="EE164" s="94"/>
      <c r="EF164" s="94"/>
      <c r="EG164" s="94"/>
      <c r="EH164" s="94"/>
      <c r="EI164" s="94"/>
      <c r="EJ164" s="94"/>
      <c r="EK164" s="94"/>
      <c r="EL164" s="94"/>
      <c r="EM164" s="94"/>
      <c r="EN164" s="94"/>
      <c r="EO164" s="94"/>
      <c r="EP164" s="94"/>
      <c r="EQ164" s="94"/>
      <c r="ER164" s="94"/>
      <c r="ES164" s="94"/>
      <c r="ET164" s="94"/>
      <c r="EU164" s="94"/>
      <c r="EV164" s="94"/>
      <c r="EW164" s="94"/>
      <c r="EX164" s="94"/>
      <c r="EY164" s="94"/>
      <c r="EZ164" s="94"/>
      <c r="FA164" s="94"/>
      <c r="FB164" s="94"/>
      <c r="FC164" s="94"/>
      <c r="FD164" s="94"/>
      <c r="FE164" s="94"/>
      <c r="FF164" s="94"/>
      <c r="FG164" s="94"/>
      <c r="FH164" s="94"/>
      <c r="FI164" s="94"/>
      <c r="FJ164" s="94"/>
      <c r="FK164" s="94"/>
      <c r="FL164" s="94"/>
      <c r="FM164" s="94"/>
      <c r="FN164" s="94"/>
      <c r="FO164" s="94"/>
      <c r="FP164" s="94"/>
      <c r="FQ164" s="94"/>
      <c r="FR164" s="94"/>
      <c r="FS164" s="94"/>
      <c r="FT164" s="94"/>
      <c r="FU164" s="94"/>
      <c r="FV164" s="94"/>
      <c r="FW164" s="94"/>
      <c r="FX164" s="94"/>
      <c r="FY164" s="94"/>
      <c r="FZ164" s="94"/>
      <c r="GA164" s="94"/>
      <c r="GB164" s="94"/>
      <c r="GC164" s="94"/>
      <c r="GD164" s="94"/>
      <c r="GE164" s="94"/>
      <c r="GF164" s="94"/>
      <c r="GG164" s="94"/>
      <c r="GH164" s="94"/>
      <c r="GI164" s="94"/>
      <c r="GJ164" s="94"/>
      <c r="GK164" s="94"/>
      <c r="GL164" s="94"/>
      <c r="GM164" s="94"/>
      <c r="GN164" s="94"/>
      <c r="GO164" s="94"/>
      <c r="GP164" s="94"/>
      <c r="GQ164" s="94"/>
      <c r="GR164" s="94"/>
      <c r="GS164" s="94"/>
      <c r="GT164" s="94"/>
      <c r="GU164" s="94"/>
      <c r="GV164" s="94"/>
      <c r="GW164" s="94"/>
      <c r="GX164" s="94"/>
      <c r="GY164" s="94"/>
      <c r="GZ164" s="94"/>
      <c r="HA164" s="94"/>
      <c r="HB164" s="94"/>
      <c r="HC164" s="94"/>
      <c r="HD164" s="94"/>
      <c r="HE164" s="94"/>
      <c r="HF164" s="94"/>
      <c r="HG164" s="94"/>
      <c r="HH164" s="94"/>
      <c r="HI164" s="94"/>
      <c r="HJ164" s="94"/>
      <c r="HK164" s="94"/>
      <c r="HL164" s="94"/>
      <c r="HM164" s="94"/>
      <c r="HN164" s="94"/>
      <c r="HO164" s="94"/>
      <c r="HP164" s="94"/>
      <c r="HQ164" s="94"/>
      <c r="HR164" s="94"/>
      <c r="HS164" s="94"/>
      <c r="HT164" s="94"/>
      <c r="HU164" s="94"/>
      <c r="HV164" s="94"/>
      <c r="HW164" s="94"/>
      <c r="HX164" s="94"/>
      <c r="HY164" s="94"/>
      <c r="HZ164" s="94"/>
      <c r="IA164" s="94"/>
      <c r="IB164" s="94"/>
      <c r="IC164" s="94"/>
      <c r="ID164" s="94"/>
      <c r="IE164" s="94"/>
      <c r="IF164" s="94"/>
      <c r="IG164" s="94"/>
      <c r="IH164" s="94"/>
      <c r="II164" s="94"/>
      <c r="IJ164" s="94"/>
      <c r="IK164" s="94"/>
      <c r="IL164" s="94"/>
      <c r="IM164" s="94"/>
      <c r="IN164" s="94"/>
      <c r="IO164" s="94"/>
      <c r="IP164" s="94"/>
      <c r="IQ164" s="94"/>
      <c r="IR164" s="94"/>
      <c r="IS164" s="94"/>
      <c r="IT164" s="94"/>
      <c r="IU164" s="94"/>
      <c r="IV164" s="94"/>
    </row>
    <row r="165" spans="1:256" s="95" customFormat="1" ht="16.95" customHeight="1">
      <c r="A165" s="132"/>
      <c r="B165" s="132"/>
      <c r="C165" s="136"/>
      <c r="D165" s="85">
        <f t="shared" si="7"/>
        <v>0.27272727272727271</v>
      </c>
      <c r="E165" s="98"/>
      <c r="F165" s="99" t="s">
        <v>397</v>
      </c>
      <c r="G165" s="88" t="s">
        <v>66</v>
      </c>
      <c r="H165" s="100">
        <f t="shared" si="9"/>
        <v>4</v>
      </c>
      <c r="I165" s="101">
        <f>IF([2]项目总工作量!B$6="交易类",H165*1.5/22,IF([2]项目总工作量!B$6="数据分析类",H165*1.5*0.9/22,IF([2]项目总工作量!B$6="流程管理类",H165*1.5*0.8/22,IF([2]项目总工作量!B$6="渠道类",H165*1.5*0.7/22,FALSE))))</f>
        <v>0.27272727272727271</v>
      </c>
      <c r="J165" s="88" t="s">
        <v>44</v>
      </c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  <c r="AI165" s="94"/>
      <c r="AJ165" s="94"/>
      <c r="AK165" s="94"/>
      <c r="AL165" s="94"/>
      <c r="AM165" s="94"/>
      <c r="AN165" s="94"/>
      <c r="AO165" s="94"/>
      <c r="AP165" s="94"/>
      <c r="AQ165" s="94"/>
      <c r="AR165" s="94"/>
      <c r="AS165" s="94"/>
      <c r="AT165" s="94"/>
      <c r="AU165" s="94"/>
      <c r="AV165" s="94"/>
      <c r="AW165" s="94"/>
      <c r="AX165" s="94"/>
      <c r="AY165" s="94"/>
      <c r="AZ165" s="94"/>
      <c r="BA165" s="94"/>
      <c r="BB165" s="94"/>
      <c r="BC165" s="94"/>
      <c r="BD165" s="94"/>
      <c r="BE165" s="94"/>
      <c r="BF165" s="94"/>
      <c r="BG165" s="94"/>
      <c r="BH165" s="94"/>
      <c r="BI165" s="94"/>
      <c r="BJ165" s="94"/>
      <c r="BK165" s="94"/>
      <c r="BL165" s="94"/>
      <c r="BM165" s="94"/>
      <c r="BN165" s="94"/>
      <c r="BO165" s="94"/>
      <c r="BP165" s="94"/>
      <c r="BQ165" s="94"/>
      <c r="BR165" s="94"/>
      <c r="BS165" s="94"/>
      <c r="BT165" s="94"/>
      <c r="BU165" s="94"/>
      <c r="BV165" s="94"/>
      <c r="BW165" s="94"/>
      <c r="BX165" s="94"/>
      <c r="BY165" s="94"/>
      <c r="BZ165" s="94"/>
      <c r="CA165" s="94"/>
      <c r="CB165" s="94"/>
      <c r="CC165" s="94"/>
      <c r="CD165" s="94"/>
      <c r="CE165" s="94"/>
      <c r="CF165" s="94"/>
      <c r="CG165" s="94"/>
      <c r="CH165" s="94"/>
      <c r="CI165" s="94"/>
      <c r="CJ165" s="94"/>
      <c r="CK165" s="94"/>
      <c r="CL165" s="94"/>
      <c r="CM165" s="94"/>
      <c r="CN165" s="94"/>
      <c r="CO165" s="94"/>
      <c r="CP165" s="94"/>
      <c r="CQ165" s="94"/>
      <c r="CR165" s="94"/>
      <c r="CS165" s="94"/>
      <c r="CT165" s="94"/>
      <c r="CU165" s="94"/>
      <c r="CV165" s="94"/>
      <c r="CW165" s="94"/>
      <c r="CX165" s="94"/>
      <c r="CY165" s="94"/>
      <c r="CZ165" s="94"/>
      <c r="DA165" s="94"/>
      <c r="DB165" s="94"/>
      <c r="DC165" s="94"/>
      <c r="DD165" s="94"/>
      <c r="DE165" s="94"/>
      <c r="DF165" s="94"/>
      <c r="DG165" s="94"/>
      <c r="DH165" s="94"/>
      <c r="DI165" s="94"/>
      <c r="DJ165" s="94"/>
      <c r="DK165" s="94"/>
      <c r="DL165" s="94"/>
      <c r="DM165" s="94"/>
      <c r="DN165" s="94"/>
      <c r="DO165" s="94"/>
      <c r="DP165" s="94"/>
      <c r="DQ165" s="94"/>
      <c r="DR165" s="94"/>
      <c r="DS165" s="94"/>
      <c r="DT165" s="94"/>
      <c r="DU165" s="94"/>
      <c r="DV165" s="94"/>
      <c r="DW165" s="94"/>
      <c r="DX165" s="94"/>
      <c r="DY165" s="94"/>
      <c r="DZ165" s="94"/>
      <c r="EA165" s="94"/>
      <c r="EB165" s="94"/>
      <c r="EC165" s="94"/>
      <c r="ED165" s="94"/>
      <c r="EE165" s="94"/>
      <c r="EF165" s="94"/>
      <c r="EG165" s="94"/>
      <c r="EH165" s="94"/>
      <c r="EI165" s="94"/>
      <c r="EJ165" s="94"/>
      <c r="EK165" s="94"/>
      <c r="EL165" s="94"/>
      <c r="EM165" s="94"/>
      <c r="EN165" s="94"/>
      <c r="EO165" s="94"/>
      <c r="EP165" s="94"/>
      <c r="EQ165" s="94"/>
      <c r="ER165" s="94"/>
      <c r="ES165" s="94"/>
      <c r="ET165" s="94"/>
      <c r="EU165" s="94"/>
      <c r="EV165" s="94"/>
      <c r="EW165" s="94"/>
      <c r="EX165" s="94"/>
      <c r="EY165" s="94"/>
      <c r="EZ165" s="94"/>
      <c r="FA165" s="94"/>
      <c r="FB165" s="94"/>
      <c r="FC165" s="94"/>
      <c r="FD165" s="94"/>
      <c r="FE165" s="94"/>
      <c r="FF165" s="94"/>
      <c r="FG165" s="94"/>
      <c r="FH165" s="94"/>
      <c r="FI165" s="94"/>
      <c r="FJ165" s="94"/>
      <c r="FK165" s="94"/>
      <c r="FL165" s="94"/>
      <c r="FM165" s="94"/>
      <c r="FN165" s="94"/>
      <c r="FO165" s="94"/>
      <c r="FP165" s="94"/>
      <c r="FQ165" s="94"/>
      <c r="FR165" s="94"/>
      <c r="FS165" s="94"/>
      <c r="FT165" s="94"/>
      <c r="FU165" s="94"/>
      <c r="FV165" s="94"/>
      <c r="FW165" s="94"/>
      <c r="FX165" s="94"/>
      <c r="FY165" s="94"/>
      <c r="FZ165" s="94"/>
      <c r="GA165" s="94"/>
      <c r="GB165" s="94"/>
      <c r="GC165" s="94"/>
      <c r="GD165" s="94"/>
      <c r="GE165" s="94"/>
      <c r="GF165" s="94"/>
      <c r="GG165" s="94"/>
      <c r="GH165" s="94"/>
      <c r="GI165" s="94"/>
      <c r="GJ165" s="94"/>
      <c r="GK165" s="94"/>
      <c r="GL165" s="94"/>
      <c r="GM165" s="94"/>
      <c r="GN165" s="94"/>
      <c r="GO165" s="94"/>
      <c r="GP165" s="94"/>
      <c r="GQ165" s="94"/>
      <c r="GR165" s="94"/>
      <c r="GS165" s="94"/>
      <c r="GT165" s="94"/>
      <c r="GU165" s="94"/>
      <c r="GV165" s="94"/>
      <c r="GW165" s="94"/>
      <c r="GX165" s="94"/>
      <c r="GY165" s="94"/>
      <c r="GZ165" s="94"/>
      <c r="HA165" s="94"/>
      <c r="HB165" s="94"/>
      <c r="HC165" s="94"/>
      <c r="HD165" s="94"/>
      <c r="HE165" s="94"/>
      <c r="HF165" s="94"/>
      <c r="HG165" s="94"/>
      <c r="HH165" s="94"/>
      <c r="HI165" s="94"/>
      <c r="HJ165" s="94"/>
      <c r="HK165" s="94"/>
      <c r="HL165" s="94"/>
      <c r="HM165" s="94"/>
      <c r="HN165" s="94"/>
      <c r="HO165" s="94"/>
      <c r="HP165" s="94"/>
      <c r="HQ165" s="94"/>
      <c r="HR165" s="94"/>
      <c r="HS165" s="94"/>
      <c r="HT165" s="94"/>
      <c r="HU165" s="94"/>
      <c r="HV165" s="94"/>
      <c r="HW165" s="94"/>
      <c r="HX165" s="94"/>
      <c r="HY165" s="94"/>
      <c r="HZ165" s="94"/>
      <c r="IA165" s="94"/>
      <c r="IB165" s="94"/>
      <c r="IC165" s="94"/>
      <c r="ID165" s="94"/>
      <c r="IE165" s="94"/>
      <c r="IF165" s="94"/>
      <c r="IG165" s="94"/>
      <c r="IH165" s="94"/>
      <c r="II165" s="94"/>
      <c r="IJ165" s="94"/>
      <c r="IK165" s="94"/>
      <c r="IL165" s="94"/>
      <c r="IM165" s="94"/>
      <c r="IN165" s="94"/>
      <c r="IO165" s="94"/>
      <c r="IP165" s="94"/>
      <c r="IQ165" s="94"/>
      <c r="IR165" s="94"/>
      <c r="IS165" s="94"/>
      <c r="IT165" s="94"/>
      <c r="IU165" s="94"/>
      <c r="IV165" s="94"/>
    </row>
    <row r="166" spans="1:256" s="95" customFormat="1" ht="16.95" customHeight="1">
      <c r="A166" s="132"/>
      <c r="B166" s="132"/>
      <c r="C166" s="136"/>
      <c r="D166" s="85">
        <f t="shared" si="7"/>
        <v>0.27272727272727271</v>
      </c>
      <c r="E166" s="98"/>
      <c r="F166" s="99" t="s">
        <v>398</v>
      </c>
      <c r="G166" s="88" t="s">
        <v>66</v>
      </c>
      <c r="H166" s="100">
        <f t="shared" si="9"/>
        <v>4</v>
      </c>
      <c r="I166" s="101">
        <f>IF([2]项目总工作量!B$6="交易类",H166*1.5/22,IF([2]项目总工作量!B$6="数据分析类",H166*1.5*0.9/22,IF([2]项目总工作量!B$6="流程管理类",H166*1.5*0.8/22,IF([2]项目总工作量!B$6="渠道类",H166*1.5*0.7/22,FALSE))))</f>
        <v>0.27272727272727271</v>
      </c>
      <c r="J166" s="88" t="s">
        <v>44</v>
      </c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  <c r="AV166" s="94"/>
      <c r="AW166" s="94"/>
      <c r="AX166" s="94"/>
      <c r="AY166" s="94"/>
      <c r="AZ166" s="94"/>
      <c r="BA166" s="94"/>
      <c r="BB166" s="94"/>
      <c r="BC166" s="94"/>
      <c r="BD166" s="94"/>
      <c r="BE166" s="94"/>
      <c r="BF166" s="94"/>
      <c r="BG166" s="94"/>
      <c r="BH166" s="94"/>
      <c r="BI166" s="94"/>
      <c r="BJ166" s="94"/>
      <c r="BK166" s="94"/>
      <c r="BL166" s="94"/>
      <c r="BM166" s="94"/>
      <c r="BN166" s="94"/>
      <c r="BO166" s="94"/>
      <c r="BP166" s="94"/>
      <c r="BQ166" s="94"/>
      <c r="BR166" s="94"/>
      <c r="BS166" s="94"/>
      <c r="BT166" s="94"/>
      <c r="BU166" s="94"/>
      <c r="BV166" s="94"/>
      <c r="BW166" s="94"/>
      <c r="BX166" s="94"/>
      <c r="BY166" s="94"/>
      <c r="BZ166" s="94"/>
      <c r="CA166" s="94"/>
      <c r="CB166" s="94"/>
      <c r="CC166" s="94"/>
      <c r="CD166" s="94"/>
      <c r="CE166" s="94"/>
      <c r="CF166" s="94"/>
      <c r="CG166" s="94"/>
      <c r="CH166" s="94"/>
      <c r="CI166" s="94"/>
      <c r="CJ166" s="94"/>
      <c r="CK166" s="94"/>
      <c r="CL166" s="94"/>
      <c r="CM166" s="94"/>
      <c r="CN166" s="94"/>
      <c r="CO166" s="94"/>
      <c r="CP166" s="94"/>
      <c r="CQ166" s="94"/>
      <c r="CR166" s="94"/>
      <c r="CS166" s="94"/>
      <c r="CT166" s="94"/>
      <c r="CU166" s="94"/>
      <c r="CV166" s="94"/>
      <c r="CW166" s="94"/>
      <c r="CX166" s="94"/>
      <c r="CY166" s="94"/>
      <c r="CZ166" s="94"/>
      <c r="DA166" s="94"/>
      <c r="DB166" s="94"/>
      <c r="DC166" s="94"/>
      <c r="DD166" s="94"/>
      <c r="DE166" s="94"/>
      <c r="DF166" s="94"/>
      <c r="DG166" s="94"/>
      <c r="DH166" s="94"/>
      <c r="DI166" s="94"/>
      <c r="DJ166" s="94"/>
      <c r="DK166" s="94"/>
      <c r="DL166" s="94"/>
      <c r="DM166" s="94"/>
      <c r="DN166" s="94"/>
      <c r="DO166" s="94"/>
      <c r="DP166" s="94"/>
      <c r="DQ166" s="94"/>
      <c r="DR166" s="94"/>
      <c r="DS166" s="94"/>
      <c r="DT166" s="94"/>
      <c r="DU166" s="94"/>
      <c r="DV166" s="94"/>
      <c r="DW166" s="94"/>
      <c r="DX166" s="94"/>
      <c r="DY166" s="94"/>
      <c r="DZ166" s="94"/>
      <c r="EA166" s="94"/>
      <c r="EB166" s="94"/>
      <c r="EC166" s="94"/>
      <c r="ED166" s="94"/>
      <c r="EE166" s="94"/>
      <c r="EF166" s="94"/>
      <c r="EG166" s="94"/>
      <c r="EH166" s="94"/>
      <c r="EI166" s="94"/>
      <c r="EJ166" s="94"/>
      <c r="EK166" s="94"/>
      <c r="EL166" s="94"/>
      <c r="EM166" s="94"/>
      <c r="EN166" s="94"/>
      <c r="EO166" s="94"/>
      <c r="EP166" s="94"/>
      <c r="EQ166" s="94"/>
      <c r="ER166" s="94"/>
      <c r="ES166" s="94"/>
      <c r="ET166" s="94"/>
      <c r="EU166" s="94"/>
      <c r="EV166" s="94"/>
      <c r="EW166" s="94"/>
      <c r="EX166" s="94"/>
      <c r="EY166" s="94"/>
      <c r="EZ166" s="94"/>
      <c r="FA166" s="94"/>
      <c r="FB166" s="94"/>
      <c r="FC166" s="94"/>
      <c r="FD166" s="94"/>
      <c r="FE166" s="94"/>
      <c r="FF166" s="94"/>
      <c r="FG166" s="94"/>
      <c r="FH166" s="94"/>
      <c r="FI166" s="94"/>
      <c r="FJ166" s="94"/>
      <c r="FK166" s="94"/>
      <c r="FL166" s="94"/>
      <c r="FM166" s="94"/>
      <c r="FN166" s="94"/>
      <c r="FO166" s="94"/>
      <c r="FP166" s="94"/>
      <c r="FQ166" s="94"/>
      <c r="FR166" s="94"/>
      <c r="FS166" s="94"/>
      <c r="FT166" s="94"/>
      <c r="FU166" s="94"/>
      <c r="FV166" s="94"/>
      <c r="FW166" s="94"/>
      <c r="FX166" s="94"/>
      <c r="FY166" s="94"/>
      <c r="FZ166" s="94"/>
      <c r="GA166" s="94"/>
      <c r="GB166" s="94"/>
      <c r="GC166" s="94"/>
      <c r="GD166" s="94"/>
      <c r="GE166" s="94"/>
      <c r="GF166" s="94"/>
      <c r="GG166" s="94"/>
      <c r="GH166" s="94"/>
      <c r="GI166" s="94"/>
      <c r="GJ166" s="94"/>
      <c r="GK166" s="94"/>
      <c r="GL166" s="94"/>
      <c r="GM166" s="94"/>
      <c r="GN166" s="94"/>
      <c r="GO166" s="94"/>
      <c r="GP166" s="94"/>
      <c r="GQ166" s="94"/>
      <c r="GR166" s="94"/>
      <c r="GS166" s="94"/>
      <c r="GT166" s="94"/>
      <c r="GU166" s="94"/>
      <c r="GV166" s="94"/>
      <c r="GW166" s="94"/>
      <c r="GX166" s="94"/>
      <c r="GY166" s="94"/>
      <c r="GZ166" s="94"/>
      <c r="HA166" s="94"/>
      <c r="HB166" s="94"/>
      <c r="HC166" s="94"/>
      <c r="HD166" s="94"/>
      <c r="HE166" s="94"/>
      <c r="HF166" s="94"/>
      <c r="HG166" s="94"/>
      <c r="HH166" s="94"/>
      <c r="HI166" s="94"/>
      <c r="HJ166" s="94"/>
      <c r="HK166" s="94"/>
      <c r="HL166" s="94"/>
      <c r="HM166" s="94"/>
      <c r="HN166" s="94"/>
      <c r="HO166" s="94"/>
      <c r="HP166" s="94"/>
      <c r="HQ166" s="94"/>
      <c r="HR166" s="94"/>
      <c r="HS166" s="94"/>
      <c r="HT166" s="94"/>
      <c r="HU166" s="94"/>
      <c r="HV166" s="94"/>
      <c r="HW166" s="94"/>
      <c r="HX166" s="94"/>
      <c r="HY166" s="94"/>
      <c r="HZ166" s="94"/>
      <c r="IA166" s="94"/>
      <c r="IB166" s="94"/>
      <c r="IC166" s="94"/>
      <c r="ID166" s="94"/>
      <c r="IE166" s="94"/>
      <c r="IF166" s="94"/>
      <c r="IG166" s="94"/>
      <c r="IH166" s="94"/>
      <c r="II166" s="94"/>
      <c r="IJ166" s="94"/>
      <c r="IK166" s="94"/>
      <c r="IL166" s="94"/>
      <c r="IM166" s="94"/>
      <c r="IN166" s="94"/>
      <c r="IO166" s="94"/>
      <c r="IP166" s="94"/>
      <c r="IQ166" s="94"/>
      <c r="IR166" s="94"/>
      <c r="IS166" s="94"/>
      <c r="IT166" s="94"/>
      <c r="IU166" s="94"/>
      <c r="IV166" s="94"/>
    </row>
    <row r="167" spans="1:256" s="95" customFormat="1" ht="16.95" customHeight="1">
      <c r="A167" s="132"/>
      <c r="B167" s="132"/>
      <c r="C167" s="136"/>
      <c r="D167" s="85">
        <f t="shared" si="7"/>
        <v>0.27272727272727271</v>
      </c>
      <c r="E167" s="98"/>
      <c r="F167" s="99" t="s">
        <v>399</v>
      </c>
      <c r="G167" s="88" t="s">
        <v>66</v>
      </c>
      <c r="H167" s="100">
        <f t="shared" si="9"/>
        <v>4</v>
      </c>
      <c r="I167" s="101">
        <f>IF([2]项目总工作量!B$6="交易类",H167*1.5/22,IF([2]项目总工作量!B$6="数据分析类",H167*1.5*0.9/22,IF([2]项目总工作量!B$6="流程管理类",H167*1.5*0.8/22,IF([2]项目总工作量!B$6="渠道类",H167*1.5*0.7/22,FALSE))))</f>
        <v>0.27272727272727271</v>
      </c>
      <c r="J167" s="88" t="s">
        <v>44</v>
      </c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  <c r="AI167" s="94"/>
      <c r="AJ167" s="94"/>
      <c r="AK167" s="94"/>
      <c r="AL167" s="94"/>
      <c r="AM167" s="94"/>
      <c r="AN167" s="94"/>
      <c r="AO167" s="94"/>
      <c r="AP167" s="94"/>
      <c r="AQ167" s="94"/>
      <c r="AR167" s="94"/>
      <c r="AS167" s="94"/>
      <c r="AT167" s="94"/>
      <c r="AU167" s="94"/>
      <c r="AV167" s="94"/>
      <c r="AW167" s="94"/>
      <c r="AX167" s="94"/>
      <c r="AY167" s="94"/>
      <c r="AZ167" s="94"/>
      <c r="BA167" s="94"/>
      <c r="BB167" s="94"/>
      <c r="BC167" s="94"/>
      <c r="BD167" s="94"/>
      <c r="BE167" s="94"/>
      <c r="BF167" s="94"/>
      <c r="BG167" s="94"/>
      <c r="BH167" s="94"/>
      <c r="BI167" s="94"/>
      <c r="BJ167" s="94"/>
      <c r="BK167" s="94"/>
      <c r="BL167" s="94"/>
      <c r="BM167" s="94"/>
      <c r="BN167" s="94"/>
      <c r="BO167" s="94"/>
      <c r="BP167" s="94"/>
      <c r="BQ167" s="94"/>
      <c r="BR167" s="94"/>
      <c r="BS167" s="94"/>
      <c r="BT167" s="94"/>
      <c r="BU167" s="94"/>
      <c r="BV167" s="94"/>
      <c r="BW167" s="94"/>
      <c r="BX167" s="94"/>
      <c r="BY167" s="94"/>
      <c r="BZ167" s="94"/>
      <c r="CA167" s="94"/>
      <c r="CB167" s="94"/>
      <c r="CC167" s="94"/>
      <c r="CD167" s="94"/>
      <c r="CE167" s="94"/>
      <c r="CF167" s="94"/>
      <c r="CG167" s="94"/>
      <c r="CH167" s="94"/>
      <c r="CI167" s="94"/>
      <c r="CJ167" s="94"/>
      <c r="CK167" s="94"/>
      <c r="CL167" s="94"/>
      <c r="CM167" s="94"/>
      <c r="CN167" s="94"/>
      <c r="CO167" s="94"/>
      <c r="CP167" s="94"/>
      <c r="CQ167" s="94"/>
      <c r="CR167" s="94"/>
      <c r="CS167" s="94"/>
      <c r="CT167" s="94"/>
      <c r="CU167" s="94"/>
      <c r="CV167" s="94"/>
      <c r="CW167" s="94"/>
      <c r="CX167" s="94"/>
      <c r="CY167" s="94"/>
      <c r="CZ167" s="94"/>
      <c r="DA167" s="94"/>
      <c r="DB167" s="94"/>
      <c r="DC167" s="94"/>
      <c r="DD167" s="94"/>
      <c r="DE167" s="94"/>
      <c r="DF167" s="94"/>
      <c r="DG167" s="94"/>
      <c r="DH167" s="94"/>
      <c r="DI167" s="94"/>
      <c r="DJ167" s="94"/>
      <c r="DK167" s="94"/>
      <c r="DL167" s="94"/>
      <c r="DM167" s="94"/>
      <c r="DN167" s="94"/>
      <c r="DO167" s="94"/>
      <c r="DP167" s="94"/>
      <c r="DQ167" s="94"/>
      <c r="DR167" s="94"/>
      <c r="DS167" s="94"/>
      <c r="DT167" s="94"/>
      <c r="DU167" s="94"/>
      <c r="DV167" s="94"/>
      <c r="DW167" s="94"/>
      <c r="DX167" s="94"/>
      <c r="DY167" s="94"/>
      <c r="DZ167" s="94"/>
      <c r="EA167" s="94"/>
      <c r="EB167" s="94"/>
      <c r="EC167" s="94"/>
      <c r="ED167" s="94"/>
      <c r="EE167" s="94"/>
      <c r="EF167" s="94"/>
      <c r="EG167" s="94"/>
      <c r="EH167" s="94"/>
      <c r="EI167" s="94"/>
      <c r="EJ167" s="94"/>
      <c r="EK167" s="94"/>
      <c r="EL167" s="94"/>
      <c r="EM167" s="94"/>
      <c r="EN167" s="94"/>
      <c r="EO167" s="94"/>
      <c r="EP167" s="94"/>
      <c r="EQ167" s="94"/>
      <c r="ER167" s="94"/>
      <c r="ES167" s="94"/>
      <c r="ET167" s="94"/>
      <c r="EU167" s="94"/>
      <c r="EV167" s="94"/>
      <c r="EW167" s="94"/>
      <c r="EX167" s="94"/>
      <c r="EY167" s="94"/>
      <c r="EZ167" s="94"/>
      <c r="FA167" s="94"/>
      <c r="FB167" s="94"/>
      <c r="FC167" s="94"/>
      <c r="FD167" s="94"/>
      <c r="FE167" s="94"/>
      <c r="FF167" s="94"/>
      <c r="FG167" s="94"/>
      <c r="FH167" s="94"/>
      <c r="FI167" s="94"/>
      <c r="FJ167" s="94"/>
      <c r="FK167" s="94"/>
      <c r="FL167" s="94"/>
      <c r="FM167" s="94"/>
      <c r="FN167" s="94"/>
      <c r="FO167" s="94"/>
      <c r="FP167" s="94"/>
      <c r="FQ167" s="94"/>
      <c r="FR167" s="94"/>
      <c r="FS167" s="94"/>
      <c r="FT167" s="94"/>
      <c r="FU167" s="94"/>
      <c r="FV167" s="94"/>
      <c r="FW167" s="94"/>
      <c r="FX167" s="94"/>
      <c r="FY167" s="94"/>
      <c r="FZ167" s="94"/>
      <c r="GA167" s="94"/>
      <c r="GB167" s="94"/>
      <c r="GC167" s="94"/>
      <c r="GD167" s="94"/>
      <c r="GE167" s="94"/>
      <c r="GF167" s="94"/>
      <c r="GG167" s="94"/>
      <c r="GH167" s="94"/>
      <c r="GI167" s="94"/>
      <c r="GJ167" s="94"/>
      <c r="GK167" s="94"/>
      <c r="GL167" s="94"/>
      <c r="GM167" s="94"/>
      <c r="GN167" s="94"/>
      <c r="GO167" s="94"/>
      <c r="GP167" s="94"/>
      <c r="GQ167" s="94"/>
      <c r="GR167" s="94"/>
      <c r="GS167" s="94"/>
      <c r="GT167" s="94"/>
      <c r="GU167" s="94"/>
      <c r="GV167" s="94"/>
      <c r="GW167" s="94"/>
      <c r="GX167" s="94"/>
      <c r="GY167" s="94"/>
      <c r="GZ167" s="94"/>
      <c r="HA167" s="94"/>
      <c r="HB167" s="94"/>
      <c r="HC167" s="94"/>
      <c r="HD167" s="94"/>
      <c r="HE167" s="94"/>
      <c r="HF167" s="94"/>
      <c r="HG167" s="94"/>
      <c r="HH167" s="94"/>
      <c r="HI167" s="94"/>
      <c r="HJ167" s="94"/>
      <c r="HK167" s="94"/>
      <c r="HL167" s="94"/>
      <c r="HM167" s="94"/>
      <c r="HN167" s="94"/>
      <c r="HO167" s="94"/>
      <c r="HP167" s="94"/>
      <c r="HQ167" s="94"/>
      <c r="HR167" s="94"/>
      <c r="HS167" s="94"/>
      <c r="HT167" s="94"/>
      <c r="HU167" s="94"/>
      <c r="HV167" s="94"/>
      <c r="HW167" s="94"/>
      <c r="HX167" s="94"/>
      <c r="HY167" s="94"/>
      <c r="HZ167" s="94"/>
      <c r="IA167" s="94"/>
      <c r="IB167" s="94"/>
      <c r="IC167" s="94"/>
      <c r="ID167" s="94"/>
      <c r="IE167" s="94"/>
      <c r="IF167" s="94"/>
      <c r="IG167" s="94"/>
      <c r="IH167" s="94"/>
      <c r="II167" s="94"/>
      <c r="IJ167" s="94"/>
      <c r="IK167" s="94"/>
      <c r="IL167" s="94"/>
      <c r="IM167" s="94"/>
      <c r="IN167" s="94"/>
      <c r="IO167" s="94"/>
      <c r="IP167" s="94"/>
      <c r="IQ167" s="94"/>
      <c r="IR167" s="94"/>
      <c r="IS167" s="94"/>
      <c r="IT167" s="94"/>
      <c r="IU167" s="94"/>
      <c r="IV167" s="94"/>
    </row>
    <row r="168" spans="1:256" s="95" customFormat="1" ht="16.95" customHeight="1">
      <c r="A168" s="132"/>
      <c r="B168" s="132"/>
      <c r="C168" s="136"/>
      <c r="D168" s="85">
        <f t="shared" si="7"/>
        <v>0.27272727272727271</v>
      </c>
      <c r="E168" s="98"/>
      <c r="F168" s="99" t="s">
        <v>400</v>
      </c>
      <c r="G168" s="88" t="s">
        <v>66</v>
      </c>
      <c r="H168" s="100">
        <f t="shared" si="9"/>
        <v>4</v>
      </c>
      <c r="I168" s="101">
        <f>IF([2]项目总工作量!B$6="交易类",H168*1.5/22,IF([2]项目总工作量!B$6="数据分析类",H168*1.5*0.9/22,IF([2]项目总工作量!B$6="流程管理类",H168*1.5*0.8/22,IF([2]项目总工作量!B$6="渠道类",H168*1.5*0.7/22,FALSE))))</f>
        <v>0.27272727272727271</v>
      </c>
      <c r="J168" s="88" t="s">
        <v>44</v>
      </c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  <c r="AI168" s="94"/>
      <c r="AJ168" s="94"/>
      <c r="AK168" s="94"/>
      <c r="AL168" s="94"/>
      <c r="AM168" s="94"/>
      <c r="AN168" s="94"/>
      <c r="AO168" s="94"/>
      <c r="AP168" s="94"/>
      <c r="AQ168" s="94"/>
      <c r="AR168" s="94"/>
      <c r="AS168" s="94"/>
      <c r="AT168" s="94"/>
      <c r="AU168" s="94"/>
      <c r="AV168" s="94"/>
      <c r="AW168" s="94"/>
      <c r="AX168" s="94"/>
      <c r="AY168" s="94"/>
      <c r="AZ168" s="94"/>
      <c r="BA168" s="94"/>
      <c r="BB168" s="94"/>
      <c r="BC168" s="94"/>
      <c r="BD168" s="94"/>
      <c r="BE168" s="94"/>
      <c r="BF168" s="94"/>
      <c r="BG168" s="94"/>
      <c r="BH168" s="94"/>
      <c r="BI168" s="94"/>
      <c r="BJ168" s="94"/>
      <c r="BK168" s="94"/>
      <c r="BL168" s="94"/>
      <c r="BM168" s="94"/>
      <c r="BN168" s="94"/>
      <c r="BO168" s="94"/>
      <c r="BP168" s="94"/>
      <c r="BQ168" s="94"/>
      <c r="BR168" s="94"/>
      <c r="BS168" s="94"/>
      <c r="BT168" s="94"/>
      <c r="BU168" s="94"/>
      <c r="BV168" s="94"/>
      <c r="BW168" s="94"/>
      <c r="BX168" s="94"/>
      <c r="BY168" s="94"/>
      <c r="BZ168" s="94"/>
      <c r="CA168" s="94"/>
      <c r="CB168" s="94"/>
      <c r="CC168" s="94"/>
      <c r="CD168" s="94"/>
      <c r="CE168" s="94"/>
      <c r="CF168" s="94"/>
      <c r="CG168" s="94"/>
      <c r="CH168" s="94"/>
      <c r="CI168" s="94"/>
      <c r="CJ168" s="94"/>
      <c r="CK168" s="94"/>
      <c r="CL168" s="94"/>
      <c r="CM168" s="94"/>
      <c r="CN168" s="94"/>
      <c r="CO168" s="94"/>
      <c r="CP168" s="94"/>
      <c r="CQ168" s="94"/>
      <c r="CR168" s="94"/>
      <c r="CS168" s="94"/>
      <c r="CT168" s="94"/>
      <c r="CU168" s="94"/>
      <c r="CV168" s="94"/>
      <c r="CW168" s="94"/>
      <c r="CX168" s="94"/>
      <c r="CY168" s="94"/>
      <c r="CZ168" s="94"/>
      <c r="DA168" s="94"/>
      <c r="DB168" s="94"/>
      <c r="DC168" s="94"/>
      <c r="DD168" s="94"/>
      <c r="DE168" s="94"/>
      <c r="DF168" s="94"/>
      <c r="DG168" s="94"/>
      <c r="DH168" s="94"/>
      <c r="DI168" s="94"/>
      <c r="DJ168" s="94"/>
      <c r="DK168" s="94"/>
      <c r="DL168" s="94"/>
      <c r="DM168" s="94"/>
      <c r="DN168" s="94"/>
      <c r="DO168" s="94"/>
      <c r="DP168" s="94"/>
      <c r="DQ168" s="94"/>
      <c r="DR168" s="94"/>
      <c r="DS168" s="94"/>
      <c r="DT168" s="94"/>
      <c r="DU168" s="94"/>
      <c r="DV168" s="94"/>
      <c r="DW168" s="94"/>
      <c r="DX168" s="94"/>
      <c r="DY168" s="94"/>
      <c r="DZ168" s="94"/>
      <c r="EA168" s="94"/>
      <c r="EB168" s="94"/>
      <c r="EC168" s="94"/>
      <c r="ED168" s="94"/>
      <c r="EE168" s="94"/>
      <c r="EF168" s="94"/>
      <c r="EG168" s="94"/>
      <c r="EH168" s="94"/>
      <c r="EI168" s="94"/>
      <c r="EJ168" s="94"/>
      <c r="EK168" s="94"/>
      <c r="EL168" s="94"/>
      <c r="EM168" s="94"/>
      <c r="EN168" s="94"/>
      <c r="EO168" s="94"/>
      <c r="EP168" s="94"/>
      <c r="EQ168" s="94"/>
      <c r="ER168" s="94"/>
      <c r="ES168" s="94"/>
      <c r="ET168" s="94"/>
      <c r="EU168" s="94"/>
      <c r="EV168" s="94"/>
      <c r="EW168" s="94"/>
      <c r="EX168" s="94"/>
      <c r="EY168" s="94"/>
      <c r="EZ168" s="94"/>
      <c r="FA168" s="94"/>
      <c r="FB168" s="94"/>
      <c r="FC168" s="94"/>
      <c r="FD168" s="94"/>
      <c r="FE168" s="94"/>
      <c r="FF168" s="94"/>
      <c r="FG168" s="94"/>
      <c r="FH168" s="94"/>
      <c r="FI168" s="94"/>
      <c r="FJ168" s="94"/>
      <c r="FK168" s="94"/>
      <c r="FL168" s="94"/>
      <c r="FM168" s="94"/>
      <c r="FN168" s="94"/>
      <c r="FO168" s="94"/>
      <c r="FP168" s="94"/>
      <c r="FQ168" s="94"/>
      <c r="FR168" s="94"/>
      <c r="FS168" s="94"/>
      <c r="FT168" s="94"/>
      <c r="FU168" s="94"/>
      <c r="FV168" s="94"/>
      <c r="FW168" s="94"/>
      <c r="FX168" s="94"/>
      <c r="FY168" s="94"/>
      <c r="FZ168" s="94"/>
      <c r="GA168" s="94"/>
      <c r="GB168" s="94"/>
      <c r="GC168" s="94"/>
      <c r="GD168" s="94"/>
      <c r="GE168" s="94"/>
      <c r="GF168" s="94"/>
      <c r="GG168" s="94"/>
      <c r="GH168" s="94"/>
      <c r="GI168" s="94"/>
      <c r="GJ168" s="94"/>
      <c r="GK168" s="94"/>
      <c r="GL168" s="94"/>
      <c r="GM168" s="94"/>
      <c r="GN168" s="94"/>
      <c r="GO168" s="94"/>
      <c r="GP168" s="94"/>
      <c r="GQ168" s="94"/>
      <c r="GR168" s="94"/>
      <c r="GS168" s="94"/>
      <c r="GT168" s="94"/>
      <c r="GU168" s="94"/>
      <c r="GV168" s="94"/>
      <c r="GW168" s="94"/>
      <c r="GX168" s="94"/>
      <c r="GY168" s="94"/>
      <c r="GZ168" s="94"/>
      <c r="HA168" s="94"/>
      <c r="HB168" s="94"/>
      <c r="HC168" s="94"/>
      <c r="HD168" s="94"/>
      <c r="HE168" s="94"/>
      <c r="HF168" s="94"/>
      <c r="HG168" s="94"/>
      <c r="HH168" s="94"/>
      <c r="HI168" s="94"/>
      <c r="HJ168" s="94"/>
      <c r="HK168" s="94"/>
      <c r="HL168" s="94"/>
      <c r="HM168" s="94"/>
      <c r="HN168" s="94"/>
      <c r="HO168" s="94"/>
      <c r="HP168" s="94"/>
      <c r="HQ168" s="94"/>
      <c r="HR168" s="94"/>
      <c r="HS168" s="94"/>
      <c r="HT168" s="94"/>
      <c r="HU168" s="94"/>
      <c r="HV168" s="94"/>
      <c r="HW168" s="94"/>
      <c r="HX168" s="94"/>
      <c r="HY168" s="94"/>
      <c r="HZ168" s="94"/>
      <c r="IA168" s="94"/>
      <c r="IB168" s="94"/>
      <c r="IC168" s="94"/>
      <c r="ID168" s="94"/>
      <c r="IE168" s="94"/>
      <c r="IF168" s="94"/>
      <c r="IG168" s="94"/>
      <c r="IH168" s="94"/>
      <c r="II168" s="94"/>
      <c r="IJ168" s="94"/>
      <c r="IK168" s="94"/>
      <c r="IL168" s="94"/>
      <c r="IM168" s="94"/>
      <c r="IN168" s="94"/>
      <c r="IO168" s="94"/>
      <c r="IP168" s="94"/>
      <c r="IQ168" s="94"/>
      <c r="IR168" s="94"/>
      <c r="IS168" s="94"/>
      <c r="IT168" s="94"/>
      <c r="IU168" s="94"/>
      <c r="IV168" s="94"/>
    </row>
    <row r="169" spans="1:256" s="95" customFormat="1" ht="16.95" customHeight="1">
      <c r="A169" s="132"/>
      <c r="B169" s="132"/>
      <c r="C169" s="136"/>
      <c r="D169" s="85">
        <f t="shared" si="7"/>
        <v>0.27272727272727271</v>
      </c>
      <c r="E169" s="98"/>
      <c r="F169" s="99" t="s">
        <v>401</v>
      </c>
      <c r="G169" s="88" t="s">
        <v>66</v>
      </c>
      <c r="H169" s="100">
        <f t="shared" si="9"/>
        <v>4</v>
      </c>
      <c r="I169" s="101">
        <f>IF([2]项目总工作量!B$6="交易类",H169*1.5/22,IF([2]项目总工作量!B$6="数据分析类",H169*1.5*0.9/22,IF([2]项目总工作量!B$6="流程管理类",H169*1.5*0.8/22,IF([2]项目总工作量!B$6="渠道类",H169*1.5*0.7/22,FALSE))))</f>
        <v>0.27272727272727271</v>
      </c>
      <c r="J169" s="88" t="s">
        <v>44</v>
      </c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  <c r="AV169" s="94"/>
      <c r="AW169" s="94"/>
      <c r="AX169" s="94"/>
      <c r="AY169" s="94"/>
      <c r="AZ169" s="94"/>
      <c r="BA169" s="94"/>
      <c r="BB169" s="94"/>
      <c r="BC169" s="94"/>
      <c r="BD169" s="94"/>
      <c r="BE169" s="94"/>
      <c r="BF169" s="94"/>
      <c r="BG169" s="94"/>
      <c r="BH169" s="94"/>
      <c r="BI169" s="94"/>
      <c r="BJ169" s="94"/>
      <c r="BK169" s="94"/>
      <c r="BL169" s="94"/>
      <c r="BM169" s="94"/>
      <c r="BN169" s="94"/>
      <c r="BO169" s="94"/>
      <c r="BP169" s="94"/>
      <c r="BQ169" s="94"/>
      <c r="BR169" s="94"/>
      <c r="BS169" s="94"/>
      <c r="BT169" s="94"/>
      <c r="BU169" s="94"/>
      <c r="BV169" s="94"/>
      <c r="BW169" s="94"/>
      <c r="BX169" s="94"/>
      <c r="BY169" s="94"/>
      <c r="BZ169" s="94"/>
      <c r="CA169" s="94"/>
      <c r="CB169" s="94"/>
      <c r="CC169" s="94"/>
      <c r="CD169" s="94"/>
      <c r="CE169" s="94"/>
      <c r="CF169" s="94"/>
      <c r="CG169" s="94"/>
      <c r="CH169" s="94"/>
      <c r="CI169" s="94"/>
      <c r="CJ169" s="94"/>
      <c r="CK169" s="94"/>
      <c r="CL169" s="94"/>
      <c r="CM169" s="94"/>
      <c r="CN169" s="94"/>
      <c r="CO169" s="94"/>
      <c r="CP169" s="94"/>
      <c r="CQ169" s="94"/>
      <c r="CR169" s="94"/>
      <c r="CS169" s="94"/>
      <c r="CT169" s="94"/>
      <c r="CU169" s="94"/>
      <c r="CV169" s="94"/>
      <c r="CW169" s="94"/>
      <c r="CX169" s="94"/>
      <c r="CY169" s="94"/>
      <c r="CZ169" s="94"/>
      <c r="DA169" s="94"/>
      <c r="DB169" s="94"/>
      <c r="DC169" s="94"/>
      <c r="DD169" s="94"/>
      <c r="DE169" s="94"/>
      <c r="DF169" s="94"/>
      <c r="DG169" s="94"/>
      <c r="DH169" s="94"/>
      <c r="DI169" s="94"/>
      <c r="DJ169" s="94"/>
      <c r="DK169" s="94"/>
      <c r="DL169" s="94"/>
      <c r="DM169" s="94"/>
      <c r="DN169" s="94"/>
      <c r="DO169" s="94"/>
      <c r="DP169" s="94"/>
      <c r="DQ169" s="94"/>
      <c r="DR169" s="94"/>
      <c r="DS169" s="94"/>
      <c r="DT169" s="94"/>
      <c r="DU169" s="94"/>
      <c r="DV169" s="94"/>
      <c r="DW169" s="94"/>
      <c r="DX169" s="94"/>
      <c r="DY169" s="94"/>
      <c r="DZ169" s="94"/>
      <c r="EA169" s="94"/>
      <c r="EB169" s="94"/>
      <c r="EC169" s="94"/>
      <c r="ED169" s="94"/>
      <c r="EE169" s="94"/>
      <c r="EF169" s="94"/>
      <c r="EG169" s="94"/>
      <c r="EH169" s="94"/>
      <c r="EI169" s="94"/>
      <c r="EJ169" s="94"/>
      <c r="EK169" s="94"/>
      <c r="EL169" s="94"/>
      <c r="EM169" s="94"/>
      <c r="EN169" s="94"/>
      <c r="EO169" s="94"/>
      <c r="EP169" s="94"/>
      <c r="EQ169" s="94"/>
      <c r="ER169" s="94"/>
      <c r="ES169" s="94"/>
      <c r="ET169" s="94"/>
      <c r="EU169" s="94"/>
      <c r="EV169" s="94"/>
      <c r="EW169" s="94"/>
      <c r="EX169" s="94"/>
      <c r="EY169" s="94"/>
      <c r="EZ169" s="94"/>
      <c r="FA169" s="94"/>
      <c r="FB169" s="94"/>
      <c r="FC169" s="94"/>
      <c r="FD169" s="94"/>
      <c r="FE169" s="94"/>
      <c r="FF169" s="94"/>
      <c r="FG169" s="94"/>
      <c r="FH169" s="94"/>
      <c r="FI169" s="94"/>
      <c r="FJ169" s="94"/>
      <c r="FK169" s="94"/>
      <c r="FL169" s="94"/>
      <c r="FM169" s="94"/>
      <c r="FN169" s="94"/>
      <c r="FO169" s="94"/>
      <c r="FP169" s="94"/>
      <c r="FQ169" s="94"/>
      <c r="FR169" s="94"/>
      <c r="FS169" s="94"/>
      <c r="FT169" s="94"/>
      <c r="FU169" s="94"/>
      <c r="FV169" s="94"/>
      <c r="FW169" s="94"/>
      <c r="FX169" s="94"/>
      <c r="FY169" s="94"/>
      <c r="FZ169" s="94"/>
      <c r="GA169" s="94"/>
      <c r="GB169" s="94"/>
      <c r="GC169" s="94"/>
      <c r="GD169" s="94"/>
      <c r="GE169" s="94"/>
      <c r="GF169" s="94"/>
      <c r="GG169" s="94"/>
      <c r="GH169" s="94"/>
      <c r="GI169" s="94"/>
      <c r="GJ169" s="94"/>
      <c r="GK169" s="94"/>
      <c r="GL169" s="94"/>
      <c r="GM169" s="94"/>
      <c r="GN169" s="94"/>
      <c r="GO169" s="94"/>
      <c r="GP169" s="94"/>
      <c r="GQ169" s="94"/>
      <c r="GR169" s="94"/>
      <c r="GS169" s="94"/>
      <c r="GT169" s="94"/>
      <c r="GU169" s="94"/>
      <c r="GV169" s="94"/>
      <c r="GW169" s="94"/>
      <c r="GX169" s="94"/>
      <c r="GY169" s="94"/>
      <c r="GZ169" s="94"/>
      <c r="HA169" s="94"/>
      <c r="HB169" s="94"/>
      <c r="HC169" s="94"/>
      <c r="HD169" s="94"/>
      <c r="HE169" s="94"/>
      <c r="HF169" s="94"/>
      <c r="HG169" s="94"/>
      <c r="HH169" s="94"/>
      <c r="HI169" s="94"/>
      <c r="HJ169" s="94"/>
      <c r="HK169" s="94"/>
      <c r="HL169" s="94"/>
      <c r="HM169" s="94"/>
      <c r="HN169" s="94"/>
      <c r="HO169" s="94"/>
      <c r="HP169" s="94"/>
      <c r="HQ169" s="94"/>
      <c r="HR169" s="94"/>
      <c r="HS169" s="94"/>
      <c r="HT169" s="94"/>
      <c r="HU169" s="94"/>
      <c r="HV169" s="94"/>
      <c r="HW169" s="94"/>
      <c r="HX169" s="94"/>
      <c r="HY169" s="94"/>
      <c r="HZ169" s="94"/>
      <c r="IA169" s="94"/>
      <c r="IB169" s="94"/>
      <c r="IC169" s="94"/>
      <c r="ID169" s="94"/>
      <c r="IE169" s="94"/>
      <c r="IF169" s="94"/>
      <c r="IG169" s="94"/>
      <c r="IH169" s="94"/>
      <c r="II169" s="94"/>
      <c r="IJ169" s="94"/>
      <c r="IK169" s="94"/>
      <c r="IL169" s="94"/>
      <c r="IM169" s="94"/>
      <c r="IN169" s="94"/>
      <c r="IO169" s="94"/>
      <c r="IP169" s="94"/>
      <c r="IQ169" s="94"/>
      <c r="IR169" s="94"/>
      <c r="IS169" s="94"/>
      <c r="IT169" s="94"/>
      <c r="IU169" s="94"/>
      <c r="IV169" s="94"/>
    </row>
    <row r="170" spans="1:256" s="95" customFormat="1" ht="16.95" customHeight="1">
      <c r="A170" s="132"/>
      <c r="B170" s="132"/>
      <c r="C170" s="136"/>
      <c r="D170" s="85">
        <f t="shared" si="7"/>
        <v>0.27272727272727271</v>
      </c>
      <c r="E170" s="98"/>
      <c r="F170" s="99" t="s">
        <v>402</v>
      </c>
      <c r="G170" s="88" t="s">
        <v>66</v>
      </c>
      <c r="H170" s="100">
        <f t="shared" si="9"/>
        <v>4</v>
      </c>
      <c r="I170" s="101">
        <f>IF([2]项目总工作量!B$6="交易类",H170*1.5/22,IF([2]项目总工作量!B$6="数据分析类",H170*1.5*0.9/22,IF([2]项目总工作量!B$6="流程管理类",H170*1.5*0.8/22,IF([2]项目总工作量!B$6="渠道类",H170*1.5*0.7/22,FALSE))))</f>
        <v>0.27272727272727271</v>
      </c>
      <c r="J170" s="88" t="s">
        <v>44</v>
      </c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  <c r="AI170" s="94"/>
      <c r="AJ170" s="94"/>
      <c r="AK170" s="94"/>
      <c r="AL170" s="94"/>
      <c r="AM170" s="94"/>
      <c r="AN170" s="94"/>
      <c r="AO170" s="94"/>
      <c r="AP170" s="94"/>
      <c r="AQ170" s="94"/>
      <c r="AR170" s="94"/>
      <c r="AS170" s="94"/>
      <c r="AT170" s="94"/>
      <c r="AU170" s="94"/>
      <c r="AV170" s="94"/>
      <c r="AW170" s="94"/>
      <c r="AX170" s="94"/>
      <c r="AY170" s="94"/>
      <c r="AZ170" s="94"/>
      <c r="BA170" s="94"/>
      <c r="BB170" s="94"/>
      <c r="BC170" s="94"/>
      <c r="BD170" s="94"/>
      <c r="BE170" s="94"/>
      <c r="BF170" s="94"/>
      <c r="BG170" s="94"/>
      <c r="BH170" s="94"/>
      <c r="BI170" s="94"/>
      <c r="BJ170" s="94"/>
      <c r="BK170" s="94"/>
      <c r="BL170" s="94"/>
      <c r="BM170" s="94"/>
      <c r="BN170" s="94"/>
      <c r="BO170" s="94"/>
      <c r="BP170" s="94"/>
      <c r="BQ170" s="94"/>
      <c r="BR170" s="94"/>
      <c r="BS170" s="94"/>
      <c r="BT170" s="94"/>
      <c r="BU170" s="94"/>
      <c r="BV170" s="94"/>
      <c r="BW170" s="94"/>
      <c r="BX170" s="94"/>
      <c r="BY170" s="94"/>
      <c r="BZ170" s="94"/>
      <c r="CA170" s="94"/>
      <c r="CB170" s="94"/>
      <c r="CC170" s="94"/>
      <c r="CD170" s="94"/>
      <c r="CE170" s="94"/>
      <c r="CF170" s="94"/>
      <c r="CG170" s="94"/>
      <c r="CH170" s="94"/>
      <c r="CI170" s="94"/>
      <c r="CJ170" s="94"/>
      <c r="CK170" s="94"/>
      <c r="CL170" s="94"/>
      <c r="CM170" s="94"/>
      <c r="CN170" s="94"/>
      <c r="CO170" s="94"/>
      <c r="CP170" s="94"/>
      <c r="CQ170" s="94"/>
      <c r="CR170" s="94"/>
      <c r="CS170" s="94"/>
      <c r="CT170" s="94"/>
      <c r="CU170" s="94"/>
      <c r="CV170" s="94"/>
      <c r="CW170" s="94"/>
      <c r="CX170" s="94"/>
      <c r="CY170" s="94"/>
      <c r="CZ170" s="94"/>
      <c r="DA170" s="94"/>
      <c r="DB170" s="94"/>
      <c r="DC170" s="94"/>
      <c r="DD170" s="94"/>
      <c r="DE170" s="94"/>
      <c r="DF170" s="94"/>
      <c r="DG170" s="94"/>
      <c r="DH170" s="94"/>
      <c r="DI170" s="94"/>
      <c r="DJ170" s="94"/>
      <c r="DK170" s="94"/>
      <c r="DL170" s="94"/>
      <c r="DM170" s="94"/>
      <c r="DN170" s="94"/>
      <c r="DO170" s="94"/>
      <c r="DP170" s="94"/>
      <c r="DQ170" s="94"/>
      <c r="DR170" s="94"/>
      <c r="DS170" s="94"/>
      <c r="DT170" s="94"/>
      <c r="DU170" s="94"/>
      <c r="DV170" s="94"/>
      <c r="DW170" s="94"/>
      <c r="DX170" s="94"/>
      <c r="DY170" s="94"/>
      <c r="DZ170" s="94"/>
      <c r="EA170" s="94"/>
      <c r="EB170" s="94"/>
      <c r="EC170" s="94"/>
      <c r="ED170" s="94"/>
      <c r="EE170" s="94"/>
      <c r="EF170" s="94"/>
      <c r="EG170" s="94"/>
      <c r="EH170" s="94"/>
      <c r="EI170" s="94"/>
      <c r="EJ170" s="94"/>
      <c r="EK170" s="94"/>
      <c r="EL170" s="94"/>
      <c r="EM170" s="94"/>
      <c r="EN170" s="94"/>
      <c r="EO170" s="94"/>
      <c r="EP170" s="94"/>
      <c r="EQ170" s="94"/>
      <c r="ER170" s="94"/>
      <c r="ES170" s="94"/>
      <c r="ET170" s="94"/>
      <c r="EU170" s="94"/>
      <c r="EV170" s="94"/>
      <c r="EW170" s="94"/>
      <c r="EX170" s="94"/>
      <c r="EY170" s="94"/>
      <c r="EZ170" s="94"/>
      <c r="FA170" s="94"/>
      <c r="FB170" s="94"/>
      <c r="FC170" s="94"/>
      <c r="FD170" s="94"/>
      <c r="FE170" s="94"/>
      <c r="FF170" s="94"/>
      <c r="FG170" s="94"/>
      <c r="FH170" s="94"/>
      <c r="FI170" s="94"/>
      <c r="FJ170" s="94"/>
      <c r="FK170" s="94"/>
      <c r="FL170" s="94"/>
      <c r="FM170" s="94"/>
      <c r="FN170" s="94"/>
      <c r="FO170" s="94"/>
      <c r="FP170" s="94"/>
      <c r="FQ170" s="94"/>
      <c r="FR170" s="94"/>
      <c r="FS170" s="94"/>
      <c r="FT170" s="94"/>
      <c r="FU170" s="94"/>
      <c r="FV170" s="94"/>
      <c r="FW170" s="94"/>
      <c r="FX170" s="94"/>
      <c r="FY170" s="94"/>
      <c r="FZ170" s="94"/>
      <c r="GA170" s="94"/>
      <c r="GB170" s="94"/>
      <c r="GC170" s="94"/>
      <c r="GD170" s="94"/>
      <c r="GE170" s="94"/>
      <c r="GF170" s="94"/>
      <c r="GG170" s="94"/>
      <c r="GH170" s="94"/>
      <c r="GI170" s="94"/>
      <c r="GJ170" s="94"/>
      <c r="GK170" s="94"/>
      <c r="GL170" s="94"/>
      <c r="GM170" s="94"/>
      <c r="GN170" s="94"/>
      <c r="GO170" s="94"/>
      <c r="GP170" s="94"/>
      <c r="GQ170" s="94"/>
      <c r="GR170" s="94"/>
      <c r="GS170" s="94"/>
      <c r="GT170" s="94"/>
      <c r="GU170" s="94"/>
      <c r="GV170" s="94"/>
      <c r="GW170" s="94"/>
      <c r="GX170" s="94"/>
      <c r="GY170" s="94"/>
      <c r="GZ170" s="94"/>
      <c r="HA170" s="94"/>
      <c r="HB170" s="94"/>
      <c r="HC170" s="94"/>
      <c r="HD170" s="94"/>
      <c r="HE170" s="94"/>
      <c r="HF170" s="94"/>
      <c r="HG170" s="94"/>
      <c r="HH170" s="94"/>
      <c r="HI170" s="94"/>
      <c r="HJ170" s="94"/>
      <c r="HK170" s="94"/>
      <c r="HL170" s="94"/>
      <c r="HM170" s="94"/>
      <c r="HN170" s="94"/>
      <c r="HO170" s="94"/>
      <c r="HP170" s="94"/>
      <c r="HQ170" s="94"/>
      <c r="HR170" s="94"/>
      <c r="HS170" s="94"/>
      <c r="HT170" s="94"/>
      <c r="HU170" s="94"/>
      <c r="HV170" s="94"/>
      <c r="HW170" s="94"/>
      <c r="HX170" s="94"/>
      <c r="HY170" s="94"/>
      <c r="HZ170" s="94"/>
      <c r="IA170" s="94"/>
      <c r="IB170" s="94"/>
      <c r="IC170" s="94"/>
      <c r="ID170" s="94"/>
      <c r="IE170" s="94"/>
      <c r="IF170" s="94"/>
      <c r="IG170" s="94"/>
      <c r="IH170" s="94"/>
      <c r="II170" s="94"/>
      <c r="IJ170" s="94"/>
      <c r="IK170" s="94"/>
      <c r="IL170" s="94"/>
      <c r="IM170" s="94"/>
      <c r="IN170" s="94"/>
      <c r="IO170" s="94"/>
      <c r="IP170" s="94"/>
      <c r="IQ170" s="94"/>
      <c r="IR170" s="94"/>
      <c r="IS170" s="94"/>
      <c r="IT170" s="94"/>
      <c r="IU170" s="94"/>
      <c r="IV170" s="94"/>
    </row>
    <row r="171" spans="1:256" s="95" customFormat="1" ht="16.95" customHeight="1">
      <c r="A171" s="132"/>
      <c r="B171" s="132"/>
      <c r="C171" s="136"/>
      <c r="D171" s="85">
        <f t="shared" si="7"/>
        <v>0.27272727272727271</v>
      </c>
      <c r="E171" s="98"/>
      <c r="F171" s="99" t="s">
        <v>403</v>
      </c>
      <c r="G171" s="88" t="s">
        <v>66</v>
      </c>
      <c r="H171" s="100">
        <f t="shared" si="9"/>
        <v>4</v>
      </c>
      <c r="I171" s="101">
        <f>IF([2]项目总工作量!B$6="交易类",H171*1.5/22,IF([2]项目总工作量!B$6="数据分析类",H171*1.5*0.9/22,IF([2]项目总工作量!B$6="流程管理类",H171*1.5*0.8/22,IF([2]项目总工作量!B$6="渠道类",H171*1.5*0.7/22,FALSE))))</f>
        <v>0.27272727272727271</v>
      </c>
      <c r="J171" s="88" t="s">
        <v>44</v>
      </c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  <c r="AI171" s="94"/>
      <c r="AJ171" s="94"/>
      <c r="AK171" s="94"/>
      <c r="AL171" s="94"/>
      <c r="AM171" s="94"/>
      <c r="AN171" s="94"/>
      <c r="AO171" s="94"/>
      <c r="AP171" s="94"/>
      <c r="AQ171" s="94"/>
      <c r="AR171" s="94"/>
      <c r="AS171" s="94"/>
      <c r="AT171" s="94"/>
      <c r="AU171" s="94"/>
      <c r="AV171" s="94"/>
      <c r="AW171" s="94"/>
      <c r="AX171" s="94"/>
      <c r="AY171" s="94"/>
      <c r="AZ171" s="94"/>
      <c r="BA171" s="94"/>
      <c r="BB171" s="94"/>
      <c r="BC171" s="94"/>
      <c r="BD171" s="94"/>
      <c r="BE171" s="94"/>
      <c r="BF171" s="94"/>
      <c r="BG171" s="94"/>
      <c r="BH171" s="94"/>
      <c r="BI171" s="94"/>
      <c r="BJ171" s="94"/>
      <c r="BK171" s="94"/>
      <c r="BL171" s="94"/>
      <c r="BM171" s="94"/>
      <c r="BN171" s="94"/>
      <c r="BO171" s="94"/>
      <c r="BP171" s="94"/>
      <c r="BQ171" s="94"/>
      <c r="BR171" s="94"/>
      <c r="BS171" s="94"/>
      <c r="BT171" s="94"/>
      <c r="BU171" s="94"/>
      <c r="BV171" s="94"/>
      <c r="BW171" s="94"/>
      <c r="BX171" s="94"/>
      <c r="BY171" s="94"/>
      <c r="BZ171" s="94"/>
      <c r="CA171" s="94"/>
      <c r="CB171" s="94"/>
      <c r="CC171" s="94"/>
      <c r="CD171" s="94"/>
      <c r="CE171" s="94"/>
      <c r="CF171" s="94"/>
      <c r="CG171" s="94"/>
      <c r="CH171" s="94"/>
      <c r="CI171" s="94"/>
      <c r="CJ171" s="94"/>
      <c r="CK171" s="94"/>
      <c r="CL171" s="94"/>
      <c r="CM171" s="94"/>
      <c r="CN171" s="94"/>
      <c r="CO171" s="94"/>
      <c r="CP171" s="94"/>
      <c r="CQ171" s="94"/>
      <c r="CR171" s="94"/>
      <c r="CS171" s="94"/>
      <c r="CT171" s="94"/>
      <c r="CU171" s="94"/>
      <c r="CV171" s="94"/>
      <c r="CW171" s="94"/>
      <c r="CX171" s="94"/>
      <c r="CY171" s="94"/>
      <c r="CZ171" s="94"/>
      <c r="DA171" s="94"/>
      <c r="DB171" s="94"/>
      <c r="DC171" s="94"/>
      <c r="DD171" s="94"/>
      <c r="DE171" s="94"/>
      <c r="DF171" s="94"/>
      <c r="DG171" s="94"/>
      <c r="DH171" s="94"/>
      <c r="DI171" s="94"/>
      <c r="DJ171" s="94"/>
      <c r="DK171" s="94"/>
      <c r="DL171" s="94"/>
      <c r="DM171" s="94"/>
      <c r="DN171" s="94"/>
      <c r="DO171" s="94"/>
      <c r="DP171" s="94"/>
      <c r="DQ171" s="94"/>
      <c r="DR171" s="94"/>
      <c r="DS171" s="94"/>
      <c r="DT171" s="94"/>
      <c r="DU171" s="94"/>
      <c r="DV171" s="94"/>
      <c r="DW171" s="94"/>
      <c r="DX171" s="94"/>
      <c r="DY171" s="94"/>
      <c r="DZ171" s="94"/>
      <c r="EA171" s="94"/>
      <c r="EB171" s="94"/>
      <c r="EC171" s="94"/>
      <c r="ED171" s="94"/>
      <c r="EE171" s="94"/>
      <c r="EF171" s="94"/>
      <c r="EG171" s="94"/>
      <c r="EH171" s="94"/>
      <c r="EI171" s="94"/>
      <c r="EJ171" s="94"/>
      <c r="EK171" s="94"/>
      <c r="EL171" s="94"/>
      <c r="EM171" s="94"/>
      <c r="EN171" s="94"/>
      <c r="EO171" s="94"/>
      <c r="EP171" s="94"/>
      <c r="EQ171" s="94"/>
      <c r="ER171" s="94"/>
      <c r="ES171" s="94"/>
      <c r="ET171" s="94"/>
      <c r="EU171" s="94"/>
      <c r="EV171" s="94"/>
      <c r="EW171" s="94"/>
      <c r="EX171" s="94"/>
      <c r="EY171" s="94"/>
      <c r="EZ171" s="94"/>
      <c r="FA171" s="94"/>
      <c r="FB171" s="94"/>
      <c r="FC171" s="94"/>
      <c r="FD171" s="94"/>
      <c r="FE171" s="94"/>
      <c r="FF171" s="94"/>
      <c r="FG171" s="94"/>
      <c r="FH171" s="94"/>
      <c r="FI171" s="94"/>
      <c r="FJ171" s="94"/>
      <c r="FK171" s="94"/>
      <c r="FL171" s="94"/>
      <c r="FM171" s="94"/>
      <c r="FN171" s="94"/>
      <c r="FO171" s="94"/>
      <c r="FP171" s="94"/>
      <c r="FQ171" s="94"/>
      <c r="FR171" s="94"/>
      <c r="FS171" s="94"/>
      <c r="FT171" s="94"/>
      <c r="FU171" s="94"/>
      <c r="FV171" s="94"/>
      <c r="FW171" s="94"/>
      <c r="FX171" s="94"/>
      <c r="FY171" s="94"/>
      <c r="FZ171" s="94"/>
      <c r="GA171" s="94"/>
      <c r="GB171" s="94"/>
      <c r="GC171" s="94"/>
      <c r="GD171" s="94"/>
      <c r="GE171" s="94"/>
      <c r="GF171" s="94"/>
      <c r="GG171" s="94"/>
      <c r="GH171" s="94"/>
      <c r="GI171" s="94"/>
      <c r="GJ171" s="94"/>
      <c r="GK171" s="94"/>
      <c r="GL171" s="94"/>
      <c r="GM171" s="94"/>
      <c r="GN171" s="94"/>
      <c r="GO171" s="94"/>
      <c r="GP171" s="94"/>
      <c r="GQ171" s="94"/>
      <c r="GR171" s="94"/>
      <c r="GS171" s="94"/>
      <c r="GT171" s="94"/>
      <c r="GU171" s="94"/>
      <c r="GV171" s="94"/>
      <c r="GW171" s="94"/>
      <c r="GX171" s="94"/>
      <c r="GY171" s="94"/>
      <c r="GZ171" s="94"/>
      <c r="HA171" s="94"/>
      <c r="HB171" s="94"/>
      <c r="HC171" s="94"/>
      <c r="HD171" s="94"/>
      <c r="HE171" s="94"/>
      <c r="HF171" s="94"/>
      <c r="HG171" s="94"/>
      <c r="HH171" s="94"/>
      <c r="HI171" s="94"/>
      <c r="HJ171" s="94"/>
      <c r="HK171" s="94"/>
      <c r="HL171" s="94"/>
      <c r="HM171" s="94"/>
      <c r="HN171" s="94"/>
      <c r="HO171" s="94"/>
      <c r="HP171" s="94"/>
      <c r="HQ171" s="94"/>
      <c r="HR171" s="94"/>
      <c r="HS171" s="94"/>
      <c r="HT171" s="94"/>
      <c r="HU171" s="94"/>
      <c r="HV171" s="94"/>
      <c r="HW171" s="94"/>
      <c r="HX171" s="94"/>
      <c r="HY171" s="94"/>
      <c r="HZ171" s="94"/>
      <c r="IA171" s="94"/>
      <c r="IB171" s="94"/>
      <c r="IC171" s="94"/>
      <c r="ID171" s="94"/>
      <c r="IE171" s="94"/>
      <c r="IF171" s="94"/>
      <c r="IG171" s="94"/>
      <c r="IH171" s="94"/>
      <c r="II171" s="94"/>
      <c r="IJ171" s="94"/>
      <c r="IK171" s="94"/>
      <c r="IL171" s="94"/>
      <c r="IM171" s="94"/>
      <c r="IN171" s="94"/>
      <c r="IO171" s="94"/>
      <c r="IP171" s="94"/>
      <c r="IQ171" s="94"/>
      <c r="IR171" s="94"/>
      <c r="IS171" s="94"/>
      <c r="IT171" s="94"/>
      <c r="IU171" s="94"/>
      <c r="IV171" s="94"/>
    </row>
    <row r="172" spans="1:256" s="95" customFormat="1" ht="16.95" customHeight="1">
      <c r="A172" s="132"/>
      <c r="B172" s="132"/>
      <c r="C172" s="136"/>
      <c r="D172" s="85">
        <f t="shared" si="7"/>
        <v>0.27272727272727271</v>
      </c>
      <c r="E172" s="98"/>
      <c r="F172" s="99" t="s">
        <v>404</v>
      </c>
      <c r="G172" s="88" t="s">
        <v>66</v>
      </c>
      <c r="H172" s="100">
        <f t="shared" si="9"/>
        <v>4</v>
      </c>
      <c r="I172" s="101">
        <f>IF([2]项目总工作量!B$6="交易类",H172*1.5/22,IF([2]项目总工作量!B$6="数据分析类",H172*1.5*0.9/22,IF([2]项目总工作量!B$6="流程管理类",H172*1.5*0.8/22,IF([2]项目总工作量!B$6="渠道类",H172*1.5*0.7/22,FALSE))))</f>
        <v>0.27272727272727271</v>
      </c>
      <c r="J172" s="88" t="s">
        <v>44</v>
      </c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  <c r="AV172" s="94"/>
      <c r="AW172" s="94"/>
      <c r="AX172" s="94"/>
      <c r="AY172" s="94"/>
      <c r="AZ172" s="94"/>
      <c r="BA172" s="94"/>
      <c r="BB172" s="94"/>
      <c r="BC172" s="94"/>
      <c r="BD172" s="94"/>
      <c r="BE172" s="94"/>
      <c r="BF172" s="94"/>
      <c r="BG172" s="94"/>
      <c r="BH172" s="94"/>
      <c r="BI172" s="94"/>
      <c r="BJ172" s="94"/>
      <c r="BK172" s="94"/>
      <c r="BL172" s="94"/>
      <c r="BM172" s="94"/>
      <c r="BN172" s="94"/>
      <c r="BO172" s="94"/>
      <c r="BP172" s="94"/>
      <c r="BQ172" s="94"/>
      <c r="BR172" s="94"/>
      <c r="BS172" s="94"/>
      <c r="BT172" s="94"/>
      <c r="BU172" s="94"/>
      <c r="BV172" s="94"/>
      <c r="BW172" s="94"/>
      <c r="BX172" s="94"/>
      <c r="BY172" s="94"/>
      <c r="BZ172" s="94"/>
      <c r="CA172" s="94"/>
      <c r="CB172" s="94"/>
      <c r="CC172" s="94"/>
      <c r="CD172" s="94"/>
      <c r="CE172" s="94"/>
      <c r="CF172" s="94"/>
      <c r="CG172" s="94"/>
      <c r="CH172" s="94"/>
      <c r="CI172" s="94"/>
      <c r="CJ172" s="94"/>
      <c r="CK172" s="94"/>
      <c r="CL172" s="94"/>
      <c r="CM172" s="94"/>
      <c r="CN172" s="94"/>
      <c r="CO172" s="94"/>
      <c r="CP172" s="94"/>
      <c r="CQ172" s="94"/>
      <c r="CR172" s="94"/>
      <c r="CS172" s="94"/>
      <c r="CT172" s="94"/>
      <c r="CU172" s="94"/>
      <c r="CV172" s="94"/>
      <c r="CW172" s="94"/>
      <c r="CX172" s="94"/>
      <c r="CY172" s="94"/>
      <c r="CZ172" s="94"/>
      <c r="DA172" s="94"/>
      <c r="DB172" s="94"/>
      <c r="DC172" s="94"/>
      <c r="DD172" s="94"/>
      <c r="DE172" s="94"/>
      <c r="DF172" s="94"/>
      <c r="DG172" s="94"/>
      <c r="DH172" s="94"/>
      <c r="DI172" s="94"/>
      <c r="DJ172" s="94"/>
      <c r="DK172" s="94"/>
      <c r="DL172" s="94"/>
      <c r="DM172" s="94"/>
      <c r="DN172" s="94"/>
      <c r="DO172" s="94"/>
      <c r="DP172" s="94"/>
      <c r="DQ172" s="94"/>
      <c r="DR172" s="94"/>
      <c r="DS172" s="94"/>
      <c r="DT172" s="94"/>
      <c r="DU172" s="94"/>
      <c r="DV172" s="94"/>
      <c r="DW172" s="94"/>
      <c r="DX172" s="94"/>
      <c r="DY172" s="94"/>
      <c r="DZ172" s="94"/>
      <c r="EA172" s="94"/>
      <c r="EB172" s="94"/>
      <c r="EC172" s="94"/>
      <c r="ED172" s="94"/>
      <c r="EE172" s="94"/>
      <c r="EF172" s="94"/>
      <c r="EG172" s="94"/>
      <c r="EH172" s="94"/>
      <c r="EI172" s="94"/>
      <c r="EJ172" s="94"/>
      <c r="EK172" s="94"/>
      <c r="EL172" s="94"/>
      <c r="EM172" s="94"/>
      <c r="EN172" s="94"/>
      <c r="EO172" s="94"/>
      <c r="EP172" s="94"/>
      <c r="EQ172" s="94"/>
      <c r="ER172" s="94"/>
      <c r="ES172" s="94"/>
      <c r="ET172" s="94"/>
      <c r="EU172" s="94"/>
      <c r="EV172" s="94"/>
      <c r="EW172" s="94"/>
      <c r="EX172" s="94"/>
      <c r="EY172" s="94"/>
      <c r="EZ172" s="94"/>
      <c r="FA172" s="94"/>
      <c r="FB172" s="94"/>
      <c r="FC172" s="94"/>
      <c r="FD172" s="94"/>
      <c r="FE172" s="94"/>
      <c r="FF172" s="94"/>
      <c r="FG172" s="94"/>
      <c r="FH172" s="94"/>
      <c r="FI172" s="94"/>
      <c r="FJ172" s="94"/>
      <c r="FK172" s="94"/>
      <c r="FL172" s="94"/>
      <c r="FM172" s="94"/>
      <c r="FN172" s="94"/>
      <c r="FO172" s="94"/>
      <c r="FP172" s="94"/>
      <c r="FQ172" s="94"/>
      <c r="FR172" s="94"/>
      <c r="FS172" s="94"/>
      <c r="FT172" s="94"/>
      <c r="FU172" s="94"/>
      <c r="FV172" s="94"/>
      <c r="FW172" s="94"/>
      <c r="FX172" s="94"/>
      <c r="FY172" s="94"/>
      <c r="FZ172" s="94"/>
      <c r="GA172" s="94"/>
      <c r="GB172" s="94"/>
      <c r="GC172" s="94"/>
      <c r="GD172" s="94"/>
      <c r="GE172" s="94"/>
      <c r="GF172" s="94"/>
      <c r="GG172" s="94"/>
      <c r="GH172" s="94"/>
      <c r="GI172" s="94"/>
      <c r="GJ172" s="94"/>
      <c r="GK172" s="94"/>
      <c r="GL172" s="94"/>
      <c r="GM172" s="94"/>
      <c r="GN172" s="94"/>
      <c r="GO172" s="94"/>
      <c r="GP172" s="94"/>
      <c r="GQ172" s="94"/>
      <c r="GR172" s="94"/>
      <c r="GS172" s="94"/>
      <c r="GT172" s="94"/>
      <c r="GU172" s="94"/>
      <c r="GV172" s="94"/>
      <c r="GW172" s="94"/>
      <c r="GX172" s="94"/>
      <c r="GY172" s="94"/>
      <c r="GZ172" s="94"/>
      <c r="HA172" s="94"/>
      <c r="HB172" s="94"/>
      <c r="HC172" s="94"/>
      <c r="HD172" s="94"/>
      <c r="HE172" s="94"/>
      <c r="HF172" s="94"/>
      <c r="HG172" s="94"/>
      <c r="HH172" s="94"/>
      <c r="HI172" s="94"/>
      <c r="HJ172" s="94"/>
      <c r="HK172" s="94"/>
      <c r="HL172" s="94"/>
      <c r="HM172" s="94"/>
      <c r="HN172" s="94"/>
      <c r="HO172" s="94"/>
      <c r="HP172" s="94"/>
      <c r="HQ172" s="94"/>
      <c r="HR172" s="94"/>
      <c r="HS172" s="94"/>
      <c r="HT172" s="94"/>
      <c r="HU172" s="94"/>
      <c r="HV172" s="94"/>
      <c r="HW172" s="94"/>
      <c r="HX172" s="94"/>
      <c r="HY172" s="94"/>
      <c r="HZ172" s="94"/>
      <c r="IA172" s="94"/>
      <c r="IB172" s="94"/>
      <c r="IC172" s="94"/>
      <c r="ID172" s="94"/>
      <c r="IE172" s="94"/>
      <c r="IF172" s="94"/>
      <c r="IG172" s="94"/>
      <c r="IH172" s="94"/>
      <c r="II172" s="94"/>
      <c r="IJ172" s="94"/>
      <c r="IK172" s="94"/>
      <c r="IL172" s="94"/>
      <c r="IM172" s="94"/>
      <c r="IN172" s="94"/>
      <c r="IO172" s="94"/>
      <c r="IP172" s="94"/>
      <c r="IQ172" s="94"/>
      <c r="IR172" s="94"/>
      <c r="IS172" s="94"/>
      <c r="IT172" s="94"/>
      <c r="IU172" s="94"/>
      <c r="IV172" s="94"/>
    </row>
    <row r="173" spans="1:256" s="95" customFormat="1" ht="16.95" customHeight="1">
      <c r="A173" s="132"/>
      <c r="B173" s="132"/>
      <c r="C173" s="136"/>
      <c r="D173" s="85">
        <f t="shared" si="7"/>
        <v>0.27272727272727271</v>
      </c>
      <c r="E173" s="98"/>
      <c r="F173" s="99" t="s">
        <v>405</v>
      </c>
      <c r="G173" s="88" t="s">
        <v>66</v>
      </c>
      <c r="H173" s="100">
        <f t="shared" si="9"/>
        <v>4</v>
      </c>
      <c r="I173" s="101">
        <f>IF([2]项目总工作量!B$6="交易类",H173*1.5/22,IF([2]项目总工作量!B$6="数据分析类",H173*1.5*0.9/22,IF([2]项目总工作量!B$6="流程管理类",H173*1.5*0.8/22,IF([2]项目总工作量!B$6="渠道类",H173*1.5*0.7/22,FALSE))))</f>
        <v>0.27272727272727271</v>
      </c>
      <c r="J173" s="88" t="s">
        <v>44</v>
      </c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  <c r="AI173" s="94"/>
      <c r="AJ173" s="94"/>
      <c r="AK173" s="94"/>
      <c r="AL173" s="94"/>
      <c r="AM173" s="94"/>
      <c r="AN173" s="94"/>
      <c r="AO173" s="94"/>
      <c r="AP173" s="94"/>
      <c r="AQ173" s="94"/>
      <c r="AR173" s="94"/>
      <c r="AS173" s="94"/>
      <c r="AT173" s="94"/>
      <c r="AU173" s="94"/>
      <c r="AV173" s="94"/>
      <c r="AW173" s="94"/>
      <c r="AX173" s="94"/>
      <c r="AY173" s="94"/>
      <c r="AZ173" s="94"/>
      <c r="BA173" s="94"/>
      <c r="BB173" s="94"/>
      <c r="BC173" s="94"/>
      <c r="BD173" s="94"/>
      <c r="BE173" s="94"/>
      <c r="BF173" s="94"/>
      <c r="BG173" s="94"/>
      <c r="BH173" s="94"/>
      <c r="BI173" s="94"/>
      <c r="BJ173" s="94"/>
      <c r="BK173" s="94"/>
      <c r="BL173" s="94"/>
      <c r="BM173" s="94"/>
      <c r="BN173" s="94"/>
      <c r="BO173" s="94"/>
      <c r="BP173" s="94"/>
      <c r="BQ173" s="94"/>
      <c r="BR173" s="94"/>
      <c r="BS173" s="94"/>
      <c r="BT173" s="94"/>
      <c r="BU173" s="94"/>
      <c r="BV173" s="94"/>
      <c r="BW173" s="94"/>
      <c r="BX173" s="94"/>
      <c r="BY173" s="94"/>
      <c r="BZ173" s="94"/>
      <c r="CA173" s="94"/>
      <c r="CB173" s="94"/>
      <c r="CC173" s="94"/>
      <c r="CD173" s="94"/>
      <c r="CE173" s="94"/>
      <c r="CF173" s="94"/>
      <c r="CG173" s="94"/>
      <c r="CH173" s="94"/>
      <c r="CI173" s="94"/>
      <c r="CJ173" s="94"/>
      <c r="CK173" s="94"/>
      <c r="CL173" s="94"/>
      <c r="CM173" s="94"/>
      <c r="CN173" s="94"/>
      <c r="CO173" s="94"/>
      <c r="CP173" s="94"/>
      <c r="CQ173" s="94"/>
      <c r="CR173" s="94"/>
      <c r="CS173" s="94"/>
      <c r="CT173" s="94"/>
      <c r="CU173" s="94"/>
      <c r="CV173" s="94"/>
      <c r="CW173" s="94"/>
      <c r="CX173" s="94"/>
      <c r="CY173" s="94"/>
      <c r="CZ173" s="94"/>
      <c r="DA173" s="94"/>
      <c r="DB173" s="94"/>
      <c r="DC173" s="94"/>
      <c r="DD173" s="94"/>
      <c r="DE173" s="94"/>
      <c r="DF173" s="94"/>
      <c r="DG173" s="94"/>
      <c r="DH173" s="94"/>
      <c r="DI173" s="94"/>
      <c r="DJ173" s="94"/>
      <c r="DK173" s="94"/>
      <c r="DL173" s="94"/>
      <c r="DM173" s="94"/>
      <c r="DN173" s="94"/>
      <c r="DO173" s="94"/>
      <c r="DP173" s="94"/>
      <c r="DQ173" s="94"/>
      <c r="DR173" s="94"/>
      <c r="DS173" s="94"/>
      <c r="DT173" s="94"/>
      <c r="DU173" s="94"/>
      <c r="DV173" s="94"/>
      <c r="DW173" s="94"/>
      <c r="DX173" s="94"/>
      <c r="DY173" s="94"/>
      <c r="DZ173" s="94"/>
      <c r="EA173" s="94"/>
      <c r="EB173" s="94"/>
      <c r="EC173" s="94"/>
      <c r="ED173" s="94"/>
      <c r="EE173" s="94"/>
      <c r="EF173" s="94"/>
      <c r="EG173" s="94"/>
      <c r="EH173" s="94"/>
      <c r="EI173" s="94"/>
      <c r="EJ173" s="94"/>
      <c r="EK173" s="94"/>
      <c r="EL173" s="94"/>
      <c r="EM173" s="94"/>
      <c r="EN173" s="94"/>
      <c r="EO173" s="94"/>
      <c r="EP173" s="94"/>
      <c r="EQ173" s="94"/>
      <c r="ER173" s="94"/>
      <c r="ES173" s="94"/>
      <c r="ET173" s="94"/>
      <c r="EU173" s="94"/>
      <c r="EV173" s="94"/>
      <c r="EW173" s="94"/>
      <c r="EX173" s="94"/>
      <c r="EY173" s="94"/>
      <c r="EZ173" s="94"/>
      <c r="FA173" s="94"/>
      <c r="FB173" s="94"/>
      <c r="FC173" s="94"/>
      <c r="FD173" s="94"/>
      <c r="FE173" s="94"/>
      <c r="FF173" s="94"/>
      <c r="FG173" s="94"/>
      <c r="FH173" s="94"/>
      <c r="FI173" s="94"/>
      <c r="FJ173" s="94"/>
      <c r="FK173" s="94"/>
      <c r="FL173" s="94"/>
      <c r="FM173" s="94"/>
      <c r="FN173" s="94"/>
      <c r="FO173" s="94"/>
      <c r="FP173" s="94"/>
      <c r="FQ173" s="94"/>
      <c r="FR173" s="94"/>
      <c r="FS173" s="94"/>
      <c r="FT173" s="94"/>
      <c r="FU173" s="94"/>
      <c r="FV173" s="94"/>
      <c r="FW173" s="94"/>
      <c r="FX173" s="94"/>
      <c r="FY173" s="94"/>
      <c r="FZ173" s="94"/>
      <c r="GA173" s="94"/>
      <c r="GB173" s="94"/>
      <c r="GC173" s="94"/>
      <c r="GD173" s="94"/>
      <c r="GE173" s="94"/>
      <c r="GF173" s="94"/>
      <c r="GG173" s="94"/>
      <c r="GH173" s="94"/>
      <c r="GI173" s="94"/>
      <c r="GJ173" s="94"/>
      <c r="GK173" s="94"/>
      <c r="GL173" s="94"/>
      <c r="GM173" s="94"/>
      <c r="GN173" s="94"/>
      <c r="GO173" s="94"/>
      <c r="GP173" s="94"/>
      <c r="GQ173" s="94"/>
      <c r="GR173" s="94"/>
      <c r="GS173" s="94"/>
      <c r="GT173" s="94"/>
      <c r="GU173" s="94"/>
      <c r="GV173" s="94"/>
      <c r="GW173" s="94"/>
      <c r="GX173" s="94"/>
      <c r="GY173" s="94"/>
      <c r="GZ173" s="94"/>
      <c r="HA173" s="94"/>
      <c r="HB173" s="94"/>
      <c r="HC173" s="94"/>
      <c r="HD173" s="94"/>
      <c r="HE173" s="94"/>
      <c r="HF173" s="94"/>
      <c r="HG173" s="94"/>
      <c r="HH173" s="94"/>
      <c r="HI173" s="94"/>
      <c r="HJ173" s="94"/>
      <c r="HK173" s="94"/>
      <c r="HL173" s="94"/>
      <c r="HM173" s="94"/>
      <c r="HN173" s="94"/>
      <c r="HO173" s="94"/>
      <c r="HP173" s="94"/>
      <c r="HQ173" s="94"/>
      <c r="HR173" s="94"/>
      <c r="HS173" s="94"/>
      <c r="HT173" s="94"/>
      <c r="HU173" s="94"/>
      <c r="HV173" s="94"/>
      <c r="HW173" s="94"/>
      <c r="HX173" s="94"/>
      <c r="HY173" s="94"/>
      <c r="HZ173" s="94"/>
      <c r="IA173" s="94"/>
      <c r="IB173" s="94"/>
      <c r="IC173" s="94"/>
      <c r="ID173" s="94"/>
      <c r="IE173" s="94"/>
      <c r="IF173" s="94"/>
      <c r="IG173" s="94"/>
      <c r="IH173" s="94"/>
      <c r="II173" s="94"/>
      <c r="IJ173" s="94"/>
      <c r="IK173" s="94"/>
      <c r="IL173" s="94"/>
      <c r="IM173" s="94"/>
      <c r="IN173" s="94"/>
      <c r="IO173" s="94"/>
      <c r="IP173" s="94"/>
      <c r="IQ173" s="94"/>
      <c r="IR173" s="94"/>
      <c r="IS173" s="94"/>
      <c r="IT173" s="94"/>
      <c r="IU173" s="94"/>
      <c r="IV173" s="94"/>
    </row>
    <row r="174" spans="1:256" s="95" customFormat="1" ht="16.95" customHeight="1">
      <c r="A174" s="132"/>
      <c r="B174" s="132"/>
      <c r="C174" s="136"/>
      <c r="D174" s="85">
        <f t="shared" si="7"/>
        <v>0.27272727272727271</v>
      </c>
      <c r="E174" s="98"/>
      <c r="F174" s="99" t="s">
        <v>406</v>
      </c>
      <c r="G174" s="88" t="s">
        <v>66</v>
      </c>
      <c r="H174" s="100">
        <f t="shared" si="9"/>
        <v>4</v>
      </c>
      <c r="I174" s="101">
        <f>IF([2]项目总工作量!B$6="交易类",H174*1.5/22,IF([2]项目总工作量!B$6="数据分析类",H174*1.5*0.9/22,IF([2]项目总工作量!B$6="流程管理类",H174*1.5*0.8/22,IF([2]项目总工作量!B$6="渠道类",H174*1.5*0.7/22,FALSE))))</f>
        <v>0.27272727272727271</v>
      </c>
      <c r="J174" s="88" t="s">
        <v>44</v>
      </c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  <c r="AI174" s="94"/>
      <c r="AJ174" s="94"/>
      <c r="AK174" s="94"/>
      <c r="AL174" s="94"/>
      <c r="AM174" s="94"/>
      <c r="AN174" s="94"/>
      <c r="AO174" s="94"/>
      <c r="AP174" s="94"/>
      <c r="AQ174" s="94"/>
      <c r="AR174" s="94"/>
      <c r="AS174" s="94"/>
      <c r="AT174" s="94"/>
      <c r="AU174" s="94"/>
      <c r="AV174" s="94"/>
      <c r="AW174" s="94"/>
      <c r="AX174" s="94"/>
      <c r="AY174" s="94"/>
      <c r="AZ174" s="94"/>
      <c r="BA174" s="94"/>
      <c r="BB174" s="94"/>
      <c r="BC174" s="94"/>
      <c r="BD174" s="94"/>
      <c r="BE174" s="94"/>
      <c r="BF174" s="94"/>
      <c r="BG174" s="94"/>
      <c r="BH174" s="94"/>
      <c r="BI174" s="94"/>
      <c r="BJ174" s="94"/>
      <c r="BK174" s="94"/>
      <c r="BL174" s="94"/>
      <c r="BM174" s="94"/>
      <c r="BN174" s="94"/>
      <c r="BO174" s="94"/>
      <c r="BP174" s="94"/>
      <c r="BQ174" s="94"/>
      <c r="BR174" s="94"/>
      <c r="BS174" s="94"/>
      <c r="BT174" s="94"/>
      <c r="BU174" s="94"/>
      <c r="BV174" s="94"/>
      <c r="BW174" s="94"/>
      <c r="BX174" s="94"/>
      <c r="BY174" s="94"/>
      <c r="BZ174" s="94"/>
      <c r="CA174" s="94"/>
      <c r="CB174" s="94"/>
      <c r="CC174" s="94"/>
      <c r="CD174" s="94"/>
      <c r="CE174" s="94"/>
      <c r="CF174" s="94"/>
      <c r="CG174" s="94"/>
      <c r="CH174" s="94"/>
      <c r="CI174" s="94"/>
      <c r="CJ174" s="94"/>
      <c r="CK174" s="94"/>
      <c r="CL174" s="94"/>
      <c r="CM174" s="94"/>
      <c r="CN174" s="94"/>
      <c r="CO174" s="94"/>
      <c r="CP174" s="94"/>
      <c r="CQ174" s="94"/>
      <c r="CR174" s="94"/>
      <c r="CS174" s="94"/>
      <c r="CT174" s="94"/>
      <c r="CU174" s="94"/>
      <c r="CV174" s="94"/>
      <c r="CW174" s="94"/>
      <c r="CX174" s="94"/>
      <c r="CY174" s="94"/>
      <c r="CZ174" s="94"/>
      <c r="DA174" s="94"/>
      <c r="DB174" s="94"/>
      <c r="DC174" s="94"/>
      <c r="DD174" s="94"/>
      <c r="DE174" s="94"/>
      <c r="DF174" s="94"/>
      <c r="DG174" s="94"/>
      <c r="DH174" s="94"/>
      <c r="DI174" s="94"/>
      <c r="DJ174" s="94"/>
      <c r="DK174" s="94"/>
      <c r="DL174" s="94"/>
      <c r="DM174" s="94"/>
      <c r="DN174" s="94"/>
      <c r="DO174" s="94"/>
      <c r="DP174" s="94"/>
      <c r="DQ174" s="94"/>
      <c r="DR174" s="94"/>
      <c r="DS174" s="94"/>
      <c r="DT174" s="94"/>
      <c r="DU174" s="94"/>
      <c r="DV174" s="94"/>
      <c r="DW174" s="94"/>
      <c r="DX174" s="94"/>
      <c r="DY174" s="94"/>
      <c r="DZ174" s="94"/>
      <c r="EA174" s="94"/>
      <c r="EB174" s="94"/>
      <c r="EC174" s="94"/>
      <c r="ED174" s="94"/>
      <c r="EE174" s="94"/>
      <c r="EF174" s="94"/>
      <c r="EG174" s="94"/>
      <c r="EH174" s="94"/>
      <c r="EI174" s="94"/>
      <c r="EJ174" s="94"/>
      <c r="EK174" s="94"/>
      <c r="EL174" s="94"/>
      <c r="EM174" s="94"/>
      <c r="EN174" s="94"/>
      <c r="EO174" s="94"/>
      <c r="EP174" s="94"/>
      <c r="EQ174" s="94"/>
      <c r="ER174" s="94"/>
      <c r="ES174" s="94"/>
      <c r="ET174" s="94"/>
      <c r="EU174" s="94"/>
      <c r="EV174" s="94"/>
      <c r="EW174" s="94"/>
      <c r="EX174" s="94"/>
      <c r="EY174" s="94"/>
      <c r="EZ174" s="94"/>
      <c r="FA174" s="94"/>
      <c r="FB174" s="94"/>
      <c r="FC174" s="94"/>
      <c r="FD174" s="94"/>
      <c r="FE174" s="94"/>
      <c r="FF174" s="94"/>
      <c r="FG174" s="94"/>
      <c r="FH174" s="94"/>
      <c r="FI174" s="94"/>
      <c r="FJ174" s="94"/>
      <c r="FK174" s="94"/>
      <c r="FL174" s="94"/>
      <c r="FM174" s="94"/>
      <c r="FN174" s="94"/>
      <c r="FO174" s="94"/>
      <c r="FP174" s="94"/>
      <c r="FQ174" s="94"/>
      <c r="FR174" s="94"/>
      <c r="FS174" s="94"/>
      <c r="FT174" s="94"/>
      <c r="FU174" s="94"/>
      <c r="FV174" s="94"/>
      <c r="FW174" s="94"/>
      <c r="FX174" s="94"/>
      <c r="FY174" s="94"/>
      <c r="FZ174" s="94"/>
      <c r="GA174" s="94"/>
      <c r="GB174" s="94"/>
      <c r="GC174" s="94"/>
      <c r="GD174" s="94"/>
      <c r="GE174" s="94"/>
      <c r="GF174" s="94"/>
      <c r="GG174" s="94"/>
      <c r="GH174" s="94"/>
      <c r="GI174" s="94"/>
      <c r="GJ174" s="94"/>
      <c r="GK174" s="94"/>
      <c r="GL174" s="94"/>
      <c r="GM174" s="94"/>
      <c r="GN174" s="94"/>
      <c r="GO174" s="94"/>
      <c r="GP174" s="94"/>
      <c r="GQ174" s="94"/>
      <c r="GR174" s="94"/>
      <c r="GS174" s="94"/>
      <c r="GT174" s="94"/>
      <c r="GU174" s="94"/>
      <c r="GV174" s="94"/>
      <c r="GW174" s="94"/>
      <c r="GX174" s="94"/>
      <c r="GY174" s="94"/>
      <c r="GZ174" s="94"/>
      <c r="HA174" s="94"/>
      <c r="HB174" s="94"/>
      <c r="HC174" s="94"/>
      <c r="HD174" s="94"/>
      <c r="HE174" s="94"/>
      <c r="HF174" s="94"/>
      <c r="HG174" s="94"/>
      <c r="HH174" s="94"/>
      <c r="HI174" s="94"/>
      <c r="HJ174" s="94"/>
      <c r="HK174" s="94"/>
      <c r="HL174" s="94"/>
      <c r="HM174" s="94"/>
      <c r="HN174" s="94"/>
      <c r="HO174" s="94"/>
      <c r="HP174" s="94"/>
      <c r="HQ174" s="94"/>
      <c r="HR174" s="94"/>
      <c r="HS174" s="94"/>
      <c r="HT174" s="94"/>
      <c r="HU174" s="94"/>
      <c r="HV174" s="94"/>
      <c r="HW174" s="94"/>
      <c r="HX174" s="94"/>
      <c r="HY174" s="94"/>
      <c r="HZ174" s="94"/>
      <c r="IA174" s="94"/>
      <c r="IB174" s="94"/>
      <c r="IC174" s="94"/>
      <c r="ID174" s="94"/>
      <c r="IE174" s="94"/>
      <c r="IF174" s="94"/>
      <c r="IG174" s="94"/>
      <c r="IH174" s="94"/>
      <c r="II174" s="94"/>
      <c r="IJ174" s="94"/>
      <c r="IK174" s="94"/>
      <c r="IL174" s="94"/>
      <c r="IM174" s="94"/>
      <c r="IN174" s="94"/>
      <c r="IO174" s="94"/>
      <c r="IP174" s="94"/>
      <c r="IQ174" s="94"/>
      <c r="IR174" s="94"/>
      <c r="IS174" s="94"/>
      <c r="IT174" s="94"/>
      <c r="IU174" s="94"/>
      <c r="IV174" s="94"/>
    </row>
    <row r="175" spans="1:256" s="95" customFormat="1" ht="16.95" customHeight="1">
      <c r="A175" s="132"/>
      <c r="B175" s="132"/>
      <c r="C175" s="136"/>
      <c r="D175" s="85">
        <f t="shared" si="7"/>
        <v>0.27272727272727271</v>
      </c>
      <c r="E175" s="98"/>
      <c r="F175" s="99" t="s">
        <v>407</v>
      </c>
      <c r="G175" s="88" t="s">
        <v>66</v>
      </c>
      <c r="H175" s="100">
        <f t="shared" si="9"/>
        <v>4</v>
      </c>
      <c r="I175" s="101">
        <f>IF([2]项目总工作量!B$6="交易类",H175*1.5/22,IF([2]项目总工作量!B$6="数据分析类",H175*1.5*0.9/22,IF([2]项目总工作量!B$6="流程管理类",H175*1.5*0.8/22,IF([2]项目总工作量!B$6="渠道类",H175*1.5*0.7/22,FALSE))))</f>
        <v>0.27272727272727271</v>
      </c>
      <c r="J175" s="88" t="s">
        <v>44</v>
      </c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  <c r="AV175" s="94"/>
      <c r="AW175" s="94"/>
      <c r="AX175" s="94"/>
      <c r="AY175" s="94"/>
      <c r="AZ175" s="94"/>
      <c r="BA175" s="94"/>
      <c r="BB175" s="94"/>
      <c r="BC175" s="94"/>
      <c r="BD175" s="94"/>
      <c r="BE175" s="94"/>
      <c r="BF175" s="94"/>
      <c r="BG175" s="94"/>
      <c r="BH175" s="94"/>
      <c r="BI175" s="94"/>
      <c r="BJ175" s="94"/>
      <c r="BK175" s="94"/>
      <c r="BL175" s="94"/>
      <c r="BM175" s="94"/>
      <c r="BN175" s="94"/>
      <c r="BO175" s="94"/>
      <c r="BP175" s="94"/>
      <c r="BQ175" s="94"/>
      <c r="BR175" s="94"/>
      <c r="BS175" s="94"/>
      <c r="BT175" s="94"/>
      <c r="BU175" s="94"/>
      <c r="BV175" s="94"/>
      <c r="BW175" s="94"/>
      <c r="BX175" s="94"/>
      <c r="BY175" s="94"/>
      <c r="BZ175" s="94"/>
      <c r="CA175" s="94"/>
      <c r="CB175" s="94"/>
      <c r="CC175" s="94"/>
      <c r="CD175" s="94"/>
      <c r="CE175" s="94"/>
      <c r="CF175" s="94"/>
      <c r="CG175" s="94"/>
      <c r="CH175" s="94"/>
      <c r="CI175" s="94"/>
      <c r="CJ175" s="94"/>
      <c r="CK175" s="94"/>
      <c r="CL175" s="94"/>
      <c r="CM175" s="94"/>
      <c r="CN175" s="94"/>
      <c r="CO175" s="94"/>
      <c r="CP175" s="94"/>
      <c r="CQ175" s="94"/>
      <c r="CR175" s="94"/>
      <c r="CS175" s="94"/>
      <c r="CT175" s="94"/>
      <c r="CU175" s="94"/>
      <c r="CV175" s="94"/>
      <c r="CW175" s="94"/>
      <c r="CX175" s="94"/>
      <c r="CY175" s="94"/>
      <c r="CZ175" s="94"/>
      <c r="DA175" s="94"/>
      <c r="DB175" s="94"/>
      <c r="DC175" s="94"/>
      <c r="DD175" s="94"/>
      <c r="DE175" s="94"/>
      <c r="DF175" s="94"/>
      <c r="DG175" s="94"/>
      <c r="DH175" s="94"/>
      <c r="DI175" s="94"/>
      <c r="DJ175" s="94"/>
      <c r="DK175" s="94"/>
      <c r="DL175" s="94"/>
      <c r="DM175" s="94"/>
      <c r="DN175" s="94"/>
      <c r="DO175" s="94"/>
      <c r="DP175" s="94"/>
      <c r="DQ175" s="94"/>
      <c r="DR175" s="94"/>
      <c r="DS175" s="94"/>
      <c r="DT175" s="94"/>
      <c r="DU175" s="94"/>
      <c r="DV175" s="94"/>
      <c r="DW175" s="94"/>
      <c r="DX175" s="94"/>
      <c r="DY175" s="94"/>
      <c r="DZ175" s="94"/>
      <c r="EA175" s="94"/>
      <c r="EB175" s="94"/>
      <c r="EC175" s="94"/>
      <c r="ED175" s="94"/>
      <c r="EE175" s="94"/>
      <c r="EF175" s="94"/>
      <c r="EG175" s="94"/>
      <c r="EH175" s="94"/>
      <c r="EI175" s="94"/>
      <c r="EJ175" s="94"/>
      <c r="EK175" s="94"/>
      <c r="EL175" s="94"/>
      <c r="EM175" s="94"/>
      <c r="EN175" s="94"/>
      <c r="EO175" s="94"/>
      <c r="EP175" s="94"/>
      <c r="EQ175" s="94"/>
      <c r="ER175" s="94"/>
      <c r="ES175" s="94"/>
      <c r="ET175" s="94"/>
      <c r="EU175" s="94"/>
      <c r="EV175" s="94"/>
      <c r="EW175" s="94"/>
      <c r="EX175" s="94"/>
      <c r="EY175" s="94"/>
      <c r="EZ175" s="94"/>
      <c r="FA175" s="94"/>
      <c r="FB175" s="94"/>
      <c r="FC175" s="94"/>
      <c r="FD175" s="94"/>
      <c r="FE175" s="94"/>
      <c r="FF175" s="94"/>
      <c r="FG175" s="94"/>
      <c r="FH175" s="94"/>
      <c r="FI175" s="94"/>
      <c r="FJ175" s="94"/>
      <c r="FK175" s="94"/>
      <c r="FL175" s="94"/>
      <c r="FM175" s="94"/>
      <c r="FN175" s="94"/>
      <c r="FO175" s="94"/>
      <c r="FP175" s="94"/>
      <c r="FQ175" s="94"/>
      <c r="FR175" s="94"/>
      <c r="FS175" s="94"/>
      <c r="FT175" s="94"/>
      <c r="FU175" s="94"/>
      <c r="FV175" s="94"/>
      <c r="FW175" s="94"/>
      <c r="FX175" s="94"/>
      <c r="FY175" s="94"/>
      <c r="FZ175" s="94"/>
      <c r="GA175" s="94"/>
      <c r="GB175" s="94"/>
      <c r="GC175" s="94"/>
      <c r="GD175" s="94"/>
      <c r="GE175" s="94"/>
      <c r="GF175" s="94"/>
      <c r="GG175" s="94"/>
      <c r="GH175" s="94"/>
      <c r="GI175" s="94"/>
      <c r="GJ175" s="94"/>
      <c r="GK175" s="94"/>
      <c r="GL175" s="94"/>
      <c r="GM175" s="94"/>
      <c r="GN175" s="94"/>
      <c r="GO175" s="94"/>
      <c r="GP175" s="94"/>
      <c r="GQ175" s="94"/>
      <c r="GR175" s="94"/>
      <c r="GS175" s="94"/>
      <c r="GT175" s="94"/>
      <c r="GU175" s="94"/>
      <c r="GV175" s="94"/>
      <c r="GW175" s="94"/>
      <c r="GX175" s="94"/>
      <c r="GY175" s="94"/>
      <c r="GZ175" s="94"/>
      <c r="HA175" s="94"/>
      <c r="HB175" s="94"/>
      <c r="HC175" s="94"/>
      <c r="HD175" s="94"/>
      <c r="HE175" s="94"/>
      <c r="HF175" s="94"/>
      <c r="HG175" s="94"/>
      <c r="HH175" s="94"/>
      <c r="HI175" s="94"/>
      <c r="HJ175" s="94"/>
      <c r="HK175" s="94"/>
      <c r="HL175" s="94"/>
      <c r="HM175" s="94"/>
      <c r="HN175" s="94"/>
      <c r="HO175" s="94"/>
      <c r="HP175" s="94"/>
      <c r="HQ175" s="94"/>
      <c r="HR175" s="94"/>
      <c r="HS175" s="94"/>
      <c r="HT175" s="94"/>
      <c r="HU175" s="94"/>
      <c r="HV175" s="94"/>
      <c r="HW175" s="94"/>
      <c r="HX175" s="94"/>
      <c r="HY175" s="94"/>
      <c r="HZ175" s="94"/>
      <c r="IA175" s="94"/>
      <c r="IB175" s="94"/>
      <c r="IC175" s="94"/>
      <c r="ID175" s="94"/>
      <c r="IE175" s="94"/>
      <c r="IF175" s="94"/>
      <c r="IG175" s="94"/>
      <c r="IH175" s="94"/>
      <c r="II175" s="94"/>
      <c r="IJ175" s="94"/>
      <c r="IK175" s="94"/>
      <c r="IL175" s="94"/>
      <c r="IM175" s="94"/>
      <c r="IN175" s="94"/>
      <c r="IO175" s="94"/>
      <c r="IP175" s="94"/>
      <c r="IQ175" s="94"/>
      <c r="IR175" s="94"/>
      <c r="IS175" s="94"/>
      <c r="IT175" s="94"/>
      <c r="IU175" s="94"/>
      <c r="IV175" s="94"/>
    </row>
    <row r="176" spans="1:256" s="95" customFormat="1" ht="16.05" customHeight="1">
      <c r="A176" s="132"/>
      <c r="B176" s="132"/>
      <c r="C176" s="135" t="s">
        <v>408</v>
      </c>
      <c r="D176" s="85">
        <f t="shared" si="7"/>
        <v>0.27272727272727271</v>
      </c>
      <c r="E176" s="98"/>
      <c r="F176" s="99" t="s">
        <v>409</v>
      </c>
      <c r="G176" s="88" t="s">
        <v>66</v>
      </c>
      <c r="H176" s="100">
        <f t="shared" si="9"/>
        <v>4</v>
      </c>
      <c r="I176" s="101">
        <f>IF([2]项目总工作量!B$6="交易类",H176*1.5/22,IF([2]项目总工作量!B$6="数据分析类",H176*1.5*0.9/22,IF([2]项目总工作量!B$6="流程管理类",H176*1.5*0.8/22,IF([2]项目总工作量!B$6="渠道类",H176*1.5*0.7/22,FALSE))))</f>
        <v>0.27272727272727271</v>
      </c>
      <c r="J176" s="88" t="s">
        <v>44</v>
      </c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  <c r="AI176" s="94"/>
      <c r="AJ176" s="94"/>
      <c r="AK176" s="94"/>
      <c r="AL176" s="94"/>
      <c r="AM176" s="94"/>
      <c r="AN176" s="94"/>
      <c r="AO176" s="94"/>
      <c r="AP176" s="94"/>
      <c r="AQ176" s="94"/>
      <c r="AR176" s="94"/>
      <c r="AS176" s="94"/>
      <c r="AT176" s="94"/>
      <c r="AU176" s="94"/>
      <c r="AV176" s="94"/>
      <c r="AW176" s="94"/>
      <c r="AX176" s="94"/>
      <c r="AY176" s="94"/>
      <c r="AZ176" s="94"/>
      <c r="BA176" s="94"/>
      <c r="BB176" s="94"/>
      <c r="BC176" s="94"/>
      <c r="BD176" s="94"/>
      <c r="BE176" s="94"/>
      <c r="BF176" s="94"/>
      <c r="BG176" s="94"/>
      <c r="BH176" s="94"/>
      <c r="BI176" s="94"/>
      <c r="BJ176" s="94"/>
      <c r="BK176" s="94"/>
      <c r="BL176" s="94"/>
      <c r="BM176" s="94"/>
      <c r="BN176" s="94"/>
      <c r="BO176" s="94"/>
      <c r="BP176" s="94"/>
      <c r="BQ176" s="94"/>
      <c r="BR176" s="94"/>
      <c r="BS176" s="94"/>
      <c r="BT176" s="94"/>
      <c r="BU176" s="94"/>
      <c r="BV176" s="94"/>
      <c r="BW176" s="94"/>
      <c r="BX176" s="94"/>
      <c r="BY176" s="94"/>
      <c r="BZ176" s="94"/>
      <c r="CA176" s="94"/>
      <c r="CB176" s="94"/>
      <c r="CC176" s="94"/>
      <c r="CD176" s="94"/>
      <c r="CE176" s="94"/>
      <c r="CF176" s="94"/>
      <c r="CG176" s="94"/>
      <c r="CH176" s="94"/>
      <c r="CI176" s="94"/>
      <c r="CJ176" s="94"/>
      <c r="CK176" s="94"/>
      <c r="CL176" s="94"/>
      <c r="CM176" s="94"/>
      <c r="CN176" s="94"/>
      <c r="CO176" s="94"/>
      <c r="CP176" s="94"/>
      <c r="CQ176" s="94"/>
      <c r="CR176" s="94"/>
      <c r="CS176" s="94"/>
      <c r="CT176" s="94"/>
      <c r="CU176" s="94"/>
      <c r="CV176" s="94"/>
      <c r="CW176" s="94"/>
      <c r="CX176" s="94"/>
      <c r="CY176" s="94"/>
      <c r="CZ176" s="94"/>
      <c r="DA176" s="94"/>
      <c r="DB176" s="94"/>
      <c r="DC176" s="94"/>
      <c r="DD176" s="94"/>
      <c r="DE176" s="94"/>
      <c r="DF176" s="94"/>
      <c r="DG176" s="94"/>
      <c r="DH176" s="94"/>
      <c r="DI176" s="94"/>
      <c r="DJ176" s="94"/>
      <c r="DK176" s="94"/>
      <c r="DL176" s="94"/>
      <c r="DM176" s="94"/>
      <c r="DN176" s="94"/>
      <c r="DO176" s="94"/>
      <c r="DP176" s="94"/>
      <c r="DQ176" s="94"/>
      <c r="DR176" s="94"/>
      <c r="DS176" s="94"/>
      <c r="DT176" s="94"/>
      <c r="DU176" s="94"/>
      <c r="DV176" s="94"/>
      <c r="DW176" s="94"/>
      <c r="DX176" s="94"/>
      <c r="DY176" s="94"/>
      <c r="DZ176" s="94"/>
      <c r="EA176" s="94"/>
      <c r="EB176" s="94"/>
      <c r="EC176" s="94"/>
      <c r="ED176" s="94"/>
      <c r="EE176" s="94"/>
      <c r="EF176" s="94"/>
      <c r="EG176" s="94"/>
      <c r="EH176" s="94"/>
      <c r="EI176" s="94"/>
      <c r="EJ176" s="94"/>
      <c r="EK176" s="94"/>
      <c r="EL176" s="94"/>
      <c r="EM176" s="94"/>
      <c r="EN176" s="94"/>
      <c r="EO176" s="94"/>
      <c r="EP176" s="94"/>
      <c r="EQ176" s="94"/>
      <c r="ER176" s="94"/>
      <c r="ES176" s="94"/>
      <c r="ET176" s="94"/>
      <c r="EU176" s="94"/>
      <c r="EV176" s="94"/>
      <c r="EW176" s="94"/>
      <c r="EX176" s="94"/>
      <c r="EY176" s="94"/>
      <c r="EZ176" s="94"/>
      <c r="FA176" s="94"/>
      <c r="FB176" s="94"/>
      <c r="FC176" s="94"/>
      <c r="FD176" s="94"/>
      <c r="FE176" s="94"/>
      <c r="FF176" s="94"/>
      <c r="FG176" s="94"/>
      <c r="FH176" s="94"/>
      <c r="FI176" s="94"/>
      <c r="FJ176" s="94"/>
      <c r="FK176" s="94"/>
      <c r="FL176" s="94"/>
      <c r="FM176" s="94"/>
      <c r="FN176" s="94"/>
      <c r="FO176" s="94"/>
      <c r="FP176" s="94"/>
      <c r="FQ176" s="94"/>
      <c r="FR176" s="94"/>
      <c r="FS176" s="94"/>
      <c r="FT176" s="94"/>
      <c r="FU176" s="94"/>
      <c r="FV176" s="94"/>
      <c r="FW176" s="94"/>
      <c r="FX176" s="94"/>
      <c r="FY176" s="94"/>
      <c r="FZ176" s="94"/>
      <c r="GA176" s="94"/>
      <c r="GB176" s="94"/>
      <c r="GC176" s="94"/>
      <c r="GD176" s="94"/>
      <c r="GE176" s="94"/>
      <c r="GF176" s="94"/>
      <c r="GG176" s="94"/>
      <c r="GH176" s="94"/>
      <c r="GI176" s="94"/>
      <c r="GJ176" s="94"/>
      <c r="GK176" s="94"/>
      <c r="GL176" s="94"/>
      <c r="GM176" s="94"/>
      <c r="GN176" s="94"/>
      <c r="GO176" s="94"/>
      <c r="GP176" s="94"/>
      <c r="GQ176" s="94"/>
      <c r="GR176" s="94"/>
      <c r="GS176" s="94"/>
      <c r="GT176" s="94"/>
      <c r="GU176" s="94"/>
      <c r="GV176" s="94"/>
      <c r="GW176" s="94"/>
      <c r="GX176" s="94"/>
      <c r="GY176" s="94"/>
      <c r="GZ176" s="94"/>
      <c r="HA176" s="94"/>
      <c r="HB176" s="94"/>
      <c r="HC176" s="94"/>
      <c r="HD176" s="94"/>
      <c r="HE176" s="94"/>
      <c r="HF176" s="94"/>
      <c r="HG176" s="94"/>
      <c r="HH176" s="94"/>
      <c r="HI176" s="94"/>
      <c r="HJ176" s="94"/>
      <c r="HK176" s="94"/>
      <c r="HL176" s="94"/>
      <c r="HM176" s="94"/>
      <c r="HN176" s="94"/>
      <c r="HO176" s="94"/>
      <c r="HP176" s="94"/>
      <c r="HQ176" s="94"/>
      <c r="HR176" s="94"/>
      <c r="HS176" s="94"/>
      <c r="HT176" s="94"/>
      <c r="HU176" s="94"/>
      <c r="HV176" s="94"/>
      <c r="HW176" s="94"/>
      <c r="HX176" s="94"/>
      <c r="HY176" s="94"/>
      <c r="HZ176" s="94"/>
      <c r="IA176" s="94"/>
      <c r="IB176" s="94"/>
      <c r="IC176" s="94"/>
      <c r="ID176" s="94"/>
      <c r="IE176" s="94"/>
      <c r="IF176" s="94"/>
      <c r="IG176" s="94"/>
      <c r="IH176" s="94"/>
      <c r="II176" s="94"/>
      <c r="IJ176" s="94"/>
      <c r="IK176" s="94"/>
      <c r="IL176" s="94"/>
      <c r="IM176" s="94"/>
      <c r="IN176" s="94"/>
      <c r="IO176" s="94"/>
      <c r="IP176" s="94"/>
      <c r="IQ176" s="94"/>
      <c r="IR176" s="94"/>
      <c r="IS176" s="94"/>
      <c r="IT176" s="94"/>
      <c r="IU176" s="94"/>
      <c r="IV176" s="94"/>
    </row>
    <row r="177" spans="1:256" s="95" customFormat="1" ht="16.95" customHeight="1">
      <c r="A177" s="132"/>
      <c r="B177" s="132"/>
      <c r="C177" s="136"/>
      <c r="D177" s="85">
        <f t="shared" si="7"/>
        <v>0.27272727272727271</v>
      </c>
      <c r="E177" s="98"/>
      <c r="F177" s="99" t="s">
        <v>410</v>
      </c>
      <c r="G177" s="88" t="s">
        <v>66</v>
      </c>
      <c r="H177" s="100">
        <f t="shared" si="9"/>
        <v>4</v>
      </c>
      <c r="I177" s="101">
        <f>IF([2]项目总工作量!B$6="交易类",H177*1.5/22,IF([2]项目总工作量!B$6="数据分析类",H177*1.5*0.9/22,IF([2]项目总工作量!B$6="流程管理类",H177*1.5*0.8/22,IF([2]项目总工作量!B$6="渠道类",H177*1.5*0.7/22,FALSE))))</f>
        <v>0.27272727272727271</v>
      </c>
      <c r="J177" s="88" t="s">
        <v>44</v>
      </c>
      <c r="K177" s="94"/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  <c r="AI177" s="94"/>
      <c r="AJ177" s="94"/>
      <c r="AK177" s="94"/>
      <c r="AL177" s="94"/>
      <c r="AM177" s="94"/>
      <c r="AN177" s="94"/>
      <c r="AO177" s="94"/>
      <c r="AP177" s="94"/>
      <c r="AQ177" s="94"/>
      <c r="AR177" s="94"/>
      <c r="AS177" s="94"/>
      <c r="AT177" s="94"/>
      <c r="AU177" s="94"/>
      <c r="AV177" s="94"/>
      <c r="AW177" s="94"/>
      <c r="AX177" s="94"/>
      <c r="AY177" s="94"/>
      <c r="AZ177" s="94"/>
      <c r="BA177" s="94"/>
      <c r="BB177" s="94"/>
      <c r="BC177" s="94"/>
      <c r="BD177" s="94"/>
      <c r="BE177" s="94"/>
      <c r="BF177" s="94"/>
      <c r="BG177" s="94"/>
      <c r="BH177" s="94"/>
      <c r="BI177" s="94"/>
      <c r="BJ177" s="94"/>
      <c r="BK177" s="94"/>
      <c r="BL177" s="94"/>
      <c r="BM177" s="94"/>
      <c r="BN177" s="94"/>
      <c r="BO177" s="94"/>
      <c r="BP177" s="94"/>
      <c r="BQ177" s="94"/>
      <c r="BR177" s="94"/>
      <c r="BS177" s="94"/>
      <c r="BT177" s="94"/>
      <c r="BU177" s="94"/>
      <c r="BV177" s="94"/>
      <c r="BW177" s="94"/>
      <c r="BX177" s="94"/>
      <c r="BY177" s="94"/>
      <c r="BZ177" s="94"/>
      <c r="CA177" s="94"/>
      <c r="CB177" s="94"/>
      <c r="CC177" s="94"/>
      <c r="CD177" s="94"/>
      <c r="CE177" s="94"/>
      <c r="CF177" s="94"/>
      <c r="CG177" s="94"/>
      <c r="CH177" s="94"/>
      <c r="CI177" s="94"/>
      <c r="CJ177" s="94"/>
      <c r="CK177" s="94"/>
      <c r="CL177" s="94"/>
      <c r="CM177" s="94"/>
      <c r="CN177" s="94"/>
      <c r="CO177" s="94"/>
      <c r="CP177" s="94"/>
      <c r="CQ177" s="94"/>
      <c r="CR177" s="94"/>
      <c r="CS177" s="94"/>
      <c r="CT177" s="94"/>
      <c r="CU177" s="94"/>
      <c r="CV177" s="94"/>
      <c r="CW177" s="94"/>
      <c r="CX177" s="94"/>
      <c r="CY177" s="94"/>
      <c r="CZ177" s="94"/>
      <c r="DA177" s="94"/>
      <c r="DB177" s="94"/>
      <c r="DC177" s="94"/>
      <c r="DD177" s="94"/>
      <c r="DE177" s="94"/>
      <c r="DF177" s="94"/>
      <c r="DG177" s="94"/>
      <c r="DH177" s="94"/>
      <c r="DI177" s="94"/>
      <c r="DJ177" s="94"/>
      <c r="DK177" s="94"/>
      <c r="DL177" s="94"/>
      <c r="DM177" s="94"/>
      <c r="DN177" s="94"/>
      <c r="DO177" s="94"/>
      <c r="DP177" s="94"/>
      <c r="DQ177" s="94"/>
      <c r="DR177" s="94"/>
      <c r="DS177" s="94"/>
      <c r="DT177" s="94"/>
      <c r="DU177" s="94"/>
      <c r="DV177" s="94"/>
      <c r="DW177" s="94"/>
      <c r="DX177" s="94"/>
      <c r="DY177" s="94"/>
      <c r="DZ177" s="94"/>
      <c r="EA177" s="94"/>
      <c r="EB177" s="94"/>
      <c r="EC177" s="94"/>
      <c r="ED177" s="94"/>
      <c r="EE177" s="94"/>
      <c r="EF177" s="94"/>
      <c r="EG177" s="94"/>
      <c r="EH177" s="94"/>
      <c r="EI177" s="94"/>
      <c r="EJ177" s="94"/>
      <c r="EK177" s="94"/>
      <c r="EL177" s="94"/>
      <c r="EM177" s="94"/>
      <c r="EN177" s="94"/>
      <c r="EO177" s="94"/>
      <c r="EP177" s="94"/>
      <c r="EQ177" s="94"/>
      <c r="ER177" s="94"/>
      <c r="ES177" s="94"/>
      <c r="ET177" s="94"/>
      <c r="EU177" s="94"/>
      <c r="EV177" s="94"/>
      <c r="EW177" s="94"/>
      <c r="EX177" s="94"/>
      <c r="EY177" s="94"/>
      <c r="EZ177" s="94"/>
      <c r="FA177" s="94"/>
      <c r="FB177" s="94"/>
      <c r="FC177" s="94"/>
      <c r="FD177" s="94"/>
      <c r="FE177" s="94"/>
      <c r="FF177" s="94"/>
      <c r="FG177" s="94"/>
      <c r="FH177" s="94"/>
      <c r="FI177" s="94"/>
      <c r="FJ177" s="94"/>
      <c r="FK177" s="94"/>
      <c r="FL177" s="94"/>
      <c r="FM177" s="94"/>
      <c r="FN177" s="94"/>
      <c r="FO177" s="94"/>
      <c r="FP177" s="94"/>
      <c r="FQ177" s="94"/>
      <c r="FR177" s="94"/>
      <c r="FS177" s="94"/>
      <c r="FT177" s="94"/>
      <c r="FU177" s="94"/>
      <c r="FV177" s="94"/>
      <c r="FW177" s="94"/>
      <c r="FX177" s="94"/>
      <c r="FY177" s="94"/>
      <c r="FZ177" s="94"/>
      <c r="GA177" s="94"/>
      <c r="GB177" s="94"/>
      <c r="GC177" s="94"/>
      <c r="GD177" s="94"/>
      <c r="GE177" s="94"/>
      <c r="GF177" s="94"/>
      <c r="GG177" s="94"/>
      <c r="GH177" s="94"/>
      <c r="GI177" s="94"/>
      <c r="GJ177" s="94"/>
      <c r="GK177" s="94"/>
      <c r="GL177" s="94"/>
      <c r="GM177" s="94"/>
      <c r="GN177" s="94"/>
      <c r="GO177" s="94"/>
      <c r="GP177" s="94"/>
      <c r="GQ177" s="94"/>
      <c r="GR177" s="94"/>
      <c r="GS177" s="94"/>
      <c r="GT177" s="94"/>
      <c r="GU177" s="94"/>
      <c r="GV177" s="94"/>
      <c r="GW177" s="94"/>
      <c r="GX177" s="94"/>
      <c r="GY177" s="94"/>
      <c r="GZ177" s="94"/>
      <c r="HA177" s="94"/>
      <c r="HB177" s="94"/>
      <c r="HC177" s="94"/>
      <c r="HD177" s="94"/>
      <c r="HE177" s="94"/>
      <c r="HF177" s="94"/>
      <c r="HG177" s="94"/>
      <c r="HH177" s="94"/>
      <c r="HI177" s="94"/>
      <c r="HJ177" s="94"/>
      <c r="HK177" s="94"/>
      <c r="HL177" s="94"/>
      <c r="HM177" s="94"/>
      <c r="HN177" s="94"/>
      <c r="HO177" s="94"/>
      <c r="HP177" s="94"/>
      <c r="HQ177" s="94"/>
      <c r="HR177" s="94"/>
      <c r="HS177" s="94"/>
      <c r="HT177" s="94"/>
      <c r="HU177" s="94"/>
      <c r="HV177" s="94"/>
      <c r="HW177" s="94"/>
      <c r="HX177" s="94"/>
      <c r="HY177" s="94"/>
      <c r="HZ177" s="94"/>
      <c r="IA177" s="94"/>
      <c r="IB177" s="94"/>
      <c r="IC177" s="94"/>
      <c r="ID177" s="94"/>
      <c r="IE177" s="94"/>
      <c r="IF177" s="94"/>
      <c r="IG177" s="94"/>
      <c r="IH177" s="94"/>
      <c r="II177" s="94"/>
      <c r="IJ177" s="94"/>
      <c r="IK177" s="94"/>
      <c r="IL177" s="94"/>
      <c r="IM177" s="94"/>
      <c r="IN177" s="94"/>
      <c r="IO177" s="94"/>
      <c r="IP177" s="94"/>
      <c r="IQ177" s="94"/>
      <c r="IR177" s="94"/>
      <c r="IS177" s="94"/>
      <c r="IT177" s="94"/>
      <c r="IU177" s="94"/>
      <c r="IV177" s="94"/>
    </row>
    <row r="178" spans="1:256" s="95" customFormat="1" ht="16.05" customHeight="1">
      <c r="A178" s="132"/>
      <c r="B178" s="132"/>
      <c r="C178" s="136"/>
      <c r="D178" s="85">
        <f t="shared" si="7"/>
        <v>0.27272727272727271</v>
      </c>
      <c r="E178" s="98"/>
      <c r="F178" s="99" t="s">
        <v>411</v>
      </c>
      <c r="G178" s="88" t="s">
        <v>66</v>
      </c>
      <c r="H178" s="100">
        <f t="shared" si="9"/>
        <v>4</v>
      </c>
      <c r="I178" s="101">
        <f>IF([2]项目总工作量!B$6="交易类",H178*1.5/22,IF([2]项目总工作量!B$6="数据分析类",H178*1.5*0.9/22,IF([2]项目总工作量!B$6="流程管理类",H178*1.5*0.8/22,IF([2]项目总工作量!B$6="渠道类",H178*1.5*0.7/22,FALSE))))</f>
        <v>0.27272727272727271</v>
      </c>
      <c r="J178" s="88" t="s">
        <v>44</v>
      </c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  <c r="AV178" s="94"/>
      <c r="AW178" s="94"/>
      <c r="AX178" s="94"/>
      <c r="AY178" s="94"/>
      <c r="AZ178" s="94"/>
      <c r="BA178" s="94"/>
      <c r="BB178" s="94"/>
      <c r="BC178" s="94"/>
      <c r="BD178" s="94"/>
      <c r="BE178" s="94"/>
      <c r="BF178" s="94"/>
      <c r="BG178" s="94"/>
      <c r="BH178" s="94"/>
      <c r="BI178" s="94"/>
      <c r="BJ178" s="94"/>
      <c r="BK178" s="94"/>
      <c r="BL178" s="94"/>
      <c r="BM178" s="94"/>
      <c r="BN178" s="94"/>
      <c r="BO178" s="94"/>
      <c r="BP178" s="94"/>
      <c r="BQ178" s="94"/>
      <c r="BR178" s="94"/>
      <c r="BS178" s="94"/>
      <c r="BT178" s="94"/>
      <c r="BU178" s="94"/>
      <c r="BV178" s="94"/>
      <c r="BW178" s="94"/>
      <c r="BX178" s="94"/>
      <c r="BY178" s="94"/>
      <c r="BZ178" s="94"/>
      <c r="CA178" s="94"/>
      <c r="CB178" s="94"/>
      <c r="CC178" s="94"/>
      <c r="CD178" s="94"/>
      <c r="CE178" s="94"/>
      <c r="CF178" s="94"/>
      <c r="CG178" s="94"/>
      <c r="CH178" s="94"/>
      <c r="CI178" s="94"/>
      <c r="CJ178" s="94"/>
      <c r="CK178" s="94"/>
      <c r="CL178" s="94"/>
      <c r="CM178" s="94"/>
      <c r="CN178" s="94"/>
      <c r="CO178" s="94"/>
      <c r="CP178" s="94"/>
      <c r="CQ178" s="94"/>
      <c r="CR178" s="94"/>
      <c r="CS178" s="94"/>
      <c r="CT178" s="94"/>
      <c r="CU178" s="94"/>
      <c r="CV178" s="94"/>
      <c r="CW178" s="94"/>
      <c r="CX178" s="94"/>
      <c r="CY178" s="94"/>
      <c r="CZ178" s="94"/>
      <c r="DA178" s="94"/>
      <c r="DB178" s="94"/>
      <c r="DC178" s="94"/>
      <c r="DD178" s="94"/>
      <c r="DE178" s="94"/>
      <c r="DF178" s="94"/>
      <c r="DG178" s="94"/>
      <c r="DH178" s="94"/>
      <c r="DI178" s="94"/>
      <c r="DJ178" s="94"/>
      <c r="DK178" s="94"/>
      <c r="DL178" s="94"/>
      <c r="DM178" s="94"/>
      <c r="DN178" s="94"/>
      <c r="DO178" s="94"/>
      <c r="DP178" s="94"/>
      <c r="DQ178" s="94"/>
      <c r="DR178" s="94"/>
      <c r="DS178" s="94"/>
      <c r="DT178" s="94"/>
      <c r="DU178" s="94"/>
      <c r="DV178" s="94"/>
      <c r="DW178" s="94"/>
      <c r="DX178" s="94"/>
      <c r="DY178" s="94"/>
      <c r="DZ178" s="94"/>
      <c r="EA178" s="94"/>
      <c r="EB178" s="94"/>
      <c r="EC178" s="94"/>
      <c r="ED178" s="94"/>
      <c r="EE178" s="94"/>
      <c r="EF178" s="94"/>
      <c r="EG178" s="94"/>
      <c r="EH178" s="94"/>
      <c r="EI178" s="94"/>
      <c r="EJ178" s="94"/>
      <c r="EK178" s="94"/>
      <c r="EL178" s="94"/>
      <c r="EM178" s="94"/>
      <c r="EN178" s="94"/>
      <c r="EO178" s="94"/>
      <c r="EP178" s="94"/>
      <c r="EQ178" s="94"/>
      <c r="ER178" s="94"/>
      <c r="ES178" s="94"/>
      <c r="ET178" s="94"/>
      <c r="EU178" s="94"/>
      <c r="EV178" s="94"/>
      <c r="EW178" s="94"/>
      <c r="EX178" s="94"/>
      <c r="EY178" s="94"/>
      <c r="EZ178" s="94"/>
      <c r="FA178" s="94"/>
      <c r="FB178" s="94"/>
      <c r="FC178" s="94"/>
      <c r="FD178" s="94"/>
      <c r="FE178" s="94"/>
      <c r="FF178" s="94"/>
      <c r="FG178" s="94"/>
      <c r="FH178" s="94"/>
      <c r="FI178" s="94"/>
      <c r="FJ178" s="94"/>
      <c r="FK178" s="94"/>
      <c r="FL178" s="94"/>
      <c r="FM178" s="94"/>
      <c r="FN178" s="94"/>
      <c r="FO178" s="94"/>
      <c r="FP178" s="94"/>
      <c r="FQ178" s="94"/>
      <c r="FR178" s="94"/>
      <c r="FS178" s="94"/>
      <c r="FT178" s="94"/>
      <c r="FU178" s="94"/>
      <c r="FV178" s="94"/>
      <c r="FW178" s="94"/>
      <c r="FX178" s="94"/>
      <c r="FY178" s="94"/>
      <c r="FZ178" s="94"/>
      <c r="GA178" s="94"/>
      <c r="GB178" s="94"/>
      <c r="GC178" s="94"/>
      <c r="GD178" s="94"/>
      <c r="GE178" s="94"/>
      <c r="GF178" s="94"/>
      <c r="GG178" s="94"/>
      <c r="GH178" s="94"/>
      <c r="GI178" s="94"/>
      <c r="GJ178" s="94"/>
      <c r="GK178" s="94"/>
      <c r="GL178" s="94"/>
      <c r="GM178" s="94"/>
      <c r="GN178" s="94"/>
      <c r="GO178" s="94"/>
      <c r="GP178" s="94"/>
      <c r="GQ178" s="94"/>
      <c r="GR178" s="94"/>
      <c r="GS178" s="94"/>
      <c r="GT178" s="94"/>
      <c r="GU178" s="94"/>
      <c r="GV178" s="94"/>
      <c r="GW178" s="94"/>
      <c r="GX178" s="94"/>
      <c r="GY178" s="94"/>
      <c r="GZ178" s="94"/>
      <c r="HA178" s="94"/>
      <c r="HB178" s="94"/>
      <c r="HC178" s="94"/>
      <c r="HD178" s="94"/>
      <c r="HE178" s="94"/>
      <c r="HF178" s="94"/>
      <c r="HG178" s="94"/>
      <c r="HH178" s="94"/>
      <c r="HI178" s="94"/>
      <c r="HJ178" s="94"/>
      <c r="HK178" s="94"/>
      <c r="HL178" s="94"/>
      <c r="HM178" s="94"/>
      <c r="HN178" s="94"/>
      <c r="HO178" s="94"/>
      <c r="HP178" s="94"/>
      <c r="HQ178" s="94"/>
      <c r="HR178" s="94"/>
      <c r="HS178" s="94"/>
      <c r="HT178" s="94"/>
      <c r="HU178" s="94"/>
      <c r="HV178" s="94"/>
      <c r="HW178" s="94"/>
      <c r="HX178" s="94"/>
      <c r="HY178" s="94"/>
      <c r="HZ178" s="94"/>
      <c r="IA178" s="94"/>
      <c r="IB178" s="94"/>
      <c r="IC178" s="94"/>
      <c r="ID178" s="94"/>
      <c r="IE178" s="94"/>
      <c r="IF178" s="94"/>
      <c r="IG178" s="94"/>
      <c r="IH178" s="94"/>
      <c r="II178" s="94"/>
      <c r="IJ178" s="94"/>
      <c r="IK178" s="94"/>
      <c r="IL178" s="94"/>
      <c r="IM178" s="94"/>
      <c r="IN178" s="94"/>
      <c r="IO178" s="94"/>
      <c r="IP178" s="94"/>
      <c r="IQ178" s="94"/>
      <c r="IR178" s="94"/>
      <c r="IS178" s="94"/>
      <c r="IT178" s="94"/>
      <c r="IU178" s="94"/>
      <c r="IV178" s="94"/>
    </row>
    <row r="179" spans="1:256" s="95" customFormat="1" ht="16.05" customHeight="1">
      <c r="A179" s="132"/>
      <c r="B179" s="134"/>
      <c r="C179" s="136"/>
      <c r="D179" s="85">
        <f t="shared" si="7"/>
        <v>0.27272727272727271</v>
      </c>
      <c r="E179" s="98"/>
      <c r="F179" s="99" t="s">
        <v>412</v>
      </c>
      <c r="G179" s="88" t="s">
        <v>66</v>
      </c>
      <c r="H179" s="100">
        <f t="shared" si="9"/>
        <v>4</v>
      </c>
      <c r="I179" s="101">
        <f>IF([2]项目总工作量!B$6="交易类",H179*1.5/22,IF([2]项目总工作量!B$6="数据分析类",H179*1.5*0.9/22,IF([2]项目总工作量!B$6="流程管理类",H179*1.5*0.8/22,IF([2]项目总工作量!B$6="渠道类",H179*1.5*0.7/22,FALSE))))</f>
        <v>0.27272727272727271</v>
      </c>
      <c r="J179" s="88" t="s">
        <v>44</v>
      </c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  <c r="AV179" s="94"/>
      <c r="AW179" s="94"/>
      <c r="AX179" s="94"/>
      <c r="AY179" s="94"/>
      <c r="AZ179" s="94"/>
      <c r="BA179" s="94"/>
      <c r="BB179" s="94"/>
      <c r="BC179" s="94"/>
      <c r="BD179" s="94"/>
      <c r="BE179" s="94"/>
      <c r="BF179" s="94"/>
      <c r="BG179" s="94"/>
      <c r="BH179" s="94"/>
      <c r="BI179" s="94"/>
      <c r="BJ179" s="94"/>
      <c r="BK179" s="94"/>
      <c r="BL179" s="94"/>
      <c r="BM179" s="94"/>
      <c r="BN179" s="94"/>
      <c r="BO179" s="94"/>
      <c r="BP179" s="94"/>
      <c r="BQ179" s="94"/>
      <c r="BR179" s="94"/>
      <c r="BS179" s="94"/>
      <c r="BT179" s="94"/>
      <c r="BU179" s="94"/>
      <c r="BV179" s="94"/>
      <c r="BW179" s="94"/>
      <c r="BX179" s="94"/>
      <c r="BY179" s="94"/>
      <c r="BZ179" s="94"/>
      <c r="CA179" s="94"/>
      <c r="CB179" s="94"/>
      <c r="CC179" s="94"/>
      <c r="CD179" s="94"/>
      <c r="CE179" s="94"/>
      <c r="CF179" s="94"/>
      <c r="CG179" s="94"/>
      <c r="CH179" s="94"/>
      <c r="CI179" s="94"/>
      <c r="CJ179" s="94"/>
      <c r="CK179" s="94"/>
      <c r="CL179" s="94"/>
      <c r="CM179" s="94"/>
      <c r="CN179" s="94"/>
      <c r="CO179" s="94"/>
      <c r="CP179" s="94"/>
      <c r="CQ179" s="94"/>
      <c r="CR179" s="94"/>
      <c r="CS179" s="94"/>
      <c r="CT179" s="94"/>
      <c r="CU179" s="94"/>
      <c r="CV179" s="94"/>
      <c r="CW179" s="94"/>
      <c r="CX179" s="94"/>
      <c r="CY179" s="94"/>
      <c r="CZ179" s="94"/>
      <c r="DA179" s="94"/>
      <c r="DB179" s="94"/>
      <c r="DC179" s="94"/>
      <c r="DD179" s="94"/>
      <c r="DE179" s="94"/>
      <c r="DF179" s="94"/>
      <c r="DG179" s="94"/>
      <c r="DH179" s="94"/>
      <c r="DI179" s="94"/>
      <c r="DJ179" s="94"/>
      <c r="DK179" s="94"/>
      <c r="DL179" s="94"/>
      <c r="DM179" s="94"/>
      <c r="DN179" s="94"/>
      <c r="DO179" s="94"/>
      <c r="DP179" s="94"/>
      <c r="DQ179" s="94"/>
      <c r="DR179" s="94"/>
      <c r="DS179" s="94"/>
      <c r="DT179" s="94"/>
      <c r="DU179" s="94"/>
      <c r="DV179" s="94"/>
      <c r="DW179" s="94"/>
      <c r="DX179" s="94"/>
      <c r="DY179" s="94"/>
      <c r="DZ179" s="94"/>
      <c r="EA179" s="94"/>
      <c r="EB179" s="94"/>
      <c r="EC179" s="94"/>
      <c r="ED179" s="94"/>
      <c r="EE179" s="94"/>
      <c r="EF179" s="94"/>
      <c r="EG179" s="94"/>
      <c r="EH179" s="94"/>
      <c r="EI179" s="94"/>
      <c r="EJ179" s="94"/>
      <c r="EK179" s="94"/>
      <c r="EL179" s="94"/>
      <c r="EM179" s="94"/>
      <c r="EN179" s="94"/>
      <c r="EO179" s="94"/>
      <c r="EP179" s="94"/>
      <c r="EQ179" s="94"/>
      <c r="ER179" s="94"/>
      <c r="ES179" s="94"/>
      <c r="ET179" s="94"/>
      <c r="EU179" s="94"/>
      <c r="EV179" s="94"/>
      <c r="EW179" s="94"/>
      <c r="EX179" s="94"/>
      <c r="EY179" s="94"/>
      <c r="EZ179" s="94"/>
      <c r="FA179" s="94"/>
      <c r="FB179" s="94"/>
      <c r="FC179" s="94"/>
      <c r="FD179" s="94"/>
      <c r="FE179" s="94"/>
      <c r="FF179" s="94"/>
      <c r="FG179" s="94"/>
      <c r="FH179" s="94"/>
      <c r="FI179" s="94"/>
      <c r="FJ179" s="94"/>
      <c r="FK179" s="94"/>
      <c r="FL179" s="94"/>
      <c r="FM179" s="94"/>
      <c r="FN179" s="94"/>
      <c r="FO179" s="94"/>
      <c r="FP179" s="94"/>
      <c r="FQ179" s="94"/>
      <c r="FR179" s="94"/>
      <c r="FS179" s="94"/>
      <c r="FT179" s="94"/>
      <c r="FU179" s="94"/>
      <c r="FV179" s="94"/>
      <c r="FW179" s="94"/>
      <c r="FX179" s="94"/>
      <c r="FY179" s="94"/>
      <c r="FZ179" s="94"/>
      <c r="GA179" s="94"/>
      <c r="GB179" s="94"/>
      <c r="GC179" s="94"/>
      <c r="GD179" s="94"/>
      <c r="GE179" s="94"/>
      <c r="GF179" s="94"/>
      <c r="GG179" s="94"/>
      <c r="GH179" s="94"/>
      <c r="GI179" s="94"/>
      <c r="GJ179" s="94"/>
      <c r="GK179" s="94"/>
      <c r="GL179" s="94"/>
      <c r="GM179" s="94"/>
      <c r="GN179" s="94"/>
      <c r="GO179" s="94"/>
      <c r="GP179" s="94"/>
      <c r="GQ179" s="94"/>
      <c r="GR179" s="94"/>
      <c r="GS179" s="94"/>
      <c r="GT179" s="94"/>
      <c r="GU179" s="94"/>
      <c r="GV179" s="94"/>
      <c r="GW179" s="94"/>
      <c r="GX179" s="94"/>
      <c r="GY179" s="94"/>
      <c r="GZ179" s="94"/>
      <c r="HA179" s="94"/>
      <c r="HB179" s="94"/>
      <c r="HC179" s="94"/>
      <c r="HD179" s="94"/>
      <c r="HE179" s="94"/>
      <c r="HF179" s="94"/>
      <c r="HG179" s="94"/>
      <c r="HH179" s="94"/>
      <c r="HI179" s="94"/>
      <c r="HJ179" s="94"/>
      <c r="HK179" s="94"/>
      <c r="HL179" s="94"/>
      <c r="HM179" s="94"/>
      <c r="HN179" s="94"/>
      <c r="HO179" s="94"/>
      <c r="HP179" s="94"/>
      <c r="HQ179" s="94"/>
      <c r="HR179" s="94"/>
      <c r="HS179" s="94"/>
      <c r="HT179" s="94"/>
      <c r="HU179" s="94"/>
      <c r="HV179" s="94"/>
      <c r="HW179" s="94"/>
      <c r="HX179" s="94"/>
      <c r="HY179" s="94"/>
      <c r="HZ179" s="94"/>
      <c r="IA179" s="94"/>
      <c r="IB179" s="94"/>
      <c r="IC179" s="94"/>
      <c r="ID179" s="94"/>
      <c r="IE179" s="94"/>
      <c r="IF179" s="94"/>
      <c r="IG179" s="94"/>
      <c r="IH179" s="94"/>
      <c r="II179" s="94"/>
      <c r="IJ179" s="94"/>
      <c r="IK179" s="94"/>
      <c r="IL179" s="94"/>
      <c r="IM179" s="94"/>
      <c r="IN179" s="94"/>
      <c r="IO179" s="94"/>
      <c r="IP179" s="94"/>
      <c r="IQ179" s="94"/>
      <c r="IR179" s="94"/>
      <c r="IS179" s="94"/>
      <c r="IT179" s="94"/>
      <c r="IU179" s="94"/>
      <c r="IV179" s="94"/>
    </row>
    <row r="180" spans="1:256" s="95" customFormat="1" ht="16.05" customHeight="1">
      <c r="A180" s="132"/>
      <c r="B180" s="134"/>
      <c r="C180" s="136"/>
      <c r="D180" s="85">
        <f t="shared" si="7"/>
        <v>0.27272727272727271</v>
      </c>
      <c r="E180" s="98"/>
      <c r="F180" s="99" t="s">
        <v>413</v>
      </c>
      <c r="G180" s="88" t="s">
        <v>66</v>
      </c>
      <c r="H180" s="100">
        <f t="shared" si="9"/>
        <v>4</v>
      </c>
      <c r="I180" s="101">
        <f>IF([2]项目总工作量!B$6="交易类",H180*1.5/22,IF([2]项目总工作量!B$6="数据分析类",H180*1.5*0.9/22,IF([2]项目总工作量!B$6="流程管理类",H180*1.5*0.8/22,IF([2]项目总工作量!B$6="渠道类",H180*1.5*0.7/22,FALSE))))</f>
        <v>0.27272727272727271</v>
      </c>
      <c r="J180" s="88" t="s">
        <v>44</v>
      </c>
      <c r="K180" s="94"/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  <c r="AI180" s="94"/>
      <c r="AJ180" s="94"/>
      <c r="AK180" s="94"/>
      <c r="AL180" s="94"/>
      <c r="AM180" s="94"/>
      <c r="AN180" s="94"/>
      <c r="AO180" s="94"/>
      <c r="AP180" s="94"/>
      <c r="AQ180" s="94"/>
      <c r="AR180" s="94"/>
      <c r="AS180" s="94"/>
      <c r="AT180" s="94"/>
      <c r="AU180" s="94"/>
      <c r="AV180" s="94"/>
      <c r="AW180" s="94"/>
      <c r="AX180" s="94"/>
      <c r="AY180" s="94"/>
      <c r="AZ180" s="94"/>
      <c r="BA180" s="94"/>
      <c r="BB180" s="94"/>
      <c r="BC180" s="94"/>
      <c r="BD180" s="94"/>
      <c r="BE180" s="94"/>
      <c r="BF180" s="94"/>
      <c r="BG180" s="94"/>
      <c r="BH180" s="94"/>
      <c r="BI180" s="94"/>
      <c r="BJ180" s="94"/>
      <c r="BK180" s="94"/>
      <c r="BL180" s="94"/>
      <c r="BM180" s="94"/>
      <c r="BN180" s="94"/>
      <c r="BO180" s="94"/>
      <c r="BP180" s="94"/>
      <c r="BQ180" s="94"/>
      <c r="BR180" s="94"/>
      <c r="BS180" s="94"/>
      <c r="BT180" s="94"/>
      <c r="BU180" s="94"/>
      <c r="BV180" s="94"/>
      <c r="BW180" s="94"/>
      <c r="BX180" s="94"/>
      <c r="BY180" s="94"/>
      <c r="BZ180" s="94"/>
      <c r="CA180" s="94"/>
      <c r="CB180" s="94"/>
      <c r="CC180" s="94"/>
      <c r="CD180" s="94"/>
      <c r="CE180" s="94"/>
      <c r="CF180" s="94"/>
      <c r="CG180" s="94"/>
      <c r="CH180" s="94"/>
      <c r="CI180" s="94"/>
      <c r="CJ180" s="94"/>
      <c r="CK180" s="94"/>
      <c r="CL180" s="94"/>
      <c r="CM180" s="94"/>
      <c r="CN180" s="94"/>
      <c r="CO180" s="94"/>
      <c r="CP180" s="94"/>
      <c r="CQ180" s="94"/>
      <c r="CR180" s="94"/>
      <c r="CS180" s="94"/>
      <c r="CT180" s="94"/>
      <c r="CU180" s="94"/>
      <c r="CV180" s="94"/>
      <c r="CW180" s="94"/>
      <c r="CX180" s="94"/>
      <c r="CY180" s="94"/>
      <c r="CZ180" s="94"/>
      <c r="DA180" s="94"/>
      <c r="DB180" s="94"/>
      <c r="DC180" s="94"/>
      <c r="DD180" s="94"/>
      <c r="DE180" s="94"/>
      <c r="DF180" s="94"/>
      <c r="DG180" s="94"/>
      <c r="DH180" s="94"/>
      <c r="DI180" s="94"/>
      <c r="DJ180" s="94"/>
      <c r="DK180" s="94"/>
      <c r="DL180" s="94"/>
      <c r="DM180" s="94"/>
      <c r="DN180" s="94"/>
      <c r="DO180" s="94"/>
      <c r="DP180" s="94"/>
      <c r="DQ180" s="94"/>
      <c r="DR180" s="94"/>
      <c r="DS180" s="94"/>
      <c r="DT180" s="94"/>
      <c r="DU180" s="94"/>
      <c r="DV180" s="94"/>
      <c r="DW180" s="94"/>
      <c r="DX180" s="94"/>
      <c r="DY180" s="94"/>
      <c r="DZ180" s="94"/>
      <c r="EA180" s="94"/>
      <c r="EB180" s="94"/>
      <c r="EC180" s="94"/>
      <c r="ED180" s="94"/>
      <c r="EE180" s="94"/>
      <c r="EF180" s="94"/>
      <c r="EG180" s="94"/>
      <c r="EH180" s="94"/>
      <c r="EI180" s="94"/>
      <c r="EJ180" s="94"/>
      <c r="EK180" s="94"/>
      <c r="EL180" s="94"/>
      <c r="EM180" s="94"/>
      <c r="EN180" s="94"/>
      <c r="EO180" s="94"/>
      <c r="EP180" s="94"/>
      <c r="EQ180" s="94"/>
      <c r="ER180" s="94"/>
      <c r="ES180" s="94"/>
      <c r="ET180" s="94"/>
      <c r="EU180" s="94"/>
      <c r="EV180" s="94"/>
      <c r="EW180" s="94"/>
      <c r="EX180" s="94"/>
      <c r="EY180" s="94"/>
      <c r="EZ180" s="94"/>
      <c r="FA180" s="94"/>
      <c r="FB180" s="94"/>
      <c r="FC180" s="94"/>
      <c r="FD180" s="94"/>
      <c r="FE180" s="94"/>
      <c r="FF180" s="94"/>
      <c r="FG180" s="94"/>
      <c r="FH180" s="94"/>
      <c r="FI180" s="94"/>
      <c r="FJ180" s="94"/>
      <c r="FK180" s="94"/>
      <c r="FL180" s="94"/>
      <c r="FM180" s="94"/>
      <c r="FN180" s="94"/>
      <c r="FO180" s="94"/>
      <c r="FP180" s="94"/>
      <c r="FQ180" s="94"/>
      <c r="FR180" s="94"/>
      <c r="FS180" s="94"/>
      <c r="FT180" s="94"/>
      <c r="FU180" s="94"/>
      <c r="FV180" s="94"/>
      <c r="FW180" s="94"/>
      <c r="FX180" s="94"/>
      <c r="FY180" s="94"/>
      <c r="FZ180" s="94"/>
      <c r="GA180" s="94"/>
      <c r="GB180" s="94"/>
      <c r="GC180" s="94"/>
      <c r="GD180" s="94"/>
      <c r="GE180" s="94"/>
      <c r="GF180" s="94"/>
      <c r="GG180" s="94"/>
      <c r="GH180" s="94"/>
      <c r="GI180" s="94"/>
      <c r="GJ180" s="94"/>
      <c r="GK180" s="94"/>
      <c r="GL180" s="94"/>
      <c r="GM180" s="94"/>
      <c r="GN180" s="94"/>
      <c r="GO180" s="94"/>
      <c r="GP180" s="94"/>
      <c r="GQ180" s="94"/>
      <c r="GR180" s="94"/>
      <c r="GS180" s="94"/>
      <c r="GT180" s="94"/>
      <c r="GU180" s="94"/>
      <c r="GV180" s="94"/>
      <c r="GW180" s="94"/>
      <c r="GX180" s="94"/>
      <c r="GY180" s="94"/>
      <c r="GZ180" s="94"/>
      <c r="HA180" s="94"/>
      <c r="HB180" s="94"/>
      <c r="HC180" s="94"/>
      <c r="HD180" s="94"/>
      <c r="HE180" s="94"/>
      <c r="HF180" s="94"/>
      <c r="HG180" s="94"/>
      <c r="HH180" s="94"/>
      <c r="HI180" s="94"/>
      <c r="HJ180" s="94"/>
      <c r="HK180" s="94"/>
      <c r="HL180" s="94"/>
      <c r="HM180" s="94"/>
      <c r="HN180" s="94"/>
      <c r="HO180" s="94"/>
      <c r="HP180" s="94"/>
      <c r="HQ180" s="94"/>
      <c r="HR180" s="94"/>
      <c r="HS180" s="94"/>
      <c r="HT180" s="94"/>
      <c r="HU180" s="94"/>
      <c r="HV180" s="94"/>
      <c r="HW180" s="94"/>
      <c r="HX180" s="94"/>
      <c r="HY180" s="94"/>
      <c r="HZ180" s="94"/>
      <c r="IA180" s="94"/>
      <c r="IB180" s="94"/>
      <c r="IC180" s="94"/>
      <c r="ID180" s="94"/>
      <c r="IE180" s="94"/>
      <c r="IF180" s="94"/>
      <c r="IG180" s="94"/>
      <c r="IH180" s="94"/>
      <c r="II180" s="94"/>
      <c r="IJ180" s="94"/>
      <c r="IK180" s="94"/>
      <c r="IL180" s="94"/>
      <c r="IM180" s="94"/>
      <c r="IN180" s="94"/>
      <c r="IO180" s="94"/>
      <c r="IP180" s="94"/>
      <c r="IQ180" s="94"/>
      <c r="IR180" s="94"/>
      <c r="IS180" s="94"/>
      <c r="IT180" s="94"/>
      <c r="IU180" s="94"/>
      <c r="IV180" s="94"/>
    </row>
    <row r="181" spans="1:256" s="95" customFormat="1" ht="16.05" customHeight="1">
      <c r="A181" s="132"/>
      <c r="B181" s="134"/>
      <c r="C181" s="136"/>
      <c r="D181" s="85">
        <f t="shared" si="7"/>
        <v>0.27272727272727271</v>
      </c>
      <c r="E181" s="98"/>
      <c r="F181" s="99" t="s">
        <v>414</v>
      </c>
      <c r="G181" s="88" t="s">
        <v>66</v>
      </c>
      <c r="H181" s="100">
        <f t="shared" si="9"/>
        <v>4</v>
      </c>
      <c r="I181" s="101">
        <f>IF([2]项目总工作量!B$6="交易类",H181*1.5/22,IF([2]项目总工作量!B$6="数据分析类",H181*1.5*0.9/22,IF([2]项目总工作量!B$6="流程管理类",H181*1.5*0.8/22,IF([2]项目总工作量!B$6="渠道类",H181*1.5*0.7/22,FALSE))))</f>
        <v>0.27272727272727271</v>
      </c>
      <c r="J181" s="88" t="s">
        <v>44</v>
      </c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  <c r="AV181" s="94"/>
      <c r="AW181" s="94"/>
      <c r="AX181" s="94"/>
      <c r="AY181" s="94"/>
      <c r="AZ181" s="94"/>
      <c r="BA181" s="94"/>
      <c r="BB181" s="94"/>
      <c r="BC181" s="94"/>
      <c r="BD181" s="94"/>
      <c r="BE181" s="94"/>
      <c r="BF181" s="94"/>
      <c r="BG181" s="94"/>
      <c r="BH181" s="94"/>
      <c r="BI181" s="94"/>
      <c r="BJ181" s="94"/>
      <c r="BK181" s="94"/>
      <c r="BL181" s="94"/>
      <c r="BM181" s="94"/>
      <c r="BN181" s="94"/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94"/>
      <c r="CA181" s="94"/>
      <c r="CB181" s="94"/>
      <c r="CC181" s="94"/>
      <c r="CD181" s="94"/>
      <c r="CE181" s="94"/>
      <c r="CF181" s="94"/>
      <c r="CG181" s="94"/>
      <c r="CH181" s="94"/>
      <c r="CI181" s="94"/>
      <c r="CJ181" s="94"/>
      <c r="CK181" s="94"/>
      <c r="CL181" s="94"/>
      <c r="CM181" s="94"/>
      <c r="CN181" s="94"/>
      <c r="CO181" s="94"/>
      <c r="CP181" s="94"/>
      <c r="CQ181" s="94"/>
      <c r="CR181" s="94"/>
      <c r="CS181" s="94"/>
      <c r="CT181" s="94"/>
      <c r="CU181" s="94"/>
      <c r="CV181" s="94"/>
      <c r="CW181" s="94"/>
      <c r="CX181" s="94"/>
      <c r="CY181" s="94"/>
      <c r="CZ181" s="94"/>
      <c r="DA181" s="94"/>
      <c r="DB181" s="94"/>
      <c r="DC181" s="94"/>
      <c r="DD181" s="94"/>
      <c r="DE181" s="94"/>
      <c r="DF181" s="94"/>
      <c r="DG181" s="94"/>
      <c r="DH181" s="94"/>
      <c r="DI181" s="94"/>
      <c r="DJ181" s="94"/>
      <c r="DK181" s="94"/>
      <c r="DL181" s="94"/>
      <c r="DM181" s="94"/>
      <c r="DN181" s="94"/>
      <c r="DO181" s="94"/>
      <c r="DP181" s="94"/>
      <c r="DQ181" s="94"/>
      <c r="DR181" s="94"/>
      <c r="DS181" s="94"/>
      <c r="DT181" s="94"/>
      <c r="DU181" s="94"/>
      <c r="DV181" s="94"/>
      <c r="DW181" s="94"/>
      <c r="DX181" s="94"/>
      <c r="DY181" s="94"/>
      <c r="DZ181" s="94"/>
      <c r="EA181" s="94"/>
      <c r="EB181" s="94"/>
      <c r="EC181" s="94"/>
      <c r="ED181" s="94"/>
      <c r="EE181" s="94"/>
      <c r="EF181" s="94"/>
      <c r="EG181" s="94"/>
      <c r="EH181" s="94"/>
      <c r="EI181" s="94"/>
      <c r="EJ181" s="94"/>
      <c r="EK181" s="94"/>
      <c r="EL181" s="94"/>
      <c r="EM181" s="94"/>
      <c r="EN181" s="94"/>
      <c r="EO181" s="94"/>
      <c r="EP181" s="94"/>
      <c r="EQ181" s="94"/>
      <c r="ER181" s="94"/>
      <c r="ES181" s="94"/>
      <c r="ET181" s="94"/>
      <c r="EU181" s="94"/>
      <c r="EV181" s="94"/>
      <c r="EW181" s="94"/>
      <c r="EX181" s="94"/>
      <c r="EY181" s="94"/>
      <c r="EZ181" s="94"/>
      <c r="FA181" s="94"/>
      <c r="FB181" s="94"/>
      <c r="FC181" s="94"/>
      <c r="FD181" s="94"/>
      <c r="FE181" s="94"/>
      <c r="FF181" s="94"/>
      <c r="FG181" s="94"/>
      <c r="FH181" s="94"/>
      <c r="FI181" s="94"/>
      <c r="FJ181" s="94"/>
      <c r="FK181" s="94"/>
      <c r="FL181" s="94"/>
      <c r="FM181" s="94"/>
      <c r="FN181" s="94"/>
      <c r="FO181" s="94"/>
      <c r="FP181" s="94"/>
      <c r="FQ181" s="94"/>
      <c r="FR181" s="94"/>
      <c r="FS181" s="94"/>
      <c r="FT181" s="94"/>
      <c r="FU181" s="94"/>
      <c r="FV181" s="94"/>
      <c r="FW181" s="94"/>
      <c r="FX181" s="94"/>
      <c r="FY181" s="94"/>
      <c r="FZ181" s="94"/>
      <c r="GA181" s="94"/>
      <c r="GB181" s="94"/>
      <c r="GC181" s="94"/>
      <c r="GD181" s="94"/>
      <c r="GE181" s="94"/>
      <c r="GF181" s="94"/>
      <c r="GG181" s="94"/>
      <c r="GH181" s="94"/>
      <c r="GI181" s="94"/>
      <c r="GJ181" s="94"/>
      <c r="GK181" s="94"/>
      <c r="GL181" s="94"/>
      <c r="GM181" s="94"/>
      <c r="GN181" s="94"/>
      <c r="GO181" s="94"/>
      <c r="GP181" s="94"/>
      <c r="GQ181" s="94"/>
      <c r="GR181" s="94"/>
      <c r="GS181" s="94"/>
      <c r="GT181" s="94"/>
      <c r="GU181" s="94"/>
      <c r="GV181" s="94"/>
      <c r="GW181" s="94"/>
      <c r="GX181" s="94"/>
      <c r="GY181" s="94"/>
      <c r="GZ181" s="94"/>
      <c r="HA181" s="94"/>
      <c r="HB181" s="94"/>
      <c r="HC181" s="94"/>
      <c r="HD181" s="94"/>
      <c r="HE181" s="94"/>
      <c r="HF181" s="94"/>
      <c r="HG181" s="94"/>
      <c r="HH181" s="94"/>
      <c r="HI181" s="94"/>
      <c r="HJ181" s="94"/>
      <c r="HK181" s="94"/>
      <c r="HL181" s="94"/>
      <c r="HM181" s="94"/>
      <c r="HN181" s="94"/>
      <c r="HO181" s="94"/>
      <c r="HP181" s="94"/>
      <c r="HQ181" s="94"/>
      <c r="HR181" s="94"/>
      <c r="HS181" s="94"/>
      <c r="HT181" s="94"/>
      <c r="HU181" s="94"/>
      <c r="HV181" s="94"/>
      <c r="HW181" s="94"/>
      <c r="HX181" s="94"/>
      <c r="HY181" s="94"/>
      <c r="HZ181" s="94"/>
      <c r="IA181" s="94"/>
      <c r="IB181" s="94"/>
      <c r="IC181" s="94"/>
      <c r="ID181" s="94"/>
      <c r="IE181" s="94"/>
      <c r="IF181" s="94"/>
      <c r="IG181" s="94"/>
      <c r="IH181" s="94"/>
      <c r="II181" s="94"/>
      <c r="IJ181" s="94"/>
      <c r="IK181" s="94"/>
      <c r="IL181" s="94"/>
      <c r="IM181" s="94"/>
      <c r="IN181" s="94"/>
      <c r="IO181" s="94"/>
      <c r="IP181" s="94"/>
      <c r="IQ181" s="94"/>
      <c r="IR181" s="94"/>
      <c r="IS181" s="94"/>
      <c r="IT181" s="94"/>
      <c r="IU181" s="94"/>
      <c r="IV181" s="94"/>
    </row>
    <row r="182" spans="1:256" s="95" customFormat="1" ht="16.05" customHeight="1">
      <c r="A182" s="132"/>
      <c r="B182" s="134"/>
      <c r="C182" s="136"/>
      <c r="D182" s="85">
        <f t="shared" si="7"/>
        <v>0.27272727272727271</v>
      </c>
      <c r="E182" s="98"/>
      <c r="F182" s="99" t="s">
        <v>415</v>
      </c>
      <c r="G182" s="88" t="s">
        <v>66</v>
      </c>
      <c r="H182" s="100">
        <f t="shared" si="9"/>
        <v>4</v>
      </c>
      <c r="I182" s="101">
        <f>IF([2]项目总工作量!B$6="交易类",H182*1.5/22,IF([2]项目总工作量!B$6="数据分析类",H182*1.5*0.9/22,IF([2]项目总工作量!B$6="流程管理类",H182*1.5*0.8/22,IF([2]项目总工作量!B$6="渠道类",H182*1.5*0.7/22,FALSE))))</f>
        <v>0.27272727272727271</v>
      </c>
      <c r="J182" s="88" t="s">
        <v>44</v>
      </c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  <c r="AV182" s="94"/>
      <c r="AW182" s="94"/>
      <c r="AX182" s="94"/>
      <c r="AY182" s="94"/>
      <c r="AZ182" s="94"/>
      <c r="BA182" s="94"/>
      <c r="BB182" s="94"/>
      <c r="BC182" s="94"/>
      <c r="BD182" s="94"/>
      <c r="BE182" s="94"/>
      <c r="BF182" s="94"/>
      <c r="BG182" s="94"/>
      <c r="BH182" s="94"/>
      <c r="BI182" s="94"/>
      <c r="BJ182" s="94"/>
      <c r="BK182" s="94"/>
      <c r="BL182" s="94"/>
      <c r="BM182" s="94"/>
      <c r="BN182" s="94"/>
      <c r="BO182" s="94"/>
      <c r="BP182" s="94"/>
      <c r="BQ182" s="94"/>
      <c r="BR182" s="94"/>
      <c r="BS182" s="94"/>
      <c r="BT182" s="94"/>
      <c r="BU182" s="94"/>
      <c r="BV182" s="94"/>
      <c r="BW182" s="94"/>
      <c r="BX182" s="94"/>
      <c r="BY182" s="94"/>
      <c r="BZ182" s="94"/>
      <c r="CA182" s="94"/>
      <c r="CB182" s="94"/>
      <c r="CC182" s="94"/>
      <c r="CD182" s="94"/>
      <c r="CE182" s="94"/>
      <c r="CF182" s="94"/>
      <c r="CG182" s="94"/>
      <c r="CH182" s="94"/>
      <c r="CI182" s="94"/>
      <c r="CJ182" s="94"/>
      <c r="CK182" s="94"/>
      <c r="CL182" s="94"/>
      <c r="CM182" s="94"/>
      <c r="CN182" s="94"/>
      <c r="CO182" s="94"/>
      <c r="CP182" s="94"/>
      <c r="CQ182" s="94"/>
      <c r="CR182" s="94"/>
      <c r="CS182" s="94"/>
      <c r="CT182" s="94"/>
      <c r="CU182" s="94"/>
      <c r="CV182" s="94"/>
      <c r="CW182" s="94"/>
      <c r="CX182" s="94"/>
      <c r="CY182" s="94"/>
      <c r="CZ182" s="94"/>
      <c r="DA182" s="94"/>
      <c r="DB182" s="94"/>
      <c r="DC182" s="94"/>
      <c r="DD182" s="94"/>
      <c r="DE182" s="94"/>
      <c r="DF182" s="94"/>
      <c r="DG182" s="94"/>
      <c r="DH182" s="94"/>
      <c r="DI182" s="94"/>
      <c r="DJ182" s="94"/>
      <c r="DK182" s="94"/>
      <c r="DL182" s="94"/>
      <c r="DM182" s="94"/>
      <c r="DN182" s="94"/>
      <c r="DO182" s="94"/>
      <c r="DP182" s="94"/>
      <c r="DQ182" s="94"/>
      <c r="DR182" s="94"/>
      <c r="DS182" s="94"/>
      <c r="DT182" s="94"/>
      <c r="DU182" s="94"/>
      <c r="DV182" s="94"/>
      <c r="DW182" s="94"/>
      <c r="DX182" s="94"/>
      <c r="DY182" s="94"/>
      <c r="DZ182" s="94"/>
      <c r="EA182" s="94"/>
      <c r="EB182" s="94"/>
      <c r="EC182" s="94"/>
      <c r="ED182" s="94"/>
      <c r="EE182" s="94"/>
      <c r="EF182" s="94"/>
      <c r="EG182" s="94"/>
      <c r="EH182" s="94"/>
      <c r="EI182" s="94"/>
      <c r="EJ182" s="94"/>
      <c r="EK182" s="94"/>
      <c r="EL182" s="94"/>
      <c r="EM182" s="94"/>
      <c r="EN182" s="94"/>
      <c r="EO182" s="94"/>
      <c r="EP182" s="94"/>
      <c r="EQ182" s="94"/>
      <c r="ER182" s="94"/>
      <c r="ES182" s="94"/>
      <c r="ET182" s="94"/>
      <c r="EU182" s="94"/>
      <c r="EV182" s="94"/>
      <c r="EW182" s="94"/>
      <c r="EX182" s="94"/>
      <c r="EY182" s="94"/>
      <c r="EZ182" s="94"/>
      <c r="FA182" s="94"/>
      <c r="FB182" s="94"/>
      <c r="FC182" s="94"/>
      <c r="FD182" s="94"/>
      <c r="FE182" s="94"/>
      <c r="FF182" s="94"/>
      <c r="FG182" s="94"/>
      <c r="FH182" s="94"/>
      <c r="FI182" s="94"/>
      <c r="FJ182" s="94"/>
      <c r="FK182" s="94"/>
      <c r="FL182" s="94"/>
      <c r="FM182" s="94"/>
      <c r="FN182" s="94"/>
      <c r="FO182" s="94"/>
      <c r="FP182" s="94"/>
      <c r="FQ182" s="94"/>
      <c r="FR182" s="94"/>
      <c r="FS182" s="94"/>
      <c r="FT182" s="94"/>
      <c r="FU182" s="94"/>
      <c r="FV182" s="94"/>
      <c r="FW182" s="94"/>
      <c r="FX182" s="94"/>
      <c r="FY182" s="94"/>
      <c r="FZ182" s="94"/>
      <c r="GA182" s="94"/>
      <c r="GB182" s="94"/>
      <c r="GC182" s="94"/>
      <c r="GD182" s="94"/>
      <c r="GE182" s="94"/>
      <c r="GF182" s="94"/>
      <c r="GG182" s="94"/>
      <c r="GH182" s="94"/>
      <c r="GI182" s="94"/>
      <c r="GJ182" s="94"/>
      <c r="GK182" s="94"/>
      <c r="GL182" s="94"/>
      <c r="GM182" s="94"/>
      <c r="GN182" s="94"/>
      <c r="GO182" s="94"/>
      <c r="GP182" s="94"/>
      <c r="GQ182" s="94"/>
      <c r="GR182" s="94"/>
      <c r="GS182" s="94"/>
      <c r="GT182" s="94"/>
      <c r="GU182" s="94"/>
      <c r="GV182" s="94"/>
      <c r="GW182" s="94"/>
      <c r="GX182" s="94"/>
      <c r="GY182" s="94"/>
      <c r="GZ182" s="94"/>
      <c r="HA182" s="94"/>
      <c r="HB182" s="94"/>
      <c r="HC182" s="94"/>
      <c r="HD182" s="94"/>
      <c r="HE182" s="94"/>
      <c r="HF182" s="94"/>
      <c r="HG182" s="94"/>
      <c r="HH182" s="94"/>
      <c r="HI182" s="94"/>
      <c r="HJ182" s="94"/>
      <c r="HK182" s="94"/>
      <c r="HL182" s="94"/>
      <c r="HM182" s="94"/>
      <c r="HN182" s="94"/>
      <c r="HO182" s="94"/>
      <c r="HP182" s="94"/>
      <c r="HQ182" s="94"/>
      <c r="HR182" s="94"/>
      <c r="HS182" s="94"/>
      <c r="HT182" s="94"/>
      <c r="HU182" s="94"/>
      <c r="HV182" s="94"/>
      <c r="HW182" s="94"/>
      <c r="HX182" s="94"/>
      <c r="HY182" s="94"/>
      <c r="HZ182" s="94"/>
      <c r="IA182" s="94"/>
      <c r="IB182" s="94"/>
      <c r="IC182" s="94"/>
      <c r="ID182" s="94"/>
      <c r="IE182" s="94"/>
      <c r="IF182" s="94"/>
      <c r="IG182" s="94"/>
      <c r="IH182" s="94"/>
      <c r="II182" s="94"/>
      <c r="IJ182" s="94"/>
      <c r="IK182" s="94"/>
      <c r="IL182" s="94"/>
      <c r="IM182" s="94"/>
      <c r="IN182" s="94"/>
      <c r="IO182" s="94"/>
      <c r="IP182" s="94"/>
      <c r="IQ182" s="94"/>
      <c r="IR182" s="94"/>
      <c r="IS182" s="94"/>
      <c r="IT182" s="94"/>
      <c r="IU182" s="94"/>
      <c r="IV182" s="94"/>
    </row>
    <row r="183" spans="1:256" s="95" customFormat="1" ht="16.05" customHeight="1">
      <c r="A183" s="132"/>
      <c r="B183" s="134"/>
      <c r="C183" s="136"/>
      <c r="D183" s="85">
        <f t="shared" si="7"/>
        <v>0.27272727272727271</v>
      </c>
      <c r="E183" s="98"/>
      <c r="F183" s="99" t="s">
        <v>416</v>
      </c>
      <c r="G183" s="88" t="s">
        <v>66</v>
      </c>
      <c r="H183" s="100">
        <f t="shared" si="9"/>
        <v>4</v>
      </c>
      <c r="I183" s="101">
        <f>IF([2]项目总工作量!B$6="交易类",H183*1.5/22,IF([2]项目总工作量!B$6="数据分析类",H183*1.5*0.9/22,IF([2]项目总工作量!B$6="流程管理类",H183*1.5*0.8/22,IF([2]项目总工作量!B$6="渠道类",H183*1.5*0.7/22,FALSE))))</f>
        <v>0.27272727272727271</v>
      </c>
      <c r="J183" s="88" t="s">
        <v>44</v>
      </c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  <c r="AV183" s="94"/>
      <c r="AW183" s="94"/>
      <c r="AX183" s="94"/>
      <c r="AY183" s="94"/>
      <c r="AZ183" s="94"/>
      <c r="BA183" s="94"/>
      <c r="BB183" s="94"/>
      <c r="BC183" s="94"/>
      <c r="BD183" s="94"/>
      <c r="BE183" s="94"/>
      <c r="BF183" s="94"/>
      <c r="BG183" s="94"/>
      <c r="BH183" s="94"/>
      <c r="BI183" s="94"/>
      <c r="BJ183" s="94"/>
      <c r="BK183" s="94"/>
      <c r="BL183" s="94"/>
      <c r="BM183" s="94"/>
      <c r="BN183" s="94"/>
      <c r="BO183" s="94"/>
      <c r="BP183" s="94"/>
      <c r="BQ183" s="94"/>
      <c r="BR183" s="94"/>
      <c r="BS183" s="94"/>
      <c r="BT183" s="94"/>
      <c r="BU183" s="94"/>
      <c r="BV183" s="94"/>
      <c r="BW183" s="94"/>
      <c r="BX183" s="94"/>
      <c r="BY183" s="94"/>
      <c r="BZ183" s="94"/>
      <c r="CA183" s="94"/>
      <c r="CB183" s="94"/>
      <c r="CC183" s="94"/>
      <c r="CD183" s="94"/>
      <c r="CE183" s="94"/>
      <c r="CF183" s="94"/>
      <c r="CG183" s="94"/>
      <c r="CH183" s="94"/>
      <c r="CI183" s="94"/>
      <c r="CJ183" s="94"/>
      <c r="CK183" s="94"/>
      <c r="CL183" s="94"/>
      <c r="CM183" s="94"/>
      <c r="CN183" s="94"/>
      <c r="CO183" s="94"/>
      <c r="CP183" s="94"/>
      <c r="CQ183" s="94"/>
      <c r="CR183" s="94"/>
      <c r="CS183" s="94"/>
      <c r="CT183" s="94"/>
      <c r="CU183" s="94"/>
      <c r="CV183" s="94"/>
      <c r="CW183" s="94"/>
      <c r="CX183" s="94"/>
      <c r="CY183" s="94"/>
      <c r="CZ183" s="94"/>
      <c r="DA183" s="94"/>
      <c r="DB183" s="94"/>
      <c r="DC183" s="94"/>
      <c r="DD183" s="94"/>
      <c r="DE183" s="94"/>
      <c r="DF183" s="94"/>
      <c r="DG183" s="94"/>
      <c r="DH183" s="94"/>
      <c r="DI183" s="94"/>
      <c r="DJ183" s="94"/>
      <c r="DK183" s="94"/>
      <c r="DL183" s="94"/>
      <c r="DM183" s="94"/>
      <c r="DN183" s="94"/>
      <c r="DO183" s="94"/>
      <c r="DP183" s="94"/>
      <c r="DQ183" s="94"/>
      <c r="DR183" s="94"/>
      <c r="DS183" s="94"/>
      <c r="DT183" s="94"/>
      <c r="DU183" s="94"/>
      <c r="DV183" s="94"/>
      <c r="DW183" s="94"/>
      <c r="DX183" s="94"/>
      <c r="DY183" s="94"/>
      <c r="DZ183" s="94"/>
      <c r="EA183" s="94"/>
      <c r="EB183" s="94"/>
      <c r="EC183" s="94"/>
      <c r="ED183" s="94"/>
      <c r="EE183" s="94"/>
      <c r="EF183" s="94"/>
      <c r="EG183" s="94"/>
      <c r="EH183" s="94"/>
      <c r="EI183" s="94"/>
      <c r="EJ183" s="94"/>
      <c r="EK183" s="94"/>
      <c r="EL183" s="94"/>
      <c r="EM183" s="94"/>
      <c r="EN183" s="94"/>
      <c r="EO183" s="94"/>
      <c r="EP183" s="94"/>
      <c r="EQ183" s="94"/>
      <c r="ER183" s="94"/>
      <c r="ES183" s="94"/>
      <c r="ET183" s="94"/>
      <c r="EU183" s="94"/>
      <c r="EV183" s="94"/>
      <c r="EW183" s="94"/>
      <c r="EX183" s="94"/>
      <c r="EY183" s="94"/>
      <c r="EZ183" s="94"/>
      <c r="FA183" s="94"/>
      <c r="FB183" s="94"/>
      <c r="FC183" s="94"/>
      <c r="FD183" s="94"/>
      <c r="FE183" s="94"/>
      <c r="FF183" s="94"/>
      <c r="FG183" s="94"/>
      <c r="FH183" s="94"/>
      <c r="FI183" s="94"/>
      <c r="FJ183" s="94"/>
      <c r="FK183" s="94"/>
      <c r="FL183" s="94"/>
      <c r="FM183" s="94"/>
      <c r="FN183" s="94"/>
      <c r="FO183" s="94"/>
      <c r="FP183" s="94"/>
      <c r="FQ183" s="94"/>
      <c r="FR183" s="94"/>
      <c r="FS183" s="94"/>
      <c r="FT183" s="94"/>
      <c r="FU183" s="94"/>
      <c r="FV183" s="94"/>
      <c r="FW183" s="94"/>
      <c r="FX183" s="94"/>
      <c r="FY183" s="94"/>
      <c r="FZ183" s="94"/>
      <c r="GA183" s="94"/>
      <c r="GB183" s="94"/>
      <c r="GC183" s="94"/>
      <c r="GD183" s="94"/>
      <c r="GE183" s="94"/>
      <c r="GF183" s="94"/>
      <c r="GG183" s="94"/>
      <c r="GH183" s="94"/>
      <c r="GI183" s="94"/>
      <c r="GJ183" s="94"/>
      <c r="GK183" s="94"/>
      <c r="GL183" s="94"/>
      <c r="GM183" s="94"/>
      <c r="GN183" s="94"/>
      <c r="GO183" s="94"/>
      <c r="GP183" s="94"/>
      <c r="GQ183" s="94"/>
      <c r="GR183" s="94"/>
      <c r="GS183" s="94"/>
      <c r="GT183" s="94"/>
      <c r="GU183" s="94"/>
      <c r="GV183" s="94"/>
      <c r="GW183" s="94"/>
      <c r="GX183" s="94"/>
      <c r="GY183" s="94"/>
      <c r="GZ183" s="94"/>
      <c r="HA183" s="94"/>
      <c r="HB183" s="94"/>
      <c r="HC183" s="94"/>
      <c r="HD183" s="94"/>
      <c r="HE183" s="94"/>
      <c r="HF183" s="94"/>
      <c r="HG183" s="94"/>
      <c r="HH183" s="94"/>
      <c r="HI183" s="94"/>
      <c r="HJ183" s="94"/>
      <c r="HK183" s="94"/>
      <c r="HL183" s="94"/>
      <c r="HM183" s="94"/>
      <c r="HN183" s="94"/>
      <c r="HO183" s="94"/>
      <c r="HP183" s="94"/>
      <c r="HQ183" s="94"/>
      <c r="HR183" s="94"/>
      <c r="HS183" s="94"/>
      <c r="HT183" s="94"/>
      <c r="HU183" s="94"/>
      <c r="HV183" s="94"/>
      <c r="HW183" s="94"/>
      <c r="HX183" s="94"/>
      <c r="HY183" s="94"/>
      <c r="HZ183" s="94"/>
      <c r="IA183" s="94"/>
      <c r="IB183" s="94"/>
      <c r="IC183" s="94"/>
      <c r="ID183" s="94"/>
      <c r="IE183" s="94"/>
      <c r="IF183" s="94"/>
      <c r="IG183" s="94"/>
      <c r="IH183" s="94"/>
      <c r="II183" s="94"/>
      <c r="IJ183" s="94"/>
      <c r="IK183" s="94"/>
      <c r="IL183" s="94"/>
      <c r="IM183" s="94"/>
      <c r="IN183" s="94"/>
      <c r="IO183" s="94"/>
      <c r="IP183" s="94"/>
      <c r="IQ183" s="94"/>
      <c r="IR183" s="94"/>
      <c r="IS183" s="94"/>
      <c r="IT183" s="94"/>
      <c r="IU183" s="94"/>
      <c r="IV183" s="94"/>
    </row>
    <row r="184" spans="1:256" s="95" customFormat="1" ht="16.05" customHeight="1">
      <c r="A184" s="132"/>
      <c r="B184" s="134"/>
      <c r="C184" s="136"/>
      <c r="D184" s="85">
        <f t="shared" si="7"/>
        <v>0.27272727272727271</v>
      </c>
      <c r="E184" s="98"/>
      <c r="F184" s="99" t="s">
        <v>417</v>
      </c>
      <c r="G184" s="88" t="s">
        <v>66</v>
      </c>
      <c r="H184" s="100">
        <f t="shared" si="9"/>
        <v>4</v>
      </c>
      <c r="I184" s="101">
        <f>IF([2]项目总工作量!B$6="交易类",H184*1.5/22,IF([2]项目总工作量!B$6="数据分析类",H184*1.5*0.9/22,IF([2]项目总工作量!B$6="流程管理类",H184*1.5*0.8/22,IF([2]项目总工作量!B$6="渠道类",H184*1.5*0.7/22,FALSE))))</f>
        <v>0.27272727272727271</v>
      </c>
      <c r="J184" s="88" t="s">
        <v>44</v>
      </c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  <c r="AV184" s="94"/>
      <c r="AW184" s="94"/>
      <c r="AX184" s="94"/>
      <c r="AY184" s="94"/>
      <c r="AZ184" s="94"/>
      <c r="BA184" s="94"/>
      <c r="BB184" s="94"/>
      <c r="BC184" s="94"/>
      <c r="BD184" s="94"/>
      <c r="BE184" s="94"/>
      <c r="BF184" s="94"/>
      <c r="BG184" s="94"/>
      <c r="BH184" s="94"/>
      <c r="BI184" s="94"/>
      <c r="BJ184" s="94"/>
      <c r="BK184" s="94"/>
      <c r="BL184" s="94"/>
      <c r="BM184" s="94"/>
      <c r="BN184" s="94"/>
      <c r="BO184" s="94"/>
      <c r="BP184" s="94"/>
      <c r="BQ184" s="94"/>
      <c r="BR184" s="94"/>
      <c r="BS184" s="94"/>
      <c r="BT184" s="94"/>
      <c r="BU184" s="94"/>
      <c r="BV184" s="94"/>
      <c r="BW184" s="94"/>
      <c r="BX184" s="94"/>
      <c r="BY184" s="94"/>
      <c r="BZ184" s="94"/>
      <c r="CA184" s="94"/>
      <c r="CB184" s="94"/>
      <c r="CC184" s="94"/>
      <c r="CD184" s="94"/>
      <c r="CE184" s="94"/>
      <c r="CF184" s="94"/>
      <c r="CG184" s="94"/>
      <c r="CH184" s="94"/>
      <c r="CI184" s="94"/>
      <c r="CJ184" s="94"/>
      <c r="CK184" s="94"/>
      <c r="CL184" s="94"/>
      <c r="CM184" s="94"/>
      <c r="CN184" s="94"/>
      <c r="CO184" s="94"/>
      <c r="CP184" s="94"/>
      <c r="CQ184" s="94"/>
      <c r="CR184" s="94"/>
      <c r="CS184" s="94"/>
      <c r="CT184" s="94"/>
      <c r="CU184" s="94"/>
      <c r="CV184" s="94"/>
      <c r="CW184" s="94"/>
      <c r="CX184" s="94"/>
      <c r="CY184" s="94"/>
      <c r="CZ184" s="94"/>
      <c r="DA184" s="94"/>
      <c r="DB184" s="94"/>
      <c r="DC184" s="94"/>
      <c r="DD184" s="94"/>
      <c r="DE184" s="94"/>
      <c r="DF184" s="94"/>
      <c r="DG184" s="94"/>
      <c r="DH184" s="94"/>
      <c r="DI184" s="94"/>
      <c r="DJ184" s="94"/>
      <c r="DK184" s="94"/>
      <c r="DL184" s="94"/>
      <c r="DM184" s="94"/>
      <c r="DN184" s="94"/>
      <c r="DO184" s="94"/>
      <c r="DP184" s="94"/>
      <c r="DQ184" s="94"/>
      <c r="DR184" s="94"/>
      <c r="DS184" s="94"/>
      <c r="DT184" s="94"/>
      <c r="DU184" s="94"/>
      <c r="DV184" s="94"/>
      <c r="DW184" s="94"/>
      <c r="DX184" s="94"/>
      <c r="DY184" s="94"/>
      <c r="DZ184" s="94"/>
      <c r="EA184" s="94"/>
      <c r="EB184" s="94"/>
      <c r="EC184" s="94"/>
      <c r="ED184" s="94"/>
      <c r="EE184" s="94"/>
      <c r="EF184" s="94"/>
      <c r="EG184" s="94"/>
      <c r="EH184" s="94"/>
      <c r="EI184" s="94"/>
      <c r="EJ184" s="94"/>
      <c r="EK184" s="94"/>
      <c r="EL184" s="94"/>
      <c r="EM184" s="94"/>
      <c r="EN184" s="94"/>
      <c r="EO184" s="94"/>
      <c r="EP184" s="94"/>
      <c r="EQ184" s="94"/>
      <c r="ER184" s="94"/>
      <c r="ES184" s="94"/>
      <c r="ET184" s="94"/>
      <c r="EU184" s="94"/>
      <c r="EV184" s="94"/>
      <c r="EW184" s="94"/>
      <c r="EX184" s="94"/>
      <c r="EY184" s="94"/>
      <c r="EZ184" s="94"/>
      <c r="FA184" s="94"/>
      <c r="FB184" s="94"/>
      <c r="FC184" s="94"/>
      <c r="FD184" s="94"/>
      <c r="FE184" s="94"/>
      <c r="FF184" s="94"/>
      <c r="FG184" s="94"/>
      <c r="FH184" s="94"/>
      <c r="FI184" s="94"/>
      <c r="FJ184" s="94"/>
      <c r="FK184" s="94"/>
      <c r="FL184" s="94"/>
      <c r="FM184" s="94"/>
      <c r="FN184" s="94"/>
      <c r="FO184" s="94"/>
      <c r="FP184" s="94"/>
      <c r="FQ184" s="94"/>
      <c r="FR184" s="94"/>
      <c r="FS184" s="94"/>
      <c r="FT184" s="94"/>
      <c r="FU184" s="94"/>
      <c r="FV184" s="94"/>
      <c r="FW184" s="94"/>
      <c r="FX184" s="94"/>
      <c r="FY184" s="94"/>
      <c r="FZ184" s="94"/>
      <c r="GA184" s="94"/>
      <c r="GB184" s="94"/>
      <c r="GC184" s="94"/>
      <c r="GD184" s="94"/>
      <c r="GE184" s="94"/>
      <c r="GF184" s="94"/>
      <c r="GG184" s="94"/>
      <c r="GH184" s="94"/>
      <c r="GI184" s="94"/>
      <c r="GJ184" s="94"/>
      <c r="GK184" s="94"/>
      <c r="GL184" s="94"/>
      <c r="GM184" s="94"/>
      <c r="GN184" s="94"/>
      <c r="GO184" s="94"/>
      <c r="GP184" s="94"/>
      <c r="GQ184" s="94"/>
      <c r="GR184" s="94"/>
      <c r="GS184" s="94"/>
      <c r="GT184" s="94"/>
      <c r="GU184" s="94"/>
      <c r="GV184" s="94"/>
      <c r="GW184" s="94"/>
      <c r="GX184" s="94"/>
      <c r="GY184" s="94"/>
      <c r="GZ184" s="94"/>
      <c r="HA184" s="94"/>
      <c r="HB184" s="94"/>
      <c r="HC184" s="94"/>
      <c r="HD184" s="94"/>
      <c r="HE184" s="94"/>
      <c r="HF184" s="94"/>
      <c r="HG184" s="94"/>
      <c r="HH184" s="94"/>
      <c r="HI184" s="94"/>
      <c r="HJ184" s="94"/>
      <c r="HK184" s="94"/>
      <c r="HL184" s="94"/>
      <c r="HM184" s="94"/>
      <c r="HN184" s="94"/>
      <c r="HO184" s="94"/>
      <c r="HP184" s="94"/>
      <c r="HQ184" s="94"/>
      <c r="HR184" s="94"/>
      <c r="HS184" s="94"/>
      <c r="HT184" s="94"/>
      <c r="HU184" s="94"/>
      <c r="HV184" s="94"/>
      <c r="HW184" s="94"/>
      <c r="HX184" s="94"/>
      <c r="HY184" s="94"/>
      <c r="HZ184" s="94"/>
      <c r="IA184" s="94"/>
      <c r="IB184" s="94"/>
      <c r="IC184" s="94"/>
      <c r="ID184" s="94"/>
      <c r="IE184" s="94"/>
      <c r="IF184" s="94"/>
      <c r="IG184" s="94"/>
      <c r="IH184" s="94"/>
      <c r="II184" s="94"/>
      <c r="IJ184" s="94"/>
      <c r="IK184" s="94"/>
      <c r="IL184" s="94"/>
      <c r="IM184" s="94"/>
      <c r="IN184" s="94"/>
      <c r="IO184" s="94"/>
      <c r="IP184" s="94"/>
      <c r="IQ184" s="94"/>
      <c r="IR184" s="94"/>
      <c r="IS184" s="94"/>
      <c r="IT184" s="94"/>
      <c r="IU184" s="94"/>
      <c r="IV184" s="94"/>
    </row>
    <row r="185" spans="1:256" s="95" customFormat="1" ht="16.95" customHeight="1">
      <c r="A185" s="132"/>
      <c r="B185" s="132"/>
      <c r="C185" s="136"/>
      <c r="D185" s="85">
        <f t="shared" si="7"/>
        <v>0.27272727272727271</v>
      </c>
      <c r="E185" s="98"/>
      <c r="F185" s="99" t="s">
        <v>418</v>
      </c>
      <c r="G185" s="88" t="s">
        <v>66</v>
      </c>
      <c r="H185" s="100">
        <f t="shared" si="9"/>
        <v>4</v>
      </c>
      <c r="I185" s="101">
        <f>IF([2]项目总工作量!B$6="交易类",H185*1.5/22,IF([2]项目总工作量!B$6="数据分析类",H185*1.5*0.9/22,IF([2]项目总工作量!B$6="流程管理类",H185*1.5*0.8/22,IF([2]项目总工作量!B$6="渠道类",H185*1.5*0.7/22,FALSE))))</f>
        <v>0.27272727272727271</v>
      </c>
      <c r="J185" s="88" t="s">
        <v>44</v>
      </c>
      <c r="K185" s="94"/>
      <c r="L185" s="94"/>
      <c r="M185" s="94"/>
      <c r="N185" s="94"/>
      <c r="O185" s="94"/>
      <c r="P185" s="94"/>
      <c r="Q185" s="94"/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  <c r="AI185" s="94"/>
      <c r="AJ185" s="94"/>
      <c r="AK185" s="94"/>
      <c r="AL185" s="94"/>
      <c r="AM185" s="94"/>
      <c r="AN185" s="94"/>
      <c r="AO185" s="94"/>
      <c r="AP185" s="94"/>
      <c r="AQ185" s="94"/>
      <c r="AR185" s="94"/>
      <c r="AS185" s="94"/>
      <c r="AT185" s="94"/>
      <c r="AU185" s="94"/>
      <c r="AV185" s="94"/>
      <c r="AW185" s="94"/>
      <c r="AX185" s="94"/>
      <c r="AY185" s="94"/>
      <c r="AZ185" s="94"/>
      <c r="BA185" s="94"/>
      <c r="BB185" s="94"/>
      <c r="BC185" s="94"/>
      <c r="BD185" s="94"/>
      <c r="BE185" s="94"/>
      <c r="BF185" s="94"/>
      <c r="BG185" s="94"/>
      <c r="BH185" s="94"/>
      <c r="BI185" s="94"/>
      <c r="BJ185" s="94"/>
      <c r="BK185" s="94"/>
      <c r="BL185" s="94"/>
      <c r="BM185" s="94"/>
      <c r="BN185" s="94"/>
      <c r="BO185" s="94"/>
      <c r="BP185" s="94"/>
      <c r="BQ185" s="94"/>
      <c r="BR185" s="94"/>
      <c r="BS185" s="94"/>
      <c r="BT185" s="94"/>
      <c r="BU185" s="94"/>
      <c r="BV185" s="94"/>
      <c r="BW185" s="94"/>
      <c r="BX185" s="94"/>
      <c r="BY185" s="94"/>
      <c r="BZ185" s="94"/>
      <c r="CA185" s="94"/>
      <c r="CB185" s="94"/>
      <c r="CC185" s="94"/>
      <c r="CD185" s="94"/>
      <c r="CE185" s="94"/>
      <c r="CF185" s="94"/>
      <c r="CG185" s="94"/>
      <c r="CH185" s="94"/>
      <c r="CI185" s="94"/>
      <c r="CJ185" s="94"/>
      <c r="CK185" s="94"/>
      <c r="CL185" s="94"/>
      <c r="CM185" s="94"/>
      <c r="CN185" s="94"/>
      <c r="CO185" s="94"/>
      <c r="CP185" s="94"/>
      <c r="CQ185" s="94"/>
      <c r="CR185" s="94"/>
      <c r="CS185" s="94"/>
      <c r="CT185" s="94"/>
      <c r="CU185" s="94"/>
      <c r="CV185" s="94"/>
      <c r="CW185" s="94"/>
      <c r="CX185" s="94"/>
      <c r="CY185" s="94"/>
      <c r="CZ185" s="94"/>
      <c r="DA185" s="94"/>
      <c r="DB185" s="94"/>
      <c r="DC185" s="94"/>
      <c r="DD185" s="94"/>
      <c r="DE185" s="94"/>
      <c r="DF185" s="94"/>
      <c r="DG185" s="94"/>
      <c r="DH185" s="94"/>
      <c r="DI185" s="94"/>
      <c r="DJ185" s="94"/>
      <c r="DK185" s="94"/>
      <c r="DL185" s="94"/>
      <c r="DM185" s="94"/>
      <c r="DN185" s="94"/>
      <c r="DO185" s="94"/>
      <c r="DP185" s="94"/>
      <c r="DQ185" s="94"/>
      <c r="DR185" s="94"/>
      <c r="DS185" s="94"/>
      <c r="DT185" s="94"/>
      <c r="DU185" s="94"/>
      <c r="DV185" s="94"/>
      <c r="DW185" s="94"/>
      <c r="DX185" s="94"/>
      <c r="DY185" s="94"/>
      <c r="DZ185" s="94"/>
      <c r="EA185" s="94"/>
      <c r="EB185" s="94"/>
      <c r="EC185" s="94"/>
      <c r="ED185" s="94"/>
      <c r="EE185" s="94"/>
      <c r="EF185" s="94"/>
      <c r="EG185" s="94"/>
      <c r="EH185" s="94"/>
      <c r="EI185" s="94"/>
      <c r="EJ185" s="94"/>
      <c r="EK185" s="94"/>
      <c r="EL185" s="94"/>
      <c r="EM185" s="94"/>
      <c r="EN185" s="94"/>
      <c r="EO185" s="94"/>
      <c r="EP185" s="94"/>
      <c r="EQ185" s="94"/>
      <c r="ER185" s="94"/>
      <c r="ES185" s="94"/>
      <c r="ET185" s="94"/>
      <c r="EU185" s="94"/>
      <c r="EV185" s="94"/>
      <c r="EW185" s="94"/>
      <c r="EX185" s="94"/>
      <c r="EY185" s="94"/>
      <c r="EZ185" s="94"/>
      <c r="FA185" s="94"/>
      <c r="FB185" s="94"/>
      <c r="FC185" s="94"/>
      <c r="FD185" s="94"/>
      <c r="FE185" s="94"/>
      <c r="FF185" s="94"/>
      <c r="FG185" s="94"/>
      <c r="FH185" s="94"/>
      <c r="FI185" s="94"/>
      <c r="FJ185" s="94"/>
      <c r="FK185" s="94"/>
      <c r="FL185" s="94"/>
      <c r="FM185" s="94"/>
      <c r="FN185" s="94"/>
      <c r="FO185" s="94"/>
      <c r="FP185" s="94"/>
      <c r="FQ185" s="94"/>
      <c r="FR185" s="94"/>
      <c r="FS185" s="94"/>
      <c r="FT185" s="94"/>
      <c r="FU185" s="94"/>
      <c r="FV185" s="94"/>
      <c r="FW185" s="94"/>
      <c r="FX185" s="94"/>
      <c r="FY185" s="94"/>
      <c r="FZ185" s="94"/>
      <c r="GA185" s="94"/>
      <c r="GB185" s="94"/>
      <c r="GC185" s="94"/>
      <c r="GD185" s="94"/>
      <c r="GE185" s="94"/>
      <c r="GF185" s="94"/>
      <c r="GG185" s="94"/>
      <c r="GH185" s="94"/>
      <c r="GI185" s="94"/>
      <c r="GJ185" s="94"/>
      <c r="GK185" s="94"/>
      <c r="GL185" s="94"/>
      <c r="GM185" s="94"/>
      <c r="GN185" s="94"/>
      <c r="GO185" s="94"/>
      <c r="GP185" s="94"/>
      <c r="GQ185" s="94"/>
      <c r="GR185" s="94"/>
      <c r="GS185" s="94"/>
      <c r="GT185" s="94"/>
      <c r="GU185" s="94"/>
      <c r="GV185" s="94"/>
      <c r="GW185" s="94"/>
      <c r="GX185" s="94"/>
      <c r="GY185" s="94"/>
      <c r="GZ185" s="94"/>
      <c r="HA185" s="94"/>
      <c r="HB185" s="94"/>
      <c r="HC185" s="94"/>
      <c r="HD185" s="94"/>
      <c r="HE185" s="94"/>
      <c r="HF185" s="94"/>
      <c r="HG185" s="94"/>
      <c r="HH185" s="94"/>
      <c r="HI185" s="94"/>
      <c r="HJ185" s="94"/>
      <c r="HK185" s="94"/>
      <c r="HL185" s="94"/>
      <c r="HM185" s="94"/>
      <c r="HN185" s="94"/>
      <c r="HO185" s="94"/>
      <c r="HP185" s="94"/>
      <c r="HQ185" s="94"/>
      <c r="HR185" s="94"/>
      <c r="HS185" s="94"/>
      <c r="HT185" s="94"/>
      <c r="HU185" s="94"/>
      <c r="HV185" s="94"/>
      <c r="HW185" s="94"/>
      <c r="HX185" s="94"/>
      <c r="HY185" s="94"/>
      <c r="HZ185" s="94"/>
      <c r="IA185" s="94"/>
      <c r="IB185" s="94"/>
      <c r="IC185" s="94"/>
      <c r="ID185" s="94"/>
      <c r="IE185" s="94"/>
      <c r="IF185" s="94"/>
      <c r="IG185" s="94"/>
      <c r="IH185" s="94"/>
      <c r="II185" s="94"/>
      <c r="IJ185" s="94"/>
      <c r="IK185" s="94"/>
      <c r="IL185" s="94"/>
      <c r="IM185" s="94"/>
      <c r="IN185" s="94"/>
      <c r="IO185" s="94"/>
      <c r="IP185" s="94"/>
      <c r="IQ185" s="94"/>
      <c r="IR185" s="94"/>
      <c r="IS185" s="94"/>
      <c r="IT185" s="94"/>
      <c r="IU185" s="94"/>
      <c r="IV185" s="94"/>
    </row>
    <row r="186" spans="1:256" s="95" customFormat="1" ht="16.95" customHeight="1">
      <c r="A186" s="132"/>
      <c r="B186" s="132"/>
      <c r="C186" s="136"/>
      <c r="D186" s="85">
        <f t="shared" si="7"/>
        <v>0.27272727272727271</v>
      </c>
      <c r="E186" s="98"/>
      <c r="F186" s="99" t="s">
        <v>419</v>
      </c>
      <c r="G186" s="88" t="s">
        <v>66</v>
      </c>
      <c r="H186" s="100">
        <f t="shared" si="9"/>
        <v>4</v>
      </c>
      <c r="I186" s="101">
        <f>IF([2]项目总工作量!B$6="交易类",H186*1.5/22,IF([2]项目总工作量!B$6="数据分析类",H186*1.5*0.9/22,IF([2]项目总工作量!B$6="流程管理类",H186*1.5*0.8/22,IF([2]项目总工作量!B$6="渠道类",H186*1.5*0.7/22,FALSE))))</f>
        <v>0.27272727272727271</v>
      </c>
      <c r="J186" s="88" t="s">
        <v>44</v>
      </c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  <c r="AV186" s="94"/>
      <c r="AW186" s="94"/>
      <c r="AX186" s="94"/>
      <c r="AY186" s="94"/>
      <c r="AZ186" s="94"/>
      <c r="BA186" s="94"/>
      <c r="BB186" s="94"/>
      <c r="BC186" s="94"/>
      <c r="BD186" s="94"/>
      <c r="BE186" s="94"/>
      <c r="BF186" s="94"/>
      <c r="BG186" s="94"/>
      <c r="BH186" s="94"/>
      <c r="BI186" s="94"/>
      <c r="BJ186" s="94"/>
      <c r="BK186" s="94"/>
      <c r="BL186" s="94"/>
      <c r="BM186" s="94"/>
      <c r="BN186" s="94"/>
      <c r="BO186" s="94"/>
      <c r="BP186" s="94"/>
      <c r="BQ186" s="94"/>
      <c r="BR186" s="94"/>
      <c r="BS186" s="94"/>
      <c r="BT186" s="94"/>
      <c r="BU186" s="94"/>
      <c r="BV186" s="94"/>
      <c r="BW186" s="94"/>
      <c r="BX186" s="94"/>
      <c r="BY186" s="94"/>
      <c r="BZ186" s="94"/>
      <c r="CA186" s="94"/>
      <c r="CB186" s="94"/>
      <c r="CC186" s="94"/>
      <c r="CD186" s="94"/>
      <c r="CE186" s="94"/>
      <c r="CF186" s="94"/>
      <c r="CG186" s="94"/>
      <c r="CH186" s="94"/>
      <c r="CI186" s="94"/>
      <c r="CJ186" s="94"/>
      <c r="CK186" s="94"/>
      <c r="CL186" s="94"/>
      <c r="CM186" s="94"/>
      <c r="CN186" s="94"/>
      <c r="CO186" s="94"/>
      <c r="CP186" s="94"/>
      <c r="CQ186" s="94"/>
      <c r="CR186" s="94"/>
      <c r="CS186" s="94"/>
      <c r="CT186" s="94"/>
      <c r="CU186" s="94"/>
      <c r="CV186" s="94"/>
      <c r="CW186" s="94"/>
      <c r="CX186" s="94"/>
      <c r="CY186" s="94"/>
      <c r="CZ186" s="94"/>
      <c r="DA186" s="94"/>
      <c r="DB186" s="94"/>
      <c r="DC186" s="94"/>
      <c r="DD186" s="94"/>
      <c r="DE186" s="94"/>
      <c r="DF186" s="94"/>
      <c r="DG186" s="94"/>
      <c r="DH186" s="94"/>
      <c r="DI186" s="94"/>
      <c r="DJ186" s="94"/>
      <c r="DK186" s="94"/>
      <c r="DL186" s="94"/>
      <c r="DM186" s="94"/>
      <c r="DN186" s="94"/>
      <c r="DO186" s="94"/>
      <c r="DP186" s="94"/>
      <c r="DQ186" s="94"/>
      <c r="DR186" s="94"/>
      <c r="DS186" s="94"/>
      <c r="DT186" s="94"/>
      <c r="DU186" s="94"/>
      <c r="DV186" s="94"/>
      <c r="DW186" s="94"/>
      <c r="DX186" s="94"/>
      <c r="DY186" s="94"/>
      <c r="DZ186" s="94"/>
      <c r="EA186" s="94"/>
      <c r="EB186" s="94"/>
      <c r="EC186" s="94"/>
      <c r="ED186" s="94"/>
      <c r="EE186" s="94"/>
      <c r="EF186" s="94"/>
      <c r="EG186" s="94"/>
      <c r="EH186" s="94"/>
      <c r="EI186" s="94"/>
      <c r="EJ186" s="94"/>
      <c r="EK186" s="94"/>
      <c r="EL186" s="94"/>
      <c r="EM186" s="94"/>
      <c r="EN186" s="94"/>
      <c r="EO186" s="94"/>
      <c r="EP186" s="94"/>
      <c r="EQ186" s="94"/>
      <c r="ER186" s="94"/>
      <c r="ES186" s="94"/>
      <c r="ET186" s="94"/>
      <c r="EU186" s="94"/>
      <c r="EV186" s="94"/>
      <c r="EW186" s="94"/>
      <c r="EX186" s="94"/>
      <c r="EY186" s="94"/>
      <c r="EZ186" s="94"/>
      <c r="FA186" s="94"/>
      <c r="FB186" s="94"/>
      <c r="FC186" s="94"/>
      <c r="FD186" s="94"/>
      <c r="FE186" s="94"/>
      <c r="FF186" s="94"/>
      <c r="FG186" s="94"/>
      <c r="FH186" s="94"/>
      <c r="FI186" s="94"/>
      <c r="FJ186" s="94"/>
      <c r="FK186" s="94"/>
      <c r="FL186" s="94"/>
      <c r="FM186" s="94"/>
      <c r="FN186" s="94"/>
      <c r="FO186" s="94"/>
      <c r="FP186" s="94"/>
      <c r="FQ186" s="94"/>
      <c r="FR186" s="94"/>
      <c r="FS186" s="94"/>
      <c r="FT186" s="94"/>
      <c r="FU186" s="94"/>
      <c r="FV186" s="94"/>
      <c r="FW186" s="94"/>
      <c r="FX186" s="94"/>
      <c r="FY186" s="94"/>
      <c r="FZ186" s="94"/>
      <c r="GA186" s="94"/>
      <c r="GB186" s="94"/>
      <c r="GC186" s="94"/>
      <c r="GD186" s="94"/>
      <c r="GE186" s="94"/>
      <c r="GF186" s="94"/>
      <c r="GG186" s="94"/>
      <c r="GH186" s="94"/>
      <c r="GI186" s="94"/>
      <c r="GJ186" s="94"/>
      <c r="GK186" s="94"/>
      <c r="GL186" s="94"/>
      <c r="GM186" s="94"/>
      <c r="GN186" s="94"/>
      <c r="GO186" s="94"/>
      <c r="GP186" s="94"/>
      <c r="GQ186" s="94"/>
      <c r="GR186" s="94"/>
      <c r="GS186" s="94"/>
      <c r="GT186" s="94"/>
      <c r="GU186" s="94"/>
      <c r="GV186" s="94"/>
      <c r="GW186" s="94"/>
      <c r="GX186" s="94"/>
      <c r="GY186" s="94"/>
      <c r="GZ186" s="94"/>
      <c r="HA186" s="94"/>
      <c r="HB186" s="94"/>
      <c r="HC186" s="94"/>
      <c r="HD186" s="94"/>
      <c r="HE186" s="94"/>
      <c r="HF186" s="94"/>
      <c r="HG186" s="94"/>
      <c r="HH186" s="94"/>
      <c r="HI186" s="94"/>
      <c r="HJ186" s="94"/>
      <c r="HK186" s="94"/>
      <c r="HL186" s="94"/>
      <c r="HM186" s="94"/>
      <c r="HN186" s="94"/>
      <c r="HO186" s="94"/>
      <c r="HP186" s="94"/>
      <c r="HQ186" s="94"/>
      <c r="HR186" s="94"/>
      <c r="HS186" s="94"/>
      <c r="HT186" s="94"/>
      <c r="HU186" s="94"/>
      <c r="HV186" s="94"/>
      <c r="HW186" s="94"/>
      <c r="HX186" s="94"/>
      <c r="HY186" s="94"/>
      <c r="HZ186" s="94"/>
      <c r="IA186" s="94"/>
      <c r="IB186" s="94"/>
      <c r="IC186" s="94"/>
      <c r="ID186" s="94"/>
      <c r="IE186" s="94"/>
      <c r="IF186" s="94"/>
      <c r="IG186" s="94"/>
      <c r="IH186" s="94"/>
      <c r="II186" s="94"/>
      <c r="IJ186" s="94"/>
      <c r="IK186" s="94"/>
      <c r="IL186" s="94"/>
      <c r="IM186" s="94"/>
      <c r="IN186" s="94"/>
      <c r="IO186" s="94"/>
      <c r="IP186" s="94"/>
      <c r="IQ186" s="94"/>
      <c r="IR186" s="94"/>
      <c r="IS186" s="94"/>
      <c r="IT186" s="94"/>
      <c r="IU186" s="94"/>
      <c r="IV186" s="94"/>
    </row>
    <row r="187" spans="1:256" s="95" customFormat="1" ht="16.95" customHeight="1">
      <c r="A187" s="132"/>
      <c r="B187" s="132"/>
      <c r="C187" s="136"/>
      <c r="D187" s="85">
        <f t="shared" si="7"/>
        <v>0.27272727272727271</v>
      </c>
      <c r="E187" s="98"/>
      <c r="F187" s="99" t="s">
        <v>420</v>
      </c>
      <c r="G187" s="88" t="s">
        <v>66</v>
      </c>
      <c r="H187" s="100">
        <f t="shared" si="9"/>
        <v>4</v>
      </c>
      <c r="I187" s="101">
        <f>IF([2]项目总工作量!B$6="交易类",H187*1.5/22,IF([2]项目总工作量!B$6="数据分析类",H187*1.5*0.9/22,IF([2]项目总工作量!B$6="流程管理类",H187*1.5*0.8/22,IF([2]项目总工作量!B$6="渠道类",H187*1.5*0.7/22,FALSE))))</f>
        <v>0.27272727272727271</v>
      </c>
      <c r="J187" s="88" t="s">
        <v>44</v>
      </c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  <c r="AV187" s="94"/>
      <c r="AW187" s="94"/>
      <c r="AX187" s="94"/>
      <c r="AY187" s="94"/>
      <c r="AZ187" s="94"/>
      <c r="BA187" s="94"/>
      <c r="BB187" s="94"/>
      <c r="BC187" s="94"/>
      <c r="BD187" s="94"/>
      <c r="BE187" s="94"/>
      <c r="BF187" s="94"/>
      <c r="BG187" s="94"/>
      <c r="BH187" s="94"/>
      <c r="BI187" s="94"/>
      <c r="BJ187" s="94"/>
      <c r="BK187" s="94"/>
      <c r="BL187" s="94"/>
      <c r="BM187" s="94"/>
      <c r="BN187" s="94"/>
      <c r="BO187" s="94"/>
      <c r="BP187" s="94"/>
      <c r="BQ187" s="94"/>
      <c r="BR187" s="94"/>
      <c r="BS187" s="94"/>
      <c r="BT187" s="94"/>
      <c r="BU187" s="94"/>
      <c r="BV187" s="94"/>
      <c r="BW187" s="94"/>
      <c r="BX187" s="94"/>
      <c r="BY187" s="94"/>
      <c r="BZ187" s="94"/>
      <c r="CA187" s="94"/>
      <c r="CB187" s="94"/>
      <c r="CC187" s="94"/>
      <c r="CD187" s="94"/>
      <c r="CE187" s="94"/>
      <c r="CF187" s="94"/>
      <c r="CG187" s="94"/>
      <c r="CH187" s="94"/>
      <c r="CI187" s="94"/>
      <c r="CJ187" s="94"/>
      <c r="CK187" s="94"/>
      <c r="CL187" s="94"/>
      <c r="CM187" s="94"/>
      <c r="CN187" s="94"/>
      <c r="CO187" s="94"/>
      <c r="CP187" s="94"/>
      <c r="CQ187" s="94"/>
      <c r="CR187" s="94"/>
      <c r="CS187" s="94"/>
      <c r="CT187" s="94"/>
      <c r="CU187" s="94"/>
      <c r="CV187" s="94"/>
      <c r="CW187" s="94"/>
      <c r="CX187" s="94"/>
      <c r="CY187" s="94"/>
      <c r="CZ187" s="94"/>
      <c r="DA187" s="94"/>
      <c r="DB187" s="94"/>
      <c r="DC187" s="94"/>
      <c r="DD187" s="94"/>
      <c r="DE187" s="94"/>
      <c r="DF187" s="94"/>
      <c r="DG187" s="94"/>
      <c r="DH187" s="94"/>
      <c r="DI187" s="94"/>
      <c r="DJ187" s="94"/>
      <c r="DK187" s="94"/>
      <c r="DL187" s="94"/>
      <c r="DM187" s="94"/>
      <c r="DN187" s="94"/>
      <c r="DO187" s="94"/>
      <c r="DP187" s="94"/>
      <c r="DQ187" s="94"/>
      <c r="DR187" s="94"/>
      <c r="DS187" s="94"/>
      <c r="DT187" s="94"/>
      <c r="DU187" s="94"/>
      <c r="DV187" s="94"/>
      <c r="DW187" s="94"/>
      <c r="DX187" s="94"/>
      <c r="DY187" s="94"/>
      <c r="DZ187" s="94"/>
      <c r="EA187" s="94"/>
      <c r="EB187" s="94"/>
      <c r="EC187" s="94"/>
      <c r="ED187" s="94"/>
      <c r="EE187" s="94"/>
      <c r="EF187" s="94"/>
      <c r="EG187" s="94"/>
      <c r="EH187" s="94"/>
      <c r="EI187" s="94"/>
      <c r="EJ187" s="94"/>
      <c r="EK187" s="94"/>
      <c r="EL187" s="94"/>
      <c r="EM187" s="94"/>
      <c r="EN187" s="94"/>
      <c r="EO187" s="94"/>
      <c r="EP187" s="94"/>
      <c r="EQ187" s="94"/>
      <c r="ER187" s="94"/>
      <c r="ES187" s="94"/>
      <c r="ET187" s="94"/>
      <c r="EU187" s="94"/>
      <c r="EV187" s="94"/>
      <c r="EW187" s="94"/>
      <c r="EX187" s="94"/>
      <c r="EY187" s="94"/>
      <c r="EZ187" s="94"/>
      <c r="FA187" s="94"/>
      <c r="FB187" s="94"/>
      <c r="FC187" s="94"/>
      <c r="FD187" s="94"/>
      <c r="FE187" s="94"/>
      <c r="FF187" s="94"/>
      <c r="FG187" s="94"/>
      <c r="FH187" s="94"/>
      <c r="FI187" s="94"/>
      <c r="FJ187" s="94"/>
      <c r="FK187" s="94"/>
      <c r="FL187" s="94"/>
      <c r="FM187" s="94"/>
      <c r="FN187" s="94"/>
      <c r="FO187" s="94"/>
      <c r="FP187" s="94"/>
      <c r="FQ187" s="94"/>
      <c r="FR187" s="94"/>
      <c r="FS187" s="94"/>
      <c r="FT187" s="94"/>
      <c r="FU187" s="94"/>
      <c r="FV187" s="94"/>
      <c r="FW187" s="94"/>
      <c r="FX187" s="94"/>
      <c r="FY187" s="94"/>
      <c r="FZ187" s="94"/>
      <c r="GA187" s="94"/>
      <c r="GB187" s="94"/>
      <c r="GC187" s="94"/>
      <c r="GD187" s="94"/>
      <c r="GE187" s="94"/>
      <c r="GF187" s="94"/>
      <c r="GG187" s="94"/>
      <c r="GH187" s="94"/>
      <c r="GI187" s="94"/>
      <c r="GJ187" s="94"/>
      <c r="GK187" s="94"/>
      <c r="GL187" s="94"/>
      <c r="GM187" s="94"/>
      <c r="GN187" s="94"/>
      <c r="GO187" s="94"/>
      <c r="GP187" s="94"/>
      <c r="GQ187" s="94"/>
      <c r="GR187" s="94"/>
      <c r="GS187" s="94"/>
      <c r="GT187" s="94"/>
      <c r="GU187" s="94"/>
      <c r="GV187" s="94"/>
      <c r="GW187" s="94"/>
      <c r="GX187" s="94"/>
      <c r="GY187" s="94"/>
      <c r="GZ187" s="94"/>
      <c r="HA187" s="94"/>
      <c r="HB187" s="94"/>
      <c r="HC187" s="94"/>
      <c r="HD187" s="94"/>
      <c r="HE187" s="94"/>
      <c r="HF187" s="94"/>
      <c r="HG187" s="94"/>
      <c r="HH187" s="94"/>
      <c r="HI187" s="94"/>
      <c r="HJ187" s="94"/>
      <c r="HK187" s="94"/>
      <c r="HL187" s="94"/>
      <c r="HM187" s="94"/>
      <c r="HN187" s="94"/>
      <c r="HO187" s="94"/>
      <c r="HP187" s="94"/>
      <c r="HQ187" s="94"/>
      <c r="HR187" s="94"/>
      <c r="HS187" s="94"/>
      <c r="HT187" s="94"/>
      <c r="HU187" s="94"/>
      <c r="HV187" s="94"/>
      <c r="HW187" s="94"/>
      <c r="HX187" s="94"/>
      <c r="HY187" s="94"/>
      <c r="HZ187" s="94"/>
      <c r="IA187" s="94"/>
      <c r="IB187" s="94"/>
      <c r="IC187" s="94"/>
      <c r="ID187" s="94"/>
      <c r="IE187" s="94"/>
      <c r="IF187" s="94"/>
      <c r="IG187" s="94"/>
      <c r="IH187" s="94"/>
      <c r="II187" s="94"/>
      <c r="IJ187" s="94"/>
      <c r="IK187" s="94"/>
      <c r="IL187" s="94"/>
      <c r="IM187" s="94"/>
      <c r="IN187" s="94"/>
      <c r="IO187" s="94"/>
      <c r="IP187" s="94"/>
      <c r="IQ187" s="94"/>
      <c r="IR187" s="94"/>
      <c r="IS187" s="94"/>
      <c r="IT187" s="94"/>
      <c r="IU187" s="94"/>
      <c r="IV187" s="94"/>
    </row>
    <row r="188" spans="1:256" s="95" customFormat="1" ht="16.95" customHeight="1">
      <c r="A188" s="132"/>
      <c r="B188" s="132"/>
      <c r="C188" s="136"/>
      <c r="D188" s="85">
        <f t="shared" si="7"/>
        <v>0.27272727272727271</v>
      </c>
      <c r="E188" s="98"/>
      <c r="F188" s="99" t="s">
        <v>421</v>
      </c>
      <c r="G188" s="88" t="s">
        <v>66</v>
      </c>
      <c r="H188" s="100">
        <f t="shared" si="9"/>
        <v>4</v>
      </c>
      <c r="I188" s="101">
        <f>IF([2]项目总工作量!B$6="交易类",H188*1.5/22,IF([2]项目总工作量!B$6="数据分析类",H188*1.5*0.9/22,IF([2]项目总工作量!B$6="流程管理类",H188*1.5*0.8/22,IF([2]项目总工作量!B$6="渠道类",H188*1.5*0.7/22,FALSE))))</f>
        <v>0.27272727272727271</v>
      </c>
      <c r="J188" s="88" t="s">
        <v>44</v>
      </c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  <c r="AI188" s="94"/>
      <c r="AJ188" s="94"/>
      <c r="AK188" s="94"/>
      <c r="AL188" s="94"/>
      <c r="AM188" s="94"/>
      <c r="AN188" s="94"/>
      <c r="AO188" s="94"/>
      <c r="AP188" s="94"/>
      <c r="AQ188" s="94"/>
      <c r="AR188" s="94"/>
      <c r="AS188" s="94"/>
      <c r="AT188" s="94"/>
      <c r="AU188" s="94"/>
      <c r="AV188" s="94"/>
      <c r="AW188" s="94"/>
      <c r="AX188" s="94"/>
      <c r="AY188" s="94"/>
      <c r="AZ188" s="94"/>
      <c r="BA188" s="94"/>
      <c r="BB188" s="94"/>
      <c r="BC188" s="94"/>
      <c r="BD188" s="94"/>
      <c r="BE188" s="94"/>
      <c r="BF188" s="94"/>
      <c r="BG188" s="94"/>
      <c r="BH188" s="94"/>
      <c r="BI188" s="94"/>
      <c r="BJ188" s="94"/>
      <c r="BK188" s="94"/>
      <c r="BL188" s="94"/>
      <c r="BM188" s="94"/>
      <c r="BN188" s="94"/>
      <c r="BO188" s="94"/>
      <c r="BP188" s="94"/>
      <c r="BQ188" s="94"/>
      <c r="BR188" s="94"/>
      <c r="BS188" s="94"/>
      <c r="BT188" s="94"/>
      <c r="BU188" s="94"/>
      <c r="BV188" s="94"/>
      <c r="BW188" s="94"/>
      <c r="BX188" s="94"/>
      <c r="BY188" s="94"/>
      <c r="BZ188" s="94"/>
      <c r="CA188" s="94"/>
      <c r="CB188" s="94"/>
      <c r="CC188" s="94"/>
      <c r="CD188" s="94"/>
      <c r="CE188" s="94"/>
      <c r="CF188" s="94"/>
      <c r="CG188" s="94"/>
      <c r="CH188" s="94"/>
      <c r="CI188" s="94"/>
      <c r="CJ188" s="94"/>
      <c r="CK188" s="94"/>
      <c r="CL188" s="94"/>
      <c r="CM188" s="94"/>
      <c r="CN188" s="94"/>
      <c r="CO188" s="94"/>
      <c r="CP188" s="94"/>
      <c r="CQ188" s="94"/>
      <c r="CR188" s="94"/>
      <c r="CS188" s="94"/>
      <c r="CT188" s="94"/>
      <c r="CU188" s="94"/>
      <c r="CV188" s="94"/>
      <c r="CW188" s="94"/>
      <c r="CX188" s="94"/>
      <c r="CY188" s="94"/>
      <c r="CZ188" s="94"/>
      <c r="DA188" s="94"/>
      <c r="DB188" s="94"/>
      <c r="DC188" s="94"/>
      <c r="DD188" s="94"/>
      <c r="DE188" s="94"/>
      <c r="DF188" s="94"/>
      <c r="DG188" s="94"/>
      <c r="DH188" s="94"/>
      <c r="DI188" s="94"/>
      <c r="DJ188" s="94"/>
      <c r="DK188" s="94"/>
      <c r="DL188" s="94"/>
      <c r="DM188" s="94"/>
      <c r="DN188" s="94"/>
      <c r="DO188" s="94"/>
      <c r="DP188" s="94"/>
      <c r="DQ188" s="94"/>
      <c r="DR188" s="94"/>
      <c r="DS188" s="94"/>
      <c r="DT188" s="94"/>
      <c r="DU188" s="94"/>
      <c r="DV188" s="94"/>
      <c r="DW188" s="94"/>
      <c r="DX188" s="94"/>
      <c r="DY188" s="94"/>
      <c r="DZ188" s="94"/>
      <c r="EA188" s="94"/>
      <c r="EB188" s="94"/>
      <c r="EC188" s="94"/>
      <c r="ED188" s="94"/>
      <c r="EE188" s="94"/>
      <c r="EF188" s="94"/>
      <c r="EG188" s="94"/>
      <c r="EH188" s="94"/>
      <c r="EI188" s="94"/>
      <c r="EJ188" s="94"/>
      <c r="EK188" s="94"/>
      <c r="EL188" s="94"/>
      <c r="EM188" s="94"/>
      <c r="EN188" s="94"/>
      <c r="EO188" s="94"/>
      <c r="EP188" s="94"/>
      <c r="EQ188" s="94"/>
      <c r="ER188" s="94"/>
      <c r="ES188" s="94"/>
      <c r="ET188" s="94"/>
      <c r="EU188" s="94"/>
      <c r="EV188" s="94"/>
      <c r="EW188" s="94"/>
      <c r="EX188" s="94"/>
      <c r="EY188" s="94"/>
      <c r="EZ188" s="94"/>
      <c r="FA188" s="94"/>
      <c r="FB188" s="94"/>
      <c r="FC188" s="94"/>
      <c r="FD188" s="94"/>
      <c r="FE188" s="94"/>
      <c r="FF188" s="94"/>
      <c r="FG188" s="94"/>
      <c r="FH188" s="94"/>
      <c r="FI188" s="94"/>
      <c r="FJ188" s="94"/>
      <c r="FK188" s="94"/>
      <c r="FL188" s="94"/>
      <c r="FM188" s="94"/>
      <c r="FN188" s="94"/>
      <c r="FO188" s="94"/>
      <c r="FP188" s="94"/>
      <c r="FQ188" s="94"/>
      <c r="FR188" s="94"/>
      <c r="FS188" s="94"/>
      <c r="FT188" s="94"/>
      <c r="FU188" s="94"/>
      <c r="FV188" s="94"/>
      <c r="FW188" s="94"/>
      <c r="FX188" s="94"/>
      <c r="FY188" s="94"/>
      <c r="FZ188" s="94"/>
      <c r="GA188" s="94"/>
      <c r="GB188" s="94"/>
      <c r="GC188" s="94"/>
      <c r="GD188" s="94"/>
      <c r="GE188" s="94"/>
      <c r="GF188" s="94"/>
      <c r="GG188" s="94"/>
      <c r="GH188" s="94"/>
      <c r="GI188" s="94"/>
      <c r="GJ188" s="94"/>
      <c r="GK188" s="94"/>
      <c r="GL188" s="94"/>
      <c r="GM188" s="94"/>
      <c r="GN188" s="94"/>
      <c r="GO188" s="94"/>
      <c r="GP188" s="94"/>
      <c r="GQ188" s="94"/>
      <c r="GR188" s="94"/>
      <c r="GS188" s="94"/>
      <c r="GT188" s="94"/>
      <c r="GU188" s="94"/>
      <c r="GV188" s="94"/>
      <c r="GW188" s="94"/>
      <c r="GX188" s="94"/>
      <c r="GY188" s="94"/>
      <c r="GZ188" s="94"/>
      <c r="HA188" s="94"/>
      <c r="HB188" s="94"/>
      <c r="HC188" s="94"/>
      <c r="HD188" s="94"/>
      <c r="HE188" s="94"/>
      <c r="HF188" s="94"/>
      <c r="HG188" s="94"/>
      <c r="HH188" s="94"/>
      <c r="HI188" s="94"/>
      <c r="HJ188" s="94"/>
      <c r="HK188" s="94"/>
      <c r="HL188" s="94"/>
      <c r="HM188" s="94"/>
      <c r="HN188" s="94"/>
      <c r="HO188" s="94"/>
      <c r="HP188" s="94"/>
      <c r="HQ188" s="94"/>
      <c r="HR188" s="94"/>
      <c r="HS188" s="94"/>
      <c r="HT188" s="94"/>
      <c r="HU188" s="94"/>
      <c r="HV188" s="94"/>
      <c r="HW188" s="94"/>
      <c r="HX188" s="94"/>
      <c r="HY188" s="94"/>
      <c r="HZ188" s="94"/>
      <c r="IA188" s="94"/>
      <c r="IB188" s="94"/>
      <c r="IC188" s="94"/>
      <c r="ID188" s="94"/>
      <c r="IE188" s="94"/>
      <c r="IF188" s="94"/>
      <c r="IG188" s="94"/>
      <c r="IH188" s="94"/>
      <c r="II188" s="94"/>
      <c r="IJ188" s="94"/>
      <c r="IK188" s="94"/>
      <c r="IL188" s="94"/>
      <c r="IM188" s="94"/>
      <c r="IN188" s="94"/>
      <c r="IO188" s="94"/>
      <c r="IP188" s="94"/>
      <c r="IQ188" s="94"/>
      <c r="IR188" s="94"/>
      <c r="IS188" s="94"/>
      <c r="IT188" s="94"/>
      <c r="IU188" s="94"/>
      <c r="IV188" s="94"/>
    </row>
    <row r="189" spans="1:256" s="95" customFormat="1" ht="16.95" customHeight="1">
      <c r="A189" s="132"/>
      <c r="B189" s="132"/>
      <c r="C189" s="136"/>
      <c r="D189" s="85">
        <f t="shared" si="7"/>
        <v>0.27272727272727271</v>
      </c>
      <c r="E189" s="98"/>
      <c r="F189" s="99" t="s">
        <v>422</v>
      </c>
      <c r="G189" s="88" t="s">
        <v>66</v>
      </c>
      <c r="H189" s="100">
        <f t="shared" si="9"/>
        <v>4</v>
      </c>
      <c r="I189" s="101">
        <f>IF([2]项目总工作量!B$6="交易类",H189*1.5/22,IF([2]项目总工作量!B$6="数据分析类",H189*1.5*0.9/22,IF([2]项目总工作量!B$6="流程管理类",H189*1.5*0.8/22,IF([2]项目总工作量!B$6="渠道类",H189*1.5*0.7/22,FALSE))))</f>
        <v>0.27272727272727271</v>
      </c>
      <c r="J189" s="88" t="s">
        <v>44</v>
      </c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  <c r="AV189" s="94"/>
      <c r="AW189" s="94"/>
      <c r="AX189" s="94"/>
      <c r="AY189" s="94"/>
      <c r="AZ189" s="94"/>
      <c r="BA189" s="94"/>
      <c r="BB189" s="94"/>
      <c r="BC189" s="94"/>
      <c r="BD189" s="94"/>
      <c r="BE189" s="94"/>
      <c r="BF189" s="94"/>
      <c r="BG189" s="94"/>
      <c r="BH189" s="94"/>
      <c r="BI189" s="94"/>
      <c r="BJ189" s="94"/>
      <c r="BK189" s="94"/>
      <c r="BL189" s="94"/>
      <c r="BM189" s="94"/>
      <c r="BN189" s="94"/>
      <c r="BO189" s="94"/>
      <c r="BP189" s="94"/>
      <c r="BQ189" s="94"/>
      <c r="BR189" s="94"/>
      <c r="BS189" s="94"/>
      <c r="BT189" s="94"/>
      <c r="BU189" s="94"/>
      <c r="BV189" s="94"/>
      <c r="BW189" s="94"/>
      <c r="BX189" s="94"/>
      <c r="BY189" s="94"/>
      <c r="BZ189" s="94"/>
      <c r="CA189" s="94"/>
      <c r="CB189" s="94"/>
      <c r="CC189" s="94"/>
      <c r="CD189" s="94"/>
      <c r="CE189" s="94"/>
      <c r="CF189" s="94"/>
      <c r="CG189" s="94"/>
      <c r="CH189" s="94"/>
      <c r="CI189" s="94"/>
      <c r="CJ189" s="94"/>
      <c r="CK189" s="94"/>
      <c r="CL189" s="94"/>
      <c r="CM189" s="94"/>
      <c r="CN189" s="94"/>
      <c r="CO189" s="94"/>
      <c r="CP189" s="94"/>
      <c r="CQ189" s="94"/>
      <c r="CR189" s="94"/>
      <c r="CS189" s="94"/>
      <c r="CT189" s="94"/>
      <c r="CU189" s="94"/>
      <c r="CV189" s="94"/>
      <c r="CW189" s="94"/>
      <c r="CX189" s="94"/>
      <c r="CY189" s="94"/>
      <c r="CZ189" s="94"/>
      <c r="DA189" s="94"/>
      <c r="DB189" s="94"/>
      <c r="DC189" s="94"/>
      <c r="DD189" s="94"/>
      <c r="DE189" s="94"/>
      <c r="DF189" s="94"/>
      <c r="DG189" s="94"/>
      <c r="DH189" s="94"/>
      <c r="DI189" s="94"/>
      <c r="DJ189" s="94"/>
      <c r="DK189" s="94"/>
      <c r="DL189" s="94"/>
      <c r="DM189" s="94"/>
      <c r="DN189" s="94"/>
      <c r="DO189" s="94"/>
      <c r="DP189" s="94"/>
      <c r="DQ189" s="94"/>
      <c r="DR189" s="94"/>
      <c r="DS189" s="94"/>
      <c r="DT189" s="94"/>
      <c r="DU189" s="94"/>
      <c r="DV189" s="94"/>
      <c r="DW189" s="94"/>
      <c r="DX189" s="94"/>
      <c r="DY189" s="94"/>
      <c r="DZ189" s="94"/>
      <c r="EA189" s="94"/>
      <c r="EB189" s="94"/>
      <c r="EC189" s="94"/>
      <c r="ED189" s="94"/>
      <c r="EE189" s="94"/>
      <c r="EF189" s="94"/>
      <c r="EG189" s="94"/>
      <c r="EH189" s="94"/>
      <c r="EI189" s="94"/>
      <c r="EJ189" s="94"/>
      <c r="EK189" s="94"/>
      <c r="EL189" s="94"/>
      <c r="EM189" s="94"/>
      <c r="EN189" s="94"/>
      <c r="EO189" s="94"/>
      <c r="EP189" s="94"/>
      <c r="EQ189" s="94"/>
      <c r="ER189" s="94"/>
      <c r="ES189" s="94"/>
      <c r="ET189" s="94"/>
      <c r="EU189" s="94"/>
      <c r="EV189" s="94"/>
      <c r="EW189" s="94"/>
      <c r="EX189" s="94"/>
      <c r="EY189" s="94"/>
      <c r="EZ189" s="94"/>
      <c r="FA189" s="94"/>
      <c r="FB189" s="94"/>
      <c r="FC189" s="94"/>
      <c r="FD189" s="94"/>
      <c r="FE189" s="94"/>
      <c r="FF189" s="94"/>
      <c r="FG189" s="94"/>
      <c r="FH189" s="94"/>
      <c r="FI189" s="94"/>
      <c r="FJ189" s="94"/>
      <c r="FK189" s="94"/>
      <c r="FL189" s="94"/>
      <c r="FM189" s="94"/>
      <c r="FN189" s="94"/>
      <c r="FO189" s="94"/>
      <c r="FP189" s="94"/>
      <c r="FQ189" s="94"/>
      <c r="FR189" s="94"/>
      <c r="FS189" s="94"/>
      <c r="FT189" s="94"/>
      <c r="FU189" s="94"/>
      <c r="FV189" s="94"/>
      <c r="FW189" s="94"/>
      <c r="FX189" s="94"/>
      <c r="FY189" s="94"/>
      <c r="FZ189" s="94"/>
      <c r="GA189" s="94"/>
      <c r="GB189" s="94"/>
      <c r="GC189" s="94"/>
      <c r="GD189" s="94"/>
      <c r="GE189" s="94"/>
      <c r="GF189" s="94"/>
      <c r="GG189" s="94"/>
      <c r="GH189" s="94"/>
      <c r="GI189" s="94"/>
      <c r="GJ189" s="94"/>
      <c r="GK189" s="94"/>
      <c r="GL189" s="94"/>
      <c r="GM189" s="94"/>
      <c r="GN189" s="94"/>
      <c r="GO189" s="94"/>
      <c r="GP189" s="94"/>
      <c r="GQ189" s="94"/>
      <c r="GR189" s="94"/>
      <c r="GS189" s="94"/>
      <c r="GT189" s="94"/>
      <c r="GU189" s="94"/>
      <c r="GV189" s="94"/>
      <c r="GW189" s="94"/>
      <c r="GX189" s="94"/>
      <c r="GY189" s="94"/>
      <c r="GZ189" s="94"/>
      <c r="HA189" s="94"/>
      <c r="HB189" s="94"/>
      <c r="HC189" s="94"/>
      <c r="HD189" s="94"/>
      <c r="HE189" s="94"/>
      <c r="HF189" s="94"/>
      <c r="HG189" s="94"/>
      <c r="HH189" s="94"/>
      <c r="HI189" s="94"/>
      <c r="HJ189" s="94"/>
      <c r="HK189" s="94"/>
      <c r="HL189" s="94"/>
      <c r="HM189" s="94"/>
      <c r="HN189" s="94"/>
      <c r="HO189" s="94"/>
      <c r="HP189" s="94"/>
      <c r="HQ189" s="94"/>
      <c r="HR189" s="94"/>
      <c r="HS189" s="94"/>
      <c r="HT189" s="94"/>
      <c r="HU189" s="94"/>
      <c r="HV189" s="94"/>
      <c r="HW189" s="94"/>
      <c r="HX189" s="94"/>
      <c r="HY189" s="94"/>
      <c r="HZ189" s="94"/>
      <c r="IA189" s="94"/>
      <c r="IB189" s="94"/>
      <c r="IC189" s="94"/>
      <c r="ID189" s="94"/>
      <c r="IE189" s="94"/>
      <c r="IF189" s="94"/>
      <c r="IG189" s="94"/>
      <c r="IH189" s="94"/>
      <c r="II189" s="94"/>
      <c r="IJ189" s="94"/>
      <c r="IK189" s="94"/>
      <c r="IL189" s="94"/>
      <c r="IM189" s="94"/>
      <c r="IN189" s="94"/>
      <c r="IO189" s="94"/>
      <c r="IP189" s="94"/>
      <c r="IQ189" s="94"/>
      <c r="IR189" s="94"/>
      <c r="IS189" s="94"/>
      <c r="IT189" s="94"/>
      <c r="IU189" s="94"/>
      <c r="IV189" s="94"/>
    </row>
    <row r="190" spans="1:256" s="95" customFormat="1" ht="16.95" customHeight="1">
      <c r="A190" s="132"/>
      <c r="B190" s="132"/>
      <c r="C190" s="136"/>
      <c r="D190" s="85">
        <f t="shared" si="7"/>
        <v>0.27272727272727271</v>
      </c>
      <c r="E190" s="98"/>
      <c r="F190" s="99" t="s">
        <v>423</v>
      </c>
      <c r="G190" s="88" t="s">
        <v>66</v>
      </c>
      <c r="H190" s="100">
        <f t="shared" si="9"/>
        <v>4</v>
      </c>
      <c r="I190" s="101">
        <f>IF([2]项目总工作量!B$6="交易类",H190*1.5/22,IF([2]项目总工作量!B$6="数据分析类",H190*1.5*0.9/22,IF([2]项目总工作量!B$6="流程管理类",H190*1.5*0.8/22,IF([2]项目总工作量!B$6="渠道类",H190*1.5*0.7/22,FALSE))))</f>
        <v>0.27272727272727271</v>
      </c>
      <c r="J190" s="88" t="s">
        <v>44</v>
      </c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  <c r="AI190" s="94"/>
      <c r="AJ190" s="94"/>
      <c r="AK190" s="94"/>
      <c r="AL190" s="94"/>
      <c r="AM190" s="94"/>
      <c r="AN190" s="94"/>
      <c r="AO190" s="94"/>
      <c r="AP190" s="94"/>
      <c r="AQ190" s="94"/>
      <c r="AR190" s="94"/>
      <c r="AS190" s="94"/>
      <c r="AT190" s="94"/>
      <c r="AU190" s="94"/>
      <c r="AV190" s="94"/>
      <c r="AW190" s="94"/>
      <c r="AX190" s="94"/>
      <c r="AY190" s="94"/>
      <c r="AZ190" s="94"/>
      <c r="BA190" s="94"/>
      <c r="BB190" s="94"/>
      <c r="BC190" s="94"/>
      <c r="BD190" s="94"/>
      <c r="BE190" s="94"/>
      <c r="BF190" s="94"/>
      <c r="BG190" s="94"/>
      <c r="BH190" s="94"/>
      <c r="BI190" s="94"/>
      <c r="BJ190" s="94"/>
      <c r="BK190" s="94"/>
      <c r="BL190" s="94"/>
      <c r="BM190" s="94"/>
      <c r="BN190" s="94"/>
      <c r="BO190" s="94"/>
      <c r="BP190" s="94"/>
      <c r="BQ190" s="94"/>
      <c r="BR190" s="94"/>
      <c r="BS190" s="94"/>
      <c r="BT190" s="94"/>
      <c r="BU190" s="94"/>
      <c r="BV190" s="94"/>
      <c r="BW190" s="94"/>
      <c r="BX190" s="94"/>
      <c r="BY190" s="94"/>
      <c r="BZ190" s="94"/>
      <c r="CA190" s="94"/>
      <c r="CB190" s="94"/>
      <c r="CC190" s="94"/>
      <c r="CD190" s="94"/>
      <c r="CE190" s="94"/>
      <c r="CF190" s="94"/>
      <c r="CG190" s="94"/>
      <c r="CH190" s="94"/>
      <c r="CI190" s="94"/>
      <c r="CJ190" s="94"/>
      <c r="CK190" s="94"/>
      <c r="CL190" s="94"/>
      <c r="CM190" s="94"/>
      <c r="CN190" s="94"/>
      <c r="CO190" s="94"/>
      <c r="CP190" s="94"/>
      <c r="CQ190" s="94"/>
      <c r="CR190" s="94"/>
      <c r="CS190" s="94"/>
      <c r="CT190" s="94"/>
      <c r="CU190" s="94"/>
      <c r="CV190" s="94"/>
      <c r="CW190" s="94"/>
      <c r="CX190" s="94"/>
      <c r="CY190" s="94"/>
      <c r="CZ190" s="94"/>
      <c r="DA190" s="94"/>
      <c r="DB190" s="94"/>
      <c r="DC190" s="94"/>
      <c r="DD190" s="94"/>
      <c r="DE190" s="94"/>
      <c r="DF190" s="94"/>
      <c r="DG190" s="94"/>
      <c r="DH190" s="94"/>
      <c r="DI190" s="94"/>
      <c r="DJ190" s="94"/>
      <c r="DK190" s="94"/>
      <c r="DL190" s="94"/>
      <c r="DM190" s="94"/>
      <c r="DN190" s="94"/>
      <c r="DO190" s="94"/>
      <c r="DP190" s="94"/>
      <c r="DQ190" s="94"/>
      <c r="DR190" s="94"/>
      <c r="DS190" s="94"/>
      <c r="DT190" s="94"/>
      <c r="DU190" s="94"/>
      <c r="DV190" s="94"/>
      <c r="DW190" s="94"/>
      <c r="DX190" s="94"/>
      <c r="DY190" s="94"/>
      <c r="DZ190" s="94"/>
      <c r="EA190" s="94"/>
      <c r="EB190" s="94"/>
      <c r="EC190" s="94"/>
      <c r="ED190" s="94"/>
      <c r="EE190" s="94"/>
      <c r="EF190" s="94"/>
      <c r="EG190" s="94"/>
      <c r="EH190" s="94"/>
      <c r="EI190" s="94"/>
      <c r="EJ190" s="94"/>
      <c r="EK190" s="94"/>
      <c r="EL190" s="94"/>
      <c r="EM190" s="94"/>
      <c r="EN190" s="94"/>
      <c r="EO190" s="94"/>
      <c r="EP190" s="94"/>
      <c r="EQ190" s="94"/>
      <c r="ER190" s="94"/>
      <c r="ES190" s="94"/>
      <c r="ET190" s="94"/>
      <c r="EU190" s="94"/>
      <c r="EV190" s="94"/>
      <c r="EW190" s="94"/>
      <c r="EX190" s="94"/>
      <c r="EY190" s="94"/>
      <c r="EZ190" s="94"/>
      <c r="FA190" s="94"/>
      <c r="FB190" s="94"/>
      <c r="FC190" s="94"/>
      <c r="FD190" s="94"/>
      <c r="FE190" s="94"/>
      <c r="FF190" s="94"/>
      <c r="FG190" s="94"/>
      <c r="FH190" s="94"/>
      <c r="FI190" s="94"/>
      <c r="FJ190" s="94"/>
      <c r="FK190" s="94"/>
      <c r="FL190" s="94"/>
      <c r="FM190" s="94"/>
      <c r="FN190" s="94"/>
      <c r="FO190" s="94"/>
      <c r="FP190" s="94"/>
      <c r="FQ190" s="94"/>
      <c r="FR190" s="94"/>
      <c r="FS190" s="94"/>
      <c r="FT190" s="94"/>
      <c r="FU190" s="94"/>
      <c r="FV190" s="94"/>
      <c r="FW190" s="94"/>
      <c r="FX190" s="94"/>
      <c r="FY190" s="94"/>
      <c r="FZ190" s="94"/>
      <c r="GA190" s="94"/>
      <c r="GB190" s="94"/>
      <c r="GC190" s="94"/>
      <c r="GD190" s="94"/>
      <c r="GE190" s="94"/>
      <c r="GF190" s="94"/>
      <c r="GG190" s="94"/>
      <c r="GH190" s="94"/>
      <c r="GI190" s="94"/>
      <c r="GJ190" s="94"/>
      <c r="GK190" s="94"/>
      <c r="GL190" s="94"/>
      <c r="GM190" s="94"/>
      <c r="GN190" s="94"/>
      <c r="GO190" s="94"/>
      <c r="GP190" s="94"/>
      <c r="GQ190" s="94"/>
      <c r="GR190" s="94"/>
      <c r="GS190" s="94"/>
      <c r="GT190" s="94"/>
      <c r="GU190" s="94"/>
      <c r="GV190" s="94"/>
      <c r="GW190" s="94"/>
      <c r="GX190" s="94"/>
      <c r="GY190" s="94"/>
      <c r="GZ190" s="94"/>
      <c r="HA190" s="94"/>
      <c r="HB190" s="94"/>
      <c r="HC190" s="94"/>
      <c r="HD190" s="94"/>
      <c r="HE190" s="94"/>
      <c r="HF190" s="94"/>
      <c r="HG190" s="94"/>
      <c r="HH190" s="94"/>
      <c r="HI190" s="94"/>
      <c r="HJ190" s="94"/>
      <c r="HK190" s="94"/>
      <c r="HL190" s="94"/>
      <c r="HM190" s="94"/>
      <c r="HN190" s="94"/>
      <c r="HO190" s="94"/>
      <c r="HP190" s="94"/>
      <c r="HQ190" s="94"/>
      <c r="HR190" s="94"/>
      <c r="HS190" s="94"/>
      <c r="HT190" s="94"/>
      <c r="HU190" s="94"/>
      <c r="HV190" s="94"/>
      <c r="HW190" s="94"/>
      <c r="HX190" s="94"/>
      <c r="HY190" s="94"/>
      <c r="HZ190" s="94"/>
      <c r="IA190" s="94"/>
      <c r="IB190" s="94"/>
      <c r="IC190" s="94"/>
      <c r="ID190" s="94"/>
      <c r="IE190" s="94"/>
      <c r="IF190" s="94"/>
      <c r="IG190" s="94"/>
      <c r="IH190" s="94"/>
      <c r="II190" s="94"/>
      <c r="IJ190" s="94"/>
      <c r="IK190" s="94"/>
      <c r="IL190" s="94"/>
      <c r="IM190" s="94"/>
      <c r="IN190" s="94"/>
      <c r="IO190" s="94"/>
      <c r="IP190" s="94"/>
      <c r="IQ190" s="94"/>
      <c r="IR190" s="94"/>
      <c r="IS190" s="94"/>
      <c r="IT190" s="94"/>
      <c r="IU190" s="94"/>
      <c r="IV190" s="94"/>
    </row>
    <row r="191" spans="1:256" s="95" customFormat="1" ht="16.95" customHeight="1">
      <c r="A191" s="132"/>
      <c r="B191" s="132"/>
      <c r="C191" s="136"/>
      <c r="D191" s="85">
        <f t="shared" ref="D191:D254" si="10">I191</f>
        <v>0.27272727272727271</v>
      </c>
      <c r="E191" s="98"/>
      <c r="F191" s="99" t="s">
        <v>424</v>
      </c>
      <c r="G191" s="88" t="s">
        <v>66</v>
      </c>
      <c r="H191" s="100">
        <f t="shared" si="9"/>
        <v>4</v>
      </c>
      <c r="I191" s="101">
        <f>IF([2]项目总工作量!B$6="交易类",H191*1.5/22,IF([2]项目总工作量!B$6="数据分析类",H191*1.5*0.9/22,IF([2]项目总工作量!B$6="流程管理类",H191*1.5*0.8/22,IF([2]项目总工作量!B$6="渠道类",H191*1.5*0.7/22,FALSE))))</f>
        <v>0.27272727272727271</v>
      </c>
      <c r="J191" s="88" t="s">
        <v>44</v>
      </c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  <c r="AI191" s="94"/>
      <c r="AJ191" s="94"/>
      <c r="AK191" s="94"/>
      <c r="AL191" s="94"/>
      <c r="AM191" s="94"/>
      <c r="AN191" s="94"/>
      <c r="AO191" s="94"/>
      <c r="AP191" s="94"/>
      <c r="AQ191" s="94"/>
      <c r="AR191" s="94"/>
      <c r="AS191" s="94"/>
      <c r="AT191" s="94"/>
      <c r="AU191" s="94"/>
      <c r="AV191" s="94"/>
      <c r="AW191" s="94"/>
      <c r="AX191" s="94"/>
      <c r="AY191" s="94"/>
      <c r="AZ191" s="94"/>
      <c r="BA191" s="94"/>
      <c r="BB191" s="94"/>
      <c r="BC191" s="94"/>
      <c r="BD191" s="94"/>
      <c r="BE191" s="94"/>
      <c r="BF191" s="94"/>
      <c r="BG191" s="94"/>
      <c r="BH191" s="94"/>
      <c r="BI191" s="94"/>
      <c r="BJ191" s="94"/>
      <c r="BK191" s="94"/>
      <c r="BL191" s="94"/>
      <c r="BM191" s="94"/>
      <c r="BN191" s="94"/>
      <c r="BO191" s="94"/>
      <c r="BP191" s="94"/>
      <c r="BQ191" s="94"/>
      <c r="BR191" s="94"/>
      <c r="BS191" s="94"/>
      <c r="BT191" s="94"/>
      <c r="BU191" s="94"/>
      <c r="BV191" s="94"/>
      <c r="BW191" s="94"/>
      <c r="BX191" s="94"/>
      <c r="BY191" s="94"/>
      <c r="BZ191" s="94"/>
      <c r="CA191" s="94"/>
      <c r="CB191" s="94"/>
      <c r="CC191" s="94"/>
      <c r="CD191" s="94"/>
      <c r="CE191" s="94"/>
      <c r="CF191" s="94"/>
      <c r="CG191" s="94"/>
      <c r="CH191" s="94"/>
      <c r="CI191" s="94"/>
      <c r="CJ191" s="94"/>
      <c r="CK191" s="94"/>
      <c r="CL191" s="94"/>
      <c r="CM191" s="94"/>
      <c r="CN191" s="94"/>
      <c r="CO191" s="94"/>
      <c r="CP191" s="94"/>
      <c r="CQ191" s="94"/>
      <c r="CR191" s="94"/>
      <c r="CS191" s="94"/>
      <c r="CT191" s="94"/>
      <c r="CU191" s="94"/>
      <c r="CV191" s="94"/>
      <c r="CW191" s="94"/>
      <c r="CX191" s="94"/>
      <c r="CY191" s="94"/>
      <c r="CZ191" s="94"/>
      <c r="DA191" s="94"/>
      <c r="DB191" s="94"/>
      <c r="DC191" s="94"/>
      <c r="DD191" s="94"/>
      <c r="DE191" s="94"/>
      <c r="DF191" s="94"/>
      <c r="DG191" s="94"/>
      <c r="DH191" s="94"/>
      <c r="DI191" s="94"/>
      <c r="DJ191" s="94"/>
      <c r="DK191" s="94"/>
      <c r="DL191" s="94"/>
      <c r="DM191" s="94"/>
      <c r="DN191" s="94"/>
      <c r="DO191" s="94"/>
      <c r="DP191" s="94"/>
      <c r="DQ191" s="94"/>
      <c r="DR191" s="94"/>
      <c r="DS191" s="94"/>
      <c r="DT191" s="94"/>
      <c r="DU191" s="94"/>
      <c r="DV191" s="94"/>
      <c r="DW191" s="94"/>
      <c r="DX191" s="94"/>
      <c r="DY191" s="94"/>
      <c r="DZ191" s="94"/>
      <c r="EA191" s="94"/>
      <c r="EB191" s="94"/>
      <c r="EC191" s="94"/>
      <c r="ED191" s="94"/>
      <c r="EE191" s="94"/>
      <c r="EF191" s="94"/>
      <c r="EG191" s="94"/>
      <c r="EH191" s="94"/>
      <c r="EI191" s="94"/>
      <c r="EJ191" s="94"/>
      <c r="EK191" s="94"/>
      <c r="EL191" s="94"/>
      <c r="EM191" s="94"/>
      <c r="EN191" s="94"/>
      <c r="EO191" s="94"/>
      <c r="EP191" s="94"/>
      <c r="EQ191" s="94"/>
      <c r="ER191" s="94"/>
      <c r="ES191" s="94"/>
      <c r="ET191" s="94"/>
      <c r="EU191" s="94"/>
      <c r="EV191" s="94"/>
      <c r="EW191" s="94"/>
      <c r="EX191" s="94"/>
      <c r="EY191" s="94"/>
      <c r="EZ191" s="94"/>
      <c r="FA191" s="94"/>
      <c r="FB191" s="94"/>
      <c r="FC191" s="94"/>
      <c r="FD191" s="94"/>
      <c r="FE191" s="94"/>
      <c r="FF191" s="94"/>
      <c r="FG191" s="94"/>
      <c r="FH191" s="94"/>
      <c r="FI191" s="94"/>
      <c r="FJ191" s="94"/>
      <c r="FK191" s="94"/>
      <c r="FL191" s="94"/>
      <c r="FM191" s="94"/>
      <c r="FN191" s="94"/>
      <c r="FO191" s="94"/>
      <c r="FP191" s="94"/>
      <c r="FQ191" s="94"/>
      <c r="FR191" s="94"/>
      <c r="FS191" s="94"/>
      <c r="FT191" s="94"/>
      <c r="FU191" s="94"/>
      <c r="FV191" s="94"/>
      <c r="FW191" s="94"/>
      <c r="FX191" s="94"/>
      <c r="FY191" s="94"/>
      <c r="FZ191" s="94"/>
      <c r="GA191" s="94"/>
      <c r="GB191" s="94"/>
      <c r="GC191" s="94"/>
      <c r="GD191" s="94"/>
      <c r="GE191" s="94"/>
      <c r="GF191" s="94"/>
      <c r="GG191" s="94"/>
      <c r="GH191" s="94"/>
      <c r="GI191" s="94"/>
      <c r="GJ191" s="94"/>
      <c r="GK191" s="94"/>
      <c r="GL191" s="94"/>
      <c r="GM191" s="94"/>
      <c r="GN191" s="94"/>
      <c r="GO191" s="94"/>
      <c r="GP191" s="94"/>
      <c r="GQ191" s="94"/>
      <c r="GR191" s="94"/>
      <c r="GS191" s="94"/>
      <c r="GT191" s="94"/>
      <c r="GU191" s="94"/>
      <c r="GV191" s="94"/>
      <c r="GW191" s="94"/>
      <c r="GX191" s="94"/>
      <c r="GY191" s="94"/>
      <c r="GZ191" s="94"/>
      <c r="HA191" s="94"/>
      <c r="HB191" s="94"/>
      <c r="HC191" s="94"/>
      <c r="HD191" s="94"/>
      <c r="HE191" s="94"/>
      <c r="HF191" s="94"/>
      <c r="HG191" s="94"/>
      <c r="HH191" s="94"/>
      <c r="HI191" s="94"/>
      <c r="HJ191" s="94"/>
      <c r="HK191" s="94"/>
      <c r="HL191" s="94"/>
      <c r="HM191" s="94"/>
      <c r="HN191" s="94"/>
      <c r="HO191" s="94"/>
      <c r="HP191" s="94"/>
      <c r="HQ191" s="94"/>
      <c r="HR191" s="94"/>
      <c r="HS191" s="94"/>
      <c r="HT191" s="94"/>
      <c r="HU191" s="94"/>
      <c r="HV191" s="94"/>
      <c r="HW191" s="94"/>
      <c r="HX191" s="94"/>
      <c r="HY191" s="94"/>
      <c r="HZ191" s="94"/>
      <c r="IA191" s="94"/>
      <c r="IB191" s="94"/>
      <c r="IC191" s="94"/>
      <c r="ID191" s="94"/>
      <c r="IE191" s="94"/>
      <c r="IF191" s="94"/>
      <c r="IG191" s="94"/>
      <c r="IH191" s="94"/>
      <c r="II191" s="94"/>
      <c r="IJ191" s="94"/>
      <c r="IK191" s="94"/>
      <c r="IL191" s="94"/>
      <c r="IM191" s="94"/>
      <c r="IN191" s="94"/>
      <c r="IO191" s="94"/>
      <c r="IP191" s="94"/>
      <c r="IQ191" s="94"/>
      <c r="IR191" s="94"/>
      <c r="IS191" s="94"/>
      <c r="IT191" s="94"/>
      <c r="IU191" s="94"/>
      <c r="IV191" s="94"/>
    </row>
    <row r="192" spans="1:256" s="95" customFormat="1" ht="16.95" customHeight="1">
      <c r="A192" s="132"/>
      <c r="B192" s="132"/>
      <c r="C192" s="136"/>
      <c r="D192" s="85">
        <f t="shared" si="10"/>
        <v>0.27272727272727271</v>
      </c>
      <c r="E192" s="98"/>
      <c r="F192" s="99" t="s">
        <v>425</v>
      </c>
      <c r="G192" s="88" t="s">
        <v>66</v>
      </c>
      <c r="H192" s="100">
        <f t="shared" si="9"/>
        <v>4</v>
      </c>
      <c r="I192" s="101">
        <f>IF([2]项目总工作量!B$6="交易类",H192*1.5/22,IF([2]项目总工作量!B$6="数据分析类",H192*1.5*0.9/22,IF([2]项目总工作量!B$6="流程管理类",H192*1.5*0.8/22,IF([2]项目总工作量!B$6="渠道类",H192*1.5*0.7/22,FALSE))))</f>
        <v>0.27272727272727271</v>
      </c>
      <c r="J192" s="88" t="s">
        <v>44</v>
      </c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  <c r="AI192" s="94"/>
      <c r="AJ192" s="94"/>
      <c r="AK192" s="94"/>
      <c r="AL192" s="94"/>
      <c r="AM192" s="94"/>
      <c r="AN192" s="94"/>
      <c r="AO192" s="94"/>
      <c r="AP192" s="94"/>
      <c r="AQ192" s="94"/>
      <c r="AR192" s="94"/>
      <c r="AS192" s="94"/>
      <c r="AT192" s="94"/>
      <c r="AU192" s="94"/>
      <c r="AV192" s="94"/>
      <c r="AW192" s="94"/>
      <c r="AX192" s="94"/>
      <c r="AY192" s="94"/>
      <c r="AZ192" s="94"/>
      <c r="BA192" s="94"/>
      <c r="BB192" s="94"/>
      <c r="BC192" s="94"/>
      <c r="BD192" s="94"/>
      <c r="BE192" s="94"/>
      <c r="BF192" s="94"/>
      <c r="BG192" s="94"/>
      <c r="BH192" s="94"/>
      <c r="BI192" s="94"/>
      <c r="BJ192" s="94"/>
      <c r="BK192" s="94"/>
      <c r="BL192" s="94"/>
      <c r="BM192" s="94"/>
      <c r="BN192" s="94"/>
      <c r="BO192" s="94"/>
      <c r="BP192" s="94"/>
      <c r="BQ192" s="94"/>
      <c r="BR192" s="94"/>
      <c r="BS192" s="94"/>
      <c r="BT192" s="94"/>
      <c r="BU192" s="94"/>
      <c r="BV192" s="94"/>
      <c r="BW192" s="94"/>
      <c r="BX192" s="94"/>
      <c r="BY192" s="94"/>
      <c r="BZ192" s="94"/>
      <c r="CA192" s="94"/>
      <c r="CB192" s="94"/>
      <c r="CC192" s="94"/>
      <c r="CD192" s="94"/>
      <c r="CE192" s="94"/>
      <c r="CF192" s="94"/>
      <c r="CG192" s="94"/>
      <c r="CH192" s="94"/>
      <c r="CI192" s="94"/>
      <c r="CJ192" s="94"/>
      <c r="CK192" s="94"/>
      <c r="CL192" s="94"/>
      <c r="CM192" s="94"/>
      <c r="CN192" s="94"/>
      <c r="CO192" s="94"/>
      <c r="CP192" s="94"/>
      <c r="CQ192" s="94"/>
      <c r="CR192" s="94"/>
      <c r="CS192" s="94"/>
      <c r="CT192" s="94"/>
      <c r="CU192" s="94"/>
      <c r="CV192" s="94"/>
      <c r="CW192" s="94"/>
      <c r="CX192" s="94"/>
      <c r="CY192" s="94"/>
      <c r="CZ192" s="94"/>
      <c r="DA192" s="94"/>
      <c r="DB192" s="94"/>
      <c r="DC192" s="94"/>
      <c r="DD192" s="94"/>
      <c r="DE192" s="94"/>
      <c r="DF192" s="94"/>
      <c r="DG192" s="94"/>
      <c r="DH192" s="94"/>
      <c r="DI192" s="94"/>
      <c r="DJ192" s="94"/>
      <c r="DK192" s="94"/>
      <c r="DL192" s="94"/>
      <c r="DM192" s="94"/>
      <c r="DN192" s="94"/>
      <c r="DO192" s="94"/>
      <c r="DP192" s="94"/>
      <c r="DQ192" s="94"/>
      <c r="DR192" s="94"/>
      <c r="DS192" s="94"/>
      <c r="DT192" s="94"/>
      <c r="DU192" s="94"/>
      <c r="DV192" s="94"/>
      <c r="DW192" s="94"/>
      <c r="DX192" s="94"/>
      <c r="DY192" s="94"/>
      <c r="DZ192" s="94"/>
      <c r="EA192" s="94"/>
      <c r="EB192" s="94"/>
      <c r="EC192" s="94"/>
      <c r="ED192" s="94"/>
      <c r="EE192" s="94"/>
      <c r="EF192" s="94"/>
      <c r="EG192" s="94"/>
      <c r="EH192" s="94"/>
      <c r="EI192" s="94"/>
      <c r="EJ192" s="94"/>
      <c r="EK192" s="94"/>
      <c r="EL192" s="94"/>
      <c r="EM192" s="94"/>
      <c r="EN192" s="94"/>
      <c r="EO192" s="94"/>
      <c r="EP192" s="94"/>
      <c r="EQ192" s="94"/>
      <c r="ER192" s="94"/>
      <c r="ES192" s="94"/>
      <c r="ET192" s="94"/>
      <c r="EU192" s="94"/>
      <c r="EV192" s="94"/>
      <c r="EW192" s="94"/>
      <c r="EX192" s="94"/>
      <c r="EY192" s="94"/>
      <c r="EZ192" s="94"/>
      <c r="FA192" s="94"/>
      <c r="FB192" s="94"/>
      <c r="FC192" s="94"/>
      <c r="FD192" s="94"/>
      <c r="FE192" s="94"/>
      <c r="FF192" s="94"/>
      <c r="FG192" s="94"/>
      <c r="FH192" s="94"/>
      <c r="FI192" s="94"/>
      <c r="FJ192" s="94"/>
      <c r="FK192" s="94"/>
      <c r="FL192" s="94"/>
      <c r="FM192" s="94"/>
      <c r="FN192" s="94"/>
      <c r="FO192" s="94"/>
      <c r="FP192" s="94"/>
      <c r="FQ192" s="94"/>
      <c r="FR192" s="94"/>
      <c r="FS192" s="94"/>
      <c r="FT192" s="94"/>
      <c r="FU192" s="94"/>
      <c r="FV192" s="94"/>
      <c r="FW192" s="94"/>
      <c r="FX192" s="94"/>
      <c r="FY192" s="94"/>
      <c r="FZ192" s="94"/>
      <c r="GA192" s="94"/>
      <c r="GB192" s="94"/>
      <c r="GC192" s="94"/>
      <c r="GD192" s="94"/>
      <c r="GE192" s="94"/>
      <c r="GF192" s="94"/>
      <c r="GG192" s="94"/>
      <c r="GH192" s="94"/>
      <c r="GI192" s="94"/>
      <c r="GJ192" s="94"/>
      <c r="GK192" s="94"/>
      <c r="GL192" s="94"/>
      <c r="GM192" s="94"/>
      <c r="GN192" s="94"/>
      <c r="GO192" s="94"/>
      <c r="GP192" s="94"/>
      <c r="GQ192" s="94"/>
      <c r="GR192" s="94"/>
      <c r="GS192" s="94"/>
      <c r="GT192" s="94"/>
      <c r="GU192" s="94"/>
      <c r="GV192" s="94"/>
      <c r="GW192" s="94"/>
      <c r="GX192" s="94"/>
      <c r="GY192" s="94"/>
      <c r="GZ192" s="94"/>
      <c r="HA192" s="94"/>
      <c r="HB192" s="94"/>
      <c r="HC192" s="94"/>
      <c r="HD192" s="94"/>
      <c r="HE192" s="94"/>
      <c r="HF192" s="94"/>
      <c r="HG192" s="94"/>
      <c r="HH192" s="94"/>
      <c r="HI192" s="94"/>
      <c r="HJ192" s="94"/>
      <c r="HK192" s="94"/>
      <c r="HL192" s="94"/>
      <c r="HM192" s="94"/>
      <c r="HN192" s="94"/>
      <c r="HO192" s="94"/>
      <c r="HP192" s="94"/>
      <c r="HQ192" s="94"/>
      <c r="HR192" s="94"/>
      <c r="HS192" s="94"/>
      <c r="HT192" s="94"/>
      <c r="HU192" s="94"/>
      <c r="HV192" s="94"/>
      <c r="HW192" s="94"/>
      <c r="HX192" s="94"/>
      <c r="HY192" s="94"/>
      <c r="HZ192" s="94"/>
      <c r="IA192" s="94"/>
      <c r="IB192" s="94"/>
      <c r="IC192" s="94"/>
      <c r="ID192" s="94"/>
      <c r="IE192" s="94"/>
      <c r="IF192" s="94"/>
      <c r="IG192" s="94"/>
      <c r="IH192" s="94"/>
      <c r="II192" s="94"/>
      <c r="IJ192" s="94"/>
      <c r="IK192" s="94"/>
      <c r="IL192" s="94"/>
      <c r="IM192" s="94"/>
      <c r="IN192" s="94"/>
      <c r="IO192" s="94"/>
      <c r="IP192" s="94"/>
      <c r="IQ192" s="94"/>
      <c r="IR192" s="94"/>
      <c r="IS192" s="94"/>
      <c r="IT192" s="94"/>
      <c r="IU192" s="94"/>
      <c r="IV192" s="94"/>
    </row>
    <row r="193" spans="1:256" s="95" customFormat="1" ht="16.95" customHeight="1">
      <c r="A193" s="132"/>
      <c r="B193" s="132"/>
      <c r="C193" s="136"/>
      <c r="D193" s="85">
        <f t="shared" si="10"/>
        <v>0.27272727272727271</v>
      </c>
      <c r="E193" s="98"/>
      <c r="F193" s="99" t="s">
        <v>426</v>
      </c>
      <c r="G193" s="88" t="s">
        <v>66</v>
      </c>
      <c r="H193" s="100">
        <f t="shared" si="9"/>
        <v>4</v>
      </c>
      <c r="I193" s="101">
        <f>IF([2]项目总工作量!B$6="交易类",H193*1.5/22,IF([2]项目总工作量!B$6="数据分析类",H193*1.5*0.9/22,IF([2]项目总工作量!B$6="流程管理类",H193*1.5*0.8/22,IF([2]项目总工作量!B$6="渠道类",H193*1.5*0.7/22,FALSE))))</f>
        <v>0.27272727272727271</v>
      </c>
      <c r="J193" s="88" t="s">
        <v>44</v>
      </c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  <c r="AV193" s="94"/>
      <c r="AW193" s="94"/>
      <c r="AX193" s="94"/>
      <c r="AY193" s="94"/>
      <c r="AZ193" s="94"/>
      <c r="BA193" s="94"/>
      <c r="BB193" s="94"/>
      <c r="BC193" s="94"/>
      <c r="BD193" s="94"/>
      <c r="BE193" s="94"/>
      <c r="BF193" s="94"/>
      <c r="BG193" s="94"/>
      <c r="BH193" s="94"/>
      <c r="BI193" s="94"/>
      <c r="BJ193" s="94"/>
      <c r="BK193" s="94"/>
      <c r="BL193" s="94"/>
      <c r="BM193" s="94"/>
      <c r="BN193" s="94"/>
      <c r="BO193" s="94"/>
      <c r="BP193" s="94"/>
      <c r="BQ193" s="94"/>
      <c r="BR193" s="94"/>
      <c r="BS193" s="94"/>
      <c r="BT193" s="94"/>
      <c r="BU193" s="94"/>
      <c r="BV193" s="94"/>
      <c r="BW193" s="94"/>
      <c r="BX193" s="94"/>
      <c r="BY193" s="94"/>
      <c r="BZ193" s="94"/>
      <c r="CA193" s="94"/>
      <c r="CB193" s="94"/>
      <c r="CC193" s="94"/>
      <c r="CD193" s="94"/>
      <c r="CE193" s="94"/>
      <c r="CF193" s="94"/>
      <c r="CG193" s="94"/>
      <c r="CH193" s="94"/>
      <c r="CI193" s="94"/>
      <c r="CJ193" s="94"/>
      <c r="CK193" s="94"/>
      <c r="CL193" s="94"/>
      <c r="CM193" s="94"/>
      <c r="CN193" s="94"/>
      <c r="CO193" s="94"/>
      <c r="CP193" s="94"/>
      <c r="CQ193" s="94"/>
      <c r="CR193" s="94"/>
      <c r="CS193" s="94"/>
      <c r="CT193" s="94"/>
      <c r="CU193" s="94"/>
      <c r="CV193" s="94"/>
      <c r="CW193" s="94"/>
      <c r="CX193" s="94"/>
      <c r="CY193" s="94"/>
      <c r="CZ193" s="94"/>
      <c r="DA193" s="94"/>
      <c r="DB193" s="94"/>
      <c r="DC193" s="94"/>
      <c r="DD193" s="94"/>
      <c r="DE193" s="94"/>
      <c r="DF193" s="94"/>
      <c r="DG193" s="94"/>
      <c r="DH193" s="94"/>
      <c r="DI193" s="94"/>
      <c r="DJ193" s="94"/>
      <c r="DK193" s="94"/>
      <c r="DL193" s="94"/>
      <c r="DM193" s="94"/>
      <c r="DN193" s="94"/>
      <c r="DO193" s="94"/>
      <c r="DP193" s="94"/>
      <c r="DQ193" s="94"/>
      <c r="DR193" s="94"/>
      <c r="DS193" s="94"/>
      <c r="DT193" s="94"/>
      <c r="DU193" s="94"/>
      <c r="DV193" s="94"/>
      <c r="DW193" s="94"/>
      <c r="DX193" s="94"/>
      <c r="DY193" s="94"/>
      <c r="DZ193" s="94"/>
      <c r="EA193" s="94"/>
      <c r="EB193" s="94"/>
      <c r="EC193" s="94"/>
      <c r="ED193" s="94"/>
      <c r="EE193" s="94"/>
      <c r="EF193" s="94"/>
      <c r="EG193" s="94"/>
      <c r="EH193" s="94"/>
      <c r="EI193" s="94"/>
      <c r="EJ193" s="94"/>
      <c r="EK193" s="94"/>
      <c r="EL193" s="94"/>
      <c r="EM193" s="94"/>
      <c r="EN193" s="94"/>
      <c r="EO193" s="94"/>
      <c r="EP193" s="94"/>
      <c r="EQ193" s="94"/>
      <c r="ER193" s="94"/>
      <c r="ES193" s="94"/>
      <c r="ET193" s="94"/>
      <c r="EU193" s="94"/>
      <c r="EV193" s="94"/>
      <c r="EW193" s="94"/>
      <c r="EX193" s="94"/>
      <c r="EY193" s="94"/>
      <c r="EZ193" s="94"/>
      <c r="FA193" s="94"/>
      <c r="FB193" s="94"/>
      <c r="FC193" s="94"/>
      <c r="FD193" s="94"/>
      <c r="FE193" s="94"/>
      <c r="FF193" s="94"/>
      <c r="FG193" s="94"/>
      <c r="FH193" s="94"/>
      <c r="FI193" s="94"/>
      <c r="FJ193" s="94"/>
      <c r="FK193" s="94"/>
      <c r="FL193" s="94"/>
      <c r="FM193" s="94"/>
      <c r="FN193" s="94"/>
      <c r="FO193" s="94"/>
      <c r="FP193" s="94"/>
      <c r="FQ193" s="94"/>
      <c r="FR193" s="94"/>
      <c r="FS193" s="94"/>
      <c r="FT193" s="94"/>
      <c r="FU193" s="94"/>
      <c r="FV193" s="94"/>
      <c r="FW193" s="94"/>
      <c r="FX193" s="94"/>
      <c r="FY193" s="94"/>
      <c r="FZ193" s="94"/>
      <c r="GA193" s="94"/>
      <c r="GB193" s="94"/>
      <c r="GC193" s="94"/>
      <c r="GD193" s="94"/>
      <c r="GE193" s="94"/>
      <c r="GF193" s="94"/>
      <c r="GG193" s="94"/>
      <c r="GH193" s="94"/>
      <c r="GI193" s="94"/>
      <c r="GJ193" s="94"/>
      <c r="GK193" s="94"/>
      <c r="GL193" s="94"/>
      <c r="GM193" s="94"/>
      <c r="GN193" s="94"/>
      <c r="GO193" s="94"/>
      <c r="GP193" s="94"/>
      <c r="GQ193" s="94"/>
      <c r="GR193" s="94"/>
      <c r="GS193" s="94"/>
      <c r="GT193" s="94"/>
      <c r="GU193" s="94"/>
      <c r="GV193" s="94"/>
      <c r="GW193" s="94"/>
      <c r="GX193" s="94"/>
      <c r="GY193" s="94"/>
      <c r="GZ193" s="94"/>
      <c r="HA193" s="94"/>
      <c r="HB193" s="94"/>
      <c r="HC193" s="94"/>
      <c r="HD193" s="94"/>
      <c r="HE193" s="94"/>
      <c r="HF193" s="94"/>
      <c r="HG193" s="94"/>
      <c r="HH193" s="94"/>
      <c r="HI193" s="94"/>
      <c r="HJ193" s="94"/>
      <c r="HK193" s="94"/>
      <c r="HL193" s="94"/>
      <c r="HM193" s="94"/>
      <c r="HN193" s="94"/>
      <c r="HO193" s="94"/>
      <c r="HP193" s="94"/>
      <c r="HQ193" s="94"/>
      <c r="HR193" s="94"/>
      <c r="HS193" s="94"/>
      <c r="HT193" s="94"/>
      <c r="HU193" s="94"/>
      <c r="HV193" s="94"/>
      <c r="HW193" s="94"/>
      <c r="HX193" s="94"/>
      <c r="HY193" s="94"/>
      <c r="HZ193" s="94"/>
      <c r="IA193" s="94"/>
      <c r="IB193" s="94"/>
      <c r="IC193" s="94"/>
      <c r="ID193" s="94"/>
      <c r="IE193" s="94"/>
      <c r="IF193" s="94"/>
      <c r="IG193" s="94"/>
      <c r="IH193" s="94"/>
      <c r="II193" s="94"/>
      <c r="IJ193" s="94"/>
      <c r="IK193" s="94"/>
      <c r="IL193" s="94"/>
      <c r="IM193" s="94"/>
      <c r="IN193" s="94"/>
      <c r="IO193" s="94"/>
      <c r="IP193" s="94"/>
      <c r="IQ193" s="94"/>
      <c r="IR193" s="94"/>
      <c r="IS193" s="94"/>
      <c r="IT193" s="94"/>
      <c r="IU193" s="94"/>
      <c r="IV193" s="94"/>
    </row>
    <row r="194" spans="1:256" s="95" customFormat="1" ht="16.95" customHeight="1">
      <c r="A194" s="132"/>
      <c r="B194" s="132"/>
      <c r="C194" s="136"/>
      <c r="D194" s="85">
        <f t="shared" si="10"/>
        <v>0.27272727272727271</v>
      </c>
      <c r="E194" s="98"/>
      <c r="F194" s="99" t="s">
        <v>427</v>
      </c>
      <c r="G194" s="88" t="s">
        <v>66</v>
      </c>
      <c r="H194" s="100">
        <f t="shared" si="9"/>
        <v>4</v>
      </c>
      <c r="I194" s="101">
        <f>IF([2]项目总工作量!B$6="交易类",H194*1.5/22,IF([2]项目总工作量!B$6="数据分析类",H194*1.5*0.9/22,IF([2]项目总工作量!B$6="流程管理类",H194*1.5*0.8/22,IF([2]项目总工作量!B$6="渠道类",H194*1.5*0.7/22,FALSE))))</f>
        <v>0.27272727272727271</v>
      </c>
      <c r="J194" s="88" t="s">
        <v>44</v>
      </c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  <c r="AI194" s="94"/>
      <c r="AJ194" s="94"/>
      <c r="AK194" s="94"/>
      <c r="AL194" s="94"/>
      <c r="AM194" s="94"/>
      <c r="AN194" s="94"/>
      <c r="AO194" s="94"/>
      <c r="AP194" s="94"/>
      <c r="AQ194" s="94"/>
      <c r="AR194" s="94"/>
      <c r="AS194" s="94"/>
      <c r="AT194" s="94"/>
      <c r="AU194" s="94"/>
      <c r="AV194" s="94"/>
      <c r="AW194" s="94"/>
      <c r="AX194" s="94"/>
      <c r="AY194" s="94"/>
      <c r="AZ194" s="94"/>
      <c r="BA194" s="94"/>
      <c r="BB194" s="94"/>
      <c r="BC194" s="94"/>
      <c r="BD194" s="94"/>
      <c r="BE194" s="94"/>
      <c r="BF194" s="94"/>
      <c r="BG194" s="94"/>
      <c r="BH194" s="94"/>
      <c r="BI194" s="94"/>
      <c r="BJ194" s="94"/>
      <c r="BK194" s="94"/>
      <c r="BL194" s="94"/>
      <c r="BM194" s="94"/>
      <c r="BN194" s="94"/>
      <c r="BO194" s="94"/>
      <c r="BP194" s="94"/>
      <c r="BQ194" s="94"/>
      <c r="BR194" s="94"/>
      <c r="BS194" s="94"/>
      <c r="BT194" s="94"/>
      <c r="BU194" s="94"/>
      <c r="BV194" s="94"/>
      <c r="BW194" s="94"/>
      <c r="BX194" s="94"/>
      <c r="BY194" s="94"/>
      <c r="BZ194" s="94"/>
      <c r="CA194" s="94"/>
      <c r="CB194" s="94"/>
      <c r="CC194" s="94"/>
      <c r="CD194" s="94"/>
      <c r="CE194" s="94"/>
      <c r="CF194" s="94"/>
      <c r="CG194" s="94"/>
      <c r="CH194" s="94"/>
      <c r="CI194" s="94"/>
      <c r="CJ194" s="94"/>
      <c r="CK194" s="94"/>
      <c r="CL194" s="94"/>
      <c r="CM194" s="94"/>
      <c r="CN194" s="94"/>
      <c r="CO194" s="94"/>
      <c r="CP194" s="94"/>
      <c r="CQ194" s="94"/>
      <c r="CR194" s="94"/>
      <c r="CS194" s="94"/>
      <c r="CT194" s="94"/>
      <c r="CU194" s="94"/>
      <c r="CV194" s="94"/>
      <c r="CW194" s="94"/>
      <c r="CX194" s="94"/>
      <c r="CY194" s="94"/>
      <c r="CZ194" s="94"/>
      <c r="DA194" s="94"/>
      <c r="DB194" s="94"/>
      <c r="DC194" s="94"/>
      <c r="DD194" s="94"/>
      <c r="DE194" s="94"/>
      <c r="DF194" s="94"/>
      <c r="DG194" s="94"/>
      <c r="DH194" s="94"/>
      <c r="DI194" s="94"/>
      <c r="DJ194" s="94"/>
      <c r="DK194" s="94"/>
      <c r="DL194" s="94"/>
      <c r="DM194" s="94"/>
      <c r="DN194" s="94"/>
      <c r="DO194" s="94"/>
      <c r="DP194" s="94"/>
      <c r="DQ194" s="94"/>
      <c r="DR194" s="94"/>
      <c r="DS194" s="94"/>
      <c r="DT194" s="94"/>
      <c r="DU194" s="94"/>
      <c r="DV194" s="94"/>
      <c r="DW194" s="94"/>
      <c r="DX194" s="94"/>
      <c r="DY194" s="94"/>
      <c r="DZ194" s="94"/>
      <c r="EA194" s="94"/>
      <c r="EB194" s="94"/>
      <c r="EC194" s="94"/>
      <c r="ED194" s="94"/>
      <c r="EE194" s="94"/>
      <c r="EF194" s="94"/>
      <c r="EG194" s="94"/>
      <c r="EH194" s="94"/>
      <c r="EI194" s="94"/>
      <c r="EJ194" s="94"/>
      <c r="EK194" s="94"/>
      <c r="EL194" s="94"/>
      <c r="EM194" s="94"/>
      <c r="EN194" s="94"/>
      <c r="EO194" s="94"/>
      <c r="EP194" s="94"/>
      <c r="EQ194" s="94"/>
      <c r="ER194" s="94"/>
      <c r="ES194" s="94"/>
      <c r="ET194" s="94"/>
      <c r="EU194" s="94"/>
      <c r="EV194" s="94"/>
      <c r="EW194" s="94"/>
      <c r="EX194" s="94"/>
      <c r="EY194" s="94"/>
      <c r="EZ194" s="94"/>
      <c r="FA194" s="94"/>
      <c r="FB194" s="94"/>
      <c r="FC194" s="94"/>
      <c r="FD194" s="94"/>
      <c r="FE194" s="94"/>
      <c r="FF194" s="94"/>
      <c r="FG194" s="94"/>
      <c r="FH194" s="94"/>
      <c r="FI194" s="94"/>
      <c r="FJ194" s="94"/>
      <c r="FK194" s="94"/>
      <c r="FL194" s="94"/>
      <c r="FM194" s="94"/>
      <c r="FN194" s="94"/>
      <c r="FO194" s="94"/>
      <c r="FP194" s="94"/>
      <c r="FQ194" s="94"/>
      <c r="FR194" s="94"/>
      <c r="FS194" s="94"/>
      <c r="FT194" s="94"/>
      <c r="FU194" s="94"/>
      <c r="FV194" s="94"/>
      <c r="FW194" s="94"/>
      <c r="FX194" s="94"/>
      <c r="FY194" s="94"/>
      <c r="FZ194" s="94"/>
      <c r="GA194" s="94"/>
      <c r="GB194" s="94"/>
      <c r="GC194" s="94"/>
      <c r="GD194" s="94"/>
      <c r="GE194" s="94"/>
      <c r="GF194" s="94"/>
      <c r="GG194" s="94"/>
      <c r="GH194" s="94"/>
      <c r="GI194" s="94"/>
      <c r="GJ194" s="94"/>
      <c r="GK194" s="94"/>
      <c r="GL194" s="94"/>
      <c r="GM194" s="94"/>
      <c r="GN194" s="94"/>
      <c r="GO194" s="94"/>
      <c r="GP194" s="94"/>
      <c r="GQ194" s="94"/>
      <c r="GR194" s="94"/>
      <c r="GS194" s="94"/>
      <c r="GT194" s="94"/>
      <c r="GU194" s="94"/>
      <c r="GV194" s="94"/>
      <c r="GW194" s="94"/>
      <c r="GX194" s="94"/>
      <c r="GY194" s="94"/>
      <c r="GZ194" s="94"/>
      <c r="HA194" s="94"/>
      <c r="HB194" s="94"/>
      <c r="HC194" s="94"/>
      <c r="HD194" s="94"/>
      <c r="HE194" s="94"/>
      <c r="HF194" s="94"/>
      <c r="HG194" s="94"/>
      <c r="HH194" s="94"/>
      <c r="HI194" s="94"/>
      <c r="HJ194" s="94"/>
      <c r="HK194" s="94"/>
      <c r="HL194" s="94"/>
      <c r="HM194" s="94"/>
      <c r="HN194" s="94"/>
      <c r="HO194" s="94"/>
      <c r="HP194" s="94"/>
      <c r="HQ194" s="94"/>
      <c r="HR194" s="94"/>
      <c r="HS194" s="94"/>
      <c r="HT194" s="94"/>
      <c r="HU194" s="94"/>
      <c r="HV194" s="94"/>
      <c r="HW194" s="94"/>
      <c r="HX194" s="94"/>
      <c r="HY194" s="94"/>
      <c r="HZ194" s="94"/>
      <c r="IA194" s="94"/>
      <c r="IB194" s="94"/>
      <c r="IC194" s="94"/>
      <c r="ID194" s="94"/>
      <c r="IE194" s="94"/>
      <c r="IF194" s="94"/>
      <c r="IG194" s="94"/>
      <c r="IH194" s="94"/>
      <c r="II194" s="94"/>
      <c r="IJ194" s="94"/>
      <c r="IK194" s="94"/>
      <c r="IL194" s="94"/>
      <c r="IM194" s="94"/>
      <c r="IN194" s="94"/>
      <c r="IO194" s="94"/>
      <c r="IP194" s="94"/>
      <c r="IQ194" s="94"/>
      <c r="IR194" s="94"/>
      <c r="IS194" s="94"/>
      <c r="IT194" s="94"/>
      <c r="IU194" s="94"/>
      <c r="IV194" s="94"/>
    </row>
    <row r="195" spans="1:256" s="95" customFormat="1" ht="16.95" customHeight="1">
      <c r="A195" s="132"/>
      <c r="B195" s="132"/>
      <c r="C195" s="136"/>
      <c r="D195" s="85">
        <f t="shared" si="10"/>
        <v>0.27272727272727271</v>
      </c>
      <c r="E195" s="98"/>
      <c r="F195" s="99" t="s">
        <v>428</v>
      </c>
      <c r="G195" s="88" t="s">
        <v>66</v>
      </c>
      <c r="H195" s="100">
        <f t="shared" si="9"/>
        <v>4</v>
      </c>
      <c r="I195" s="101">
        <f>IF([2]项目总工作量!B$6="交易类",H195*1.5/22,IF([2]项目总工作量!B$6="数据分析类",H195*1.5*0.9/22,IF([2]项目总工作量!B$6="流程管理类",H195*1.5*0.8/22,IF([2]项目总工作量!B$6="渠道类",H195*1.5*0.7/22,FALSE))))</f>
        <v>0.27272727272727271</v>
      </c>
      <c r="J195" s="88" t="s">
        <v>44</v>
      </c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  <c r="AI195" s="94"/>
      <c r="AJ195" s="94"/>
      <c r="AK195" s="94"/>
      <c r="AL195" s="94"/>
      <c r="AM195" s="94"/>
      <c r="AN195" s="94"/>
      <c r="AO195" s="94"/>
      <c r="AP195" s="94"/>
      <c r="AQ195" s="94"/>
      <c r="AR195" s="94"/>
      <c r="AS195" s="94"/>
      <c r="AT195" s="94"/>
      <c r="AU195" s="94"/>
      <c r="AV195" s="94"/>
      <c r="AW195" s="94"/>
      <c r="AX195" s="94"/>
      <c r="AY195" s="94"/>
      <c r="AZ195" s="94"/>
      <c r="BA195" s="94"/>
      <c r="BB195" s="94"/>
      <c r="BC195" s="94"/>
      <c r="BD195" s="94"/>
      <c r="BE195" s="94"/>
      <c r="BF195" s="94"/>
      <c r="BG195" s="94"/>
      <c r="BH195" s="94"/>
      <c r="BI195" s="94"/>
      <c r="BJ195" s="94"/>
      <c r="BK195" s="94"/>
      <c r="BL195" s="94"/>
      <c r="BM195" s="94"/>
      <c r="BN195" s="94"/>
      <c r="BO195" s="94"/>
      <c r="BP195" s="94"/>
      <c r="BQ195" s="94"/>
      <c r="BR195" s="94"/>
      <c r="BS195" s="94"/>
      <c r="BT195" s="94"/>
      <c r="BU195" s="94"/>
      <c r="BV195" s="94"/>
      <c r="BW195" s="94"/>
      <c r="BX195" s="94"/>
      <c r="BY195" s="94"/>
      <c r="BZ195" s="94"/>
      <c r="CA195" s="94"/>
      <c r="CB195" s="94"/>
      <c r="CC195" s="94"/>
      <c r="CD195" s="94"/>
      <c r="CE195" s="94"/>
      <c r="CF195" s="94"/>
      <c r="CG195" s="94"/>
      <c r="CH195" s="94"/>
      <c r="CI195" s="94"/>
      <c r="CJ195" s="94"/>
      <c r="CK195" s="94"/>
      <c r="CL195" s="94"/>
      <c r="CM195" s="94"/>
      <c r="CN195" s="94"/>
      <c r="CO195" s="94"/>
      <c r="CP195" s="94"/>
      <c r="CQ195" s="94"/>
      <c r="CR195" s="94"/>
      <c r="CS195" s="94"/>
      <c r="CT195" s="94"/>
      <c r="CU195" s="94"/>
      <c r="CV195" s="94"/>
      <c r="CW195" s="94"/>
      <c r="CX195" s="94"/>
      <c r="CY195" s="94"/>
      <c r="CZ195" s="94"/>
      <c r="DA195" s="94"/>
      <c r="DB195" s="94"/>
      <c r="DC195" s="94"/>
      <c r="DD195" s="94"/>
      <c r="DE195" s="94"/>
      <c r="DF195" s="94"/>
      <c r="DG195" s="94"/>
      <c r="DH195" s="94"/>
      <c r="DI195" s="94"/>
      <c r="DJ195" s="94"/>
      <c r="DK195" s="94"/>
      <c r="DL195" s="94"/>
      <c r="DM195" s="94"/>
      <c r="DN195" s="94"/>
      <c r="DO195" s="94"/>
      <c r="DP195" s="94"/>
      <c r="DQ195" s="94"/>
      <c r="DR195" s="94"/>
      <c r="DS195" s="94"/>
      <c r="DT195" s="94"/>
      <c r="DU195" s="94"/>
      <c r="DV195" s="94"/>
      <c r="DW195" s="94"/>
      <c r="DX195" s="94"/>
      <c r="DY195" s="94"/>
      <c r="DZ195" s="94"/>
      <c r="EA195" s="94"/>
      <c r="EB195" s="94"/>
      <c r="EC195" s="94"/>
      <c r="ED195" s="94"/>
      <c r="EE195" s="94"/>
      <c r="EF195" s="94"/>
      <c r="EG195" s="94"/>
      <c r="EH195" s="94"/>
      <c r="EI195" s="94"/>
      <c r="EJ195" s="94"/>
      <c r="EK195" s="94"/>
      <c r="EL195" s="94"/>
      <c r="EM195" s="94"/>
      <c r="EN195" s="94"/>
      <c r="EO195" s="94"/>
      <c r="EP195" s="94"/>
      <c r="EQ195" s="94"/>
      <c r="ER195" s="94"/>
      <c r="ES195" s="94"/>
      <c r="ET195" s="94"/>
      <c r="EU195" s="94"/>
      <c r="EV195" s="94"/>
      <c r="EW195" s="94"/>
      <c r="EX195" s="94"/>
      <c r="EY195" s="94"/>
      <c r="EZ195" s="94"/>
      <c r="FA195" s="94"/>
      <c r="FB195" s="94"/>
      <c r="FC195" s="94"/>
      <c r="FD195" s="94"/>
      <c r="FE195" s="94"/>
      <c r="FF195" s="94"/>
      <c r="FG195" s="94"/>
      <c r="FH195" s="94"/>
      <c r="FI195" s="94"/>
      <c r="FJ195" s="94"/>
      <c r="FK195" s="94"/>
      <c r="FL195" s="94"/>
      <c r="FM195" s="94"/>
      <c r="FN195" s="94"/>
      <c r="FO195" s="94"/>
      <c r="FP195" s="94"/>
      <c r="FQ195" s="94"/>
      <c r="FR195" s="94"/>
      <c r="FS195" s="94"/>
      <c r="FT195" s="94"/>
      <c r="FU195" s="94"/>
      <c r="FV195" s="94"/>
      <c r="FW195" s="94"/>
      <c r="FX195" s="94"/>
      <c r="FY195" s="94"/>
      <c r="FZ195" s="94"/>
      <c r="GA195" s="94"/>
      <c r="GB195" s="94"/>
      <c r="GC195" s="94"/>
      <c r="GD195" s="94"/>
      <c r="GE195" s="94"/>
      <c r="GF195" s="94"/>
      <c r="GG195" s="94"/>
      <c r="GH195" s="94"/>
      <c r="GI195" s="94"/>
      <c r="GJ195" s="94"/>
      <c r="GK195" s="94"/>
      <c r="GL195" s="94"/>
      <c r="GM195" s="94"/>
      <c r="GN195" s="94"/>
      <c r="GO195" s="94"/>
      <c r="GP195" s="94"/>
      <c r="GQ195" s="94"/>
      <c r="GR195" s="94"/>
      <c r="GS195" s="94"/>
      <c r="GT195" s="94"/>
      <c r="GU195" s="94"/>
      <c r="GV195" s="94"/>
      <c r="GW195" s="94"/>
      <c r="GX195" s="94"/>
      <c r="GY195" s="94"/>
      <c r="GZ195" s="94"/>
      <c r="HA195" s="94"/>
      <c r="HB195" s="94"/>
      <c r="HC195" s="94"/>
      <c r="HD195" s="94"/>
      <c r="HE195" s="94"/>
      <c r="HF195" s="94"/>
      <c r="HG195" s="94"/>
      <c r="HH195" s="94"/>
      <c r="HI195" s="94"/>
      <c r="HJ195" s="94"/>
      <c r="HK195" s="94"/>
      <c r="HL195" s="94"/>
      <c r="HM195" s="94"/>
      <c r="HN195" s="94"/>
      <c r="HO195" s="94"/>
      <c r="HP195" s="94"/>
      <c r="HQ195" s="94"/>
      <c r="HR195" s="94"/>
      <c r="HS195" s="94"/>
      <c r="HT195" s="94"/>
      <c r="HU195" s="94"/>
      <c r="HV195" s="94"/>
      <c r="HW195" s="94"/>
      <c r="HX195" s="94"/>
      <c r="HY195" s="94"/>
      <c r="HZ195" s="94"/>
      <c r="IA195" s="94"/>
      <c r="IB195" s="94"/>
      <c r="IC195" s="94"/>
      <c r="ID195" s="94"/>
      <c r="IE195" s="94"/>
      <c r="IF195" s="94"/>
      <c r="IG195" s="94"/>
      <c r="IH195" s="94"/>
      <c r="II195" s="94"/>
      <c r="IJ195" s="94"/>
      <c r="IK195" s="94"/>
      <c r="IL195" s="94"/>
      <c r="IM195" s="94"/>
      <c r="IN195" s="94"/>
      <c r="IO195" s="94"/>
      <c r="IP195" s="94"/>
      <c r="IQ195" s="94"/>
      <c r="IR195" s="94"/>
      <c r="IS195" s="94"/>
      <c r="IT195" s="94"/>
      <c r="IU195" s="94"/>
      <c r="IV195" s="94"/>
    </row>
    <row r="196" spans="1:256" s="95" customFormat="1" ht="16.95" customHeight="1">
      <c r="A196" s="132"/>
      <c r="B196" s="132"/>
      <c r="C196" s="136"/>
      <c r="D196" s="85">
        <f t="shared" si="10"/>
        <v>0.27272727272727271</v>
      </c>
      <c r="E196" s="98"/>
      <c r="F196" s="99" t="s">
        <v>429</v>
      </c>
      <c r="G196" s="88" t="s">
        <v>66</v>
      </c>
      <c r="H196" s="100">
        <f t="shared" si="9"/>
        <v>4</v>
      </c>
      <c r="I196" s="101">
        <f>IF([2]项目总工作量!B$6="交易类",H196*1.5/22,IF([2]项目总工作量!B$6="数据分析类",H196*1.5*0.9/22,IF([2]项目总工作量!B$6="流程管理类",H196*1.5*0.8/22,IF([2]项目总工作量!B$6="渠道类",H196*1.5*0.7/22,FALSE))))</f>
        <v>0.27272727272727271</v>
      </c>
      <c r="J196" s="88" t="s">
        <v>44</v>
      </c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  <c r="AV196" s="94"/>
      <c r="AW196" s="94"/>
      <c r="AX196" s="94"/>
      <c r="AY196" s="94"/>
      <c r="AZ196" s="94"/>
      <c r="BA196" s="94"/>
      <c r="BB196" s="94"/>
      <c r="BC196" s="94"/>
      <c r="BD196" s="94"/>
      <c r="BE196" s="94"/>
      <c r="BF196" s="94"/>
      <c r="BG196" s="94"/>
      <c r="BH196" s="94"/>
      <c r="BI196" s="94"/>
      <c r="BJ196" s="94"/>
      <c r="BK196" s="94"/>
      <c r="BL196" s="94"/>
      <c r="BM196" s="94"/>
      <c r="BN196" s="94"/>
      <c r="BO196" s="94"/>
      <c r="BP196" s="94"/>
      <c r="BQ196" s="94"/>
      <c r="BR196" s="94"/>
      <c r="BS196" s="94"/>
      <c r="BT196" s="94"/>
      <c r="BU196" s="94"/>
      <c r="BV196" s="94"/>
      <c r="BW196" s="94"/>
      <c r="BX196" s="94"/>
      <c r="BY196" s="94"/>
      <c r="BZ196" s="94"/>
      <c r="CA196" s="94"/>
      <c r="CB196" s="94"/>
      <c r="CC196" s="94"/>
      <c r="CD196" s="94"/>
      <c r="CE196" s="94"/>
      <c r="CF196" s="94"/>
      <c r="CG196" s="94"/>
      <c r="CH196" s="94"/>
      <c r="CI196" s="94"/>
      <c r="CJ196" s="94"/>
      <c r="CK196" s="94"/>
      <c r="CL196" s="94"/>
      <c r="CM196" s="94"/>
      <c r="CN196" s="94"/>
      <c r="CO196" s="94"/>
      <c r="CP196" s="94"/>
      <c r="CQ196" s="94"/>
      <c r="CR196" s="94"/>
      <c r="CS196" s="94"/>
      <c r="CT196" s="94"/>
      <c r="CU196" s="94"/>
      <c r="CV196" s="94"/>
      <c r="CW196" s="94"/>
      <c r="CX196" s="94"/>
      <c r="CY196" s="94"/>
      <c r="CZ196" s="94"/>
      <c r="DA196" s="94"/>
      <c r="DB196" s="94"/>
      <c r="DC196" s="94"/>
      <c r="DD196" s="94"/>
      <c r="DE196" s="94"/>
      <c r="DF196" s="94"/>
      <c r="DG196" s="94"/>
      <c r="DH196" s="94"/>
      <c r="DI196" s="94"/>
      <c r="DJ196" s="94"/>
      <c r="DK196" s="94"/>
      <c r="DL196" s="94"/>
      <c r="DM196" s="94"/>
      <c r="DN196" s="94"/>
      <c r="DO196" s="94"/>
      <c r="DP196" s="94"/>
      <c r="DQ196" s="94"/>
      <c r="DR196" s="94"/>
      <c r="DS196" s="94"/>
      <c r="DT196" s="94"/>
      <c r="DU196" s="94"/>
      <c r="DV196" s="94"/>
      <c r="DW196" s="94"/>
      <c r="DX196" s="94"/>
      <c r="DY196" s="94"/>
      <c r="DZ196" s="94"/>
      <c r="EA196" s="94"/>
      <c r="EB196" s="94"/>
      <c r="EC196" s="94"/>
      <c r="ED196" s="94"/>
      <c r="EE196" s="94"/>
      <c r="EF196" s="94"/>
      <c r="EG196" s="94"/>
      <c r="EH196" s="94"/>
      <c r="EI196" s="94"/>
      <c r="EJ196" s="94"/>
      <c r="EK196" s="94"/>
      <c r="EL196" s="94"/>
      <c r="EM196" s="94"/>
      <c r="EN196" s="94"/>
      <c r="EO196" s="94"/>
      <c r="EP196" s="94"/>
      <c r="EQ196" s="94"/>
      <c r="ER196" s="94"/>
      <c r="ES196" s="94"/>
      <c r="ET196" s="94"/>
      <c r="EU196" s="94"/>
      <c r="EV196" s="94"/>
      <c r="EW196" s="94"/>
      <c r="EX196" s="94"/>
      <c r="EY196" s="94"/>
      <c r="EZ196" s="94"/>
      <c r="FA196" s="94"/>
      <c r="FB196" s="94"/>
      <c r="FC196" s="94"/>
      <c r="FD196" s="94"/>
      <c r="FE196" s="94"/>
      <c r="FF196" s="94"/>
      <c r="FG196" s="94"/>
      <c r="FH196" s="94"/>
      <c r="FI196" s="94"/>
      <c r="FJ196" s="94"/>
      <c r="FK196" s="94"/>
      <c r="FL196" s="94"/>
      <c r="FM196" s="94"/>
      <c r="FN196" s="94"/>
      <c r="FO196" s="94"/>
      <c r="FP196" s="94"/>
      <c r="FQ196" s="94"/>
      <c r="FR196" s="94"/>
      <c r="FS196" s="94"/>
      <c r="FT196" s="94"/>
      <c r="FU196" s="94"/>
      <c r="FV196" s="94"/>
      <c r="FW196" s="94"/>
      <c r="FX196" s="94"/>
      <c r="FY196" s="94"/>
      <c r="FZ196" s="94"/>
      <c r="GA196" s="94"/>
      <c r="GB196" s="94"/>
      <c r="GC196" s="94"/>
      <c r="GD196" s="94"/>
      <c r="GE196" s="94"/>
      <c r="GF196" s="94"/>
      <c r="GG196" s="94"/>
      <c r="GH196" s="94"/>
      <c r="GI196" s="94"/>
      <c r="GJ196" s="94"/>
      <c r="GK196" s="94"/>
      <c r="GL196" s="94"/>
      <c r="GM196" s="94"/>
      <c r="GN196" s="94"/>
      <c r="GO196" s="94"/>
      <c r="GP196" s="94"/>
      <c r="GQ196" s="94"/>
      <c r="GR196" s="94"/>
      <c r="GS196" s="94"/>
      <c r="GT196" s="94"/>
      <c r="GU196" s="94"/>
      <c r="GV196" s="94"/>
      <c r="GW196" s="94"/>
      <c r="GX196" s="94"/>
      <c r="GY196" s="94"/>
      <c r="GZ196" s="94"/>
      <c r="HA196" s="94"/>
      <c r="HB196" s="94"/>
      <c r="HC196" s="94"/>
      <c r="HD196" s="94"/>
      <c r="HE196" s="94"/>
      <c r="HF196" s="94"/>
      <c r="HG196" s="94"/>
      <c r="HH196" s="94"/>
      <c r="HI196" s="94"/>
      <c r="HJ196" s="94"/>
      <c r="HK196" s="94"/>
      <c r="HL196" s="94"/>
      <c r="HM196" s="94"/>
      <c r="HN196" s="94"/>
      <c r="HO196" s="94"/>
      <c r="HP196" s="94"/>
      <c r="HQ196" s="94"/>
      <c r="HR196" s="94"/>
      <c r="HS196" s="94"/>
      <c r="HT196" s="94"/>
      <c r="HU196" s="94"/>
      <c r="HV196" s="94"/>
      <c r="HW196" s="94"/>
      <c r="HX196" s="94"/>
      <c r="HY196" s="94"/>
      <c r="HZ196" s="94"/>
      <c r="IA196" s="94"/>
      <c r="IB196" s="94"/>
      <c r="IC196" s="94"/>
      <c r="ID196" s="94"/>
      <c r="IE196" s="94"/>
      <c r="IF196" s="94"/>
      <c r="IG196" s="94"/>
      <c r="IH196" s="94"/>
      <c r="II196" s="94"/>
      <c r="IJ196" s="94"/>
      <c r="IK196" s="94"/>
      <c r="IL196" s="94"/>
      <c r="IM196" s="94"/>
      <c r="IN196" s="94"/>
      <c r="IO196" s="94"/>
      <c r="IP196" s="94"/>
      <c r="IQ196" s="94"/>
      <c r="IR196" s="94"/>
      <c r="IS196" s="94"/>
      <c r="IT196" s="94"/>
      <c r="IU196" s="94"/>
      <c r="IV196" s="94"/>
    </row>
    <row r="197" spans="1:256" s="95" customFormat="1" ht="16.95" customHeight="1">
      <c r="A197" s="132"/>
      <c r="B197" s="132"/>
      <c r="C197" s="136"/>
      <c r="D197" s="85">
        <f t="shared" si="10"/>
        <v>0.27272727272727271</v>
      </c>
      <c r="E197" s="98"/>
      <c r="F197" s="99" t="s">
        <v>430</v>
      </c>
      <c r="G197" s="88" t="s">
        <v>66</v>
      </c>
      <c r="H197" s="100">
        <f t="shared" si="9"/>
        <v>4</v>
      </c>
      <c r="I197" s="101">
        <f>IF([2]项目总工作量!B$6="交易类",H197*1.5/22,IF([2]项目总工作量!B$6="数据分析类",H197*1.5*0.9/22,IF([2]项目总工作量!B$6="流程管理类",H197*1.5*0.8/22,IF([2]项目总工作量!B$6="渠道类",H197*1.5*0.7/22,FALSE))))</f>
        <v>0.27272727272727271</v>
      </c>
      <c r="J197" s="88" t="s">
        <v>44</v>
      </c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  <c r="AI197" s="94"/>
      <c r="AJ197" s="94"/>
      <c r="AK197" s="94"/>
      <c r="AL197" s="94"/>
      <c r="AM197" s="94"/>
      <c r="AN197" s="94"/>
      <c r="AO197" s="94"/>
      <c r="AP197" s="94"/>
      <c r="AQ197" s="94"/>
      <c r="AR197" s="94"/>
      <c r="AS197" s="94"/>
      <c r="AT197" s="94"/>
      <c r="AU197" s="94"/>
      <c r="AV197" s="94"/>
      <c r="AW197" s="94"/>
      <c r="AX197" s="94"/>
      <c r="AY197" s="94"/>
      <c r="AZ197" s="94"/>
      <c r="BA197" s="94"/>
      <c r="BB197" s="94"/>
      <c r="BC197" s="94"/>
      <c r="BD197" s="94"/>
      <c r="BE197" s="94"/>
      <c r="BF197" s="94"/>
      <c r="BG197" s="94"/>
      <c r="BH197" s="94"/>
      <c r="BI197" s="94"/>
      <c r="BJ197" s="94"/>
      <c r="BK197" s="94"/>
      <c r="BL197" s="94"/>
      <c r="BM197" s="94"/>
      <c r="BN197" s="94"/>
      <c r="BO197" s="94"/>
      <c r="BP197" s="94"/>
      <c r="BQ197" s="94"/>
      <c r="BR197" s="94"/>
      <c r="BS197" s="94"/>
      <c r="BT197" s="94"/>
      <c r="BU197" s="94"/>
      <c r="BV197" s="94"/>
      <c r="BW197" s="94"/>
      <c r="BX197" s="94"/>
      <c r="BY197" s="94"/>
      <c r="BZ197" s="94"/>
      <c r="CA197" s="94"/>
      <c r="CB197" s="94"/>
      <c r="CC197" s="94"/>
      <c r="CD197" s="94"/>
      <c r="CE197" s="94"/>
      <c r="CF197" s="94"/>
      <c r="CG197" s="94"/>
      <c r="CH197" s="94"/>
      <c r="CI197" s="94"/>
      <c r="CJ197" s="94"/>
      <c r="CK197" s="94"/>
      <c r="CL197" s="94"/>
      <c r="CM197" s="94"/>
      <c r="CN197" s="94"/>
      <c r="CO197" s="94"/>
      <c r="CP197" s="94"/>
      <c r="CQ197" s="94"/>
      <c r="CR197" s="94"/>
      <c r="CS197" s="94"/>
      <c r="CT197" s="94"/>
      <c r="CU197" s="94"/>
      <c r="CV197" s="94"/>
      <c r="CW197" s="94"/>
      <c r="CX197" s="94"/>
      <c r="CY197" s="94"/>
      <c r="CZ197" s="94"/>
      <c r="DA197" s="94"/>
      <c r="DB197" s="94"/>
      <c r="DC197" s="94"/>
      <c r="DD197" s="94"/>
      <c r="DE197" s="94"/>
      <c r="DF197" s="94"/>
      <c r="DG197" s="94"/>
      <c r="DH197" s="94"/>
      <c r="DI197" s="94"/>
      <c r="DJ197" s="94"/>
      <c r="DK197" s="94"/>
      <c r="DL197" s="94"/>
      <c r="DM197" s="94"/>
      <c r="DN197" s="94"/>
      <c r="DO197" s="94"/>
      <c r="DP197" s="94"/>
      <c r="DQ197" s="94"/>
      <c r="DR197" s="94"/>
      <c r="DS197" s="94"/>
      <c r="DT197" s="94"/>
      <c r="DU197" s="94"/>
      <c r="DV197" s="94"/>
      <c r="DW197" s="94"/>
      <c r="DX197" s="94"/>
      <c r="DY197" s="94"/>
      <c r="DZ197" s="94"/>
      <c r="EA197" s="94"/>
      <c r="EB197" s="94"/>
      <c r="EC197" s="94"/>
      <c r="ED197" s="94"/>
      <c r="EE197" s="94"/>
      <c r="EF197" s="94"/>
      <c r="EG197" s="94"/>
      <c r="EH197" s="94"/>
      <c r="EI197" s="94"/>
      <c r="EJ197" s="94"/>
      <c r="EK197" s="94"/>
      <c r="EL197" s="94"/>
      <c r="EM197" s="94"/>
      <c r="EN197" s="94"/>
      <c r="EO197" s="94"/>
      <c r="EP197" s="94"/>
      <c r="EQ197" s="94"/>
      <c r="ER197" s="94"/>
      <c r="ES197" s="94"/>
      <c r="ET197" s="94"/>
      <c r="EU197" s="94"/>
      <c r="EV197" s="94"/>
      <c r="EW197" s="94"/>
      <c r="EX197" s="94"/>
      <c r="EY197" s="94"/>
      <c r="EZ197" s="94"/>
      <c r="FA197" s="94"/>
      <c r="FB197" s="94"/>
      <c r="FC197" s="94"/>
      <c r="FD197" s="94"/>
      <c r="FE197" s="94"/>
      <c r="FF197" s="94"/>
      <c r="FG197" s="94"/>
      <c r="FH197" s="94"/>
      <c r="FI197" s="94"/>
      <c r="FJ197" s="94"/>
      <c r="FK197" s="94"/>
      <c r="FL197" s="94"/>
      <c r="FM197" s="94"/>
      <c r="FN197" s="94"/>
      <c r="FO197" s="94"/>
      <c r="FP197" s="94"/>
      <c r="FQ197" s="94"/>
      <c r="FR197" s="94"/>
      <c r="FS197" s="94"/>
      <c r="FT197" s="94"/>
      <c r="FU197" s="94"/>
      <c r="FV197" s="94"/>
      <c r="FW197" s="94"/>
      <c r="FX197" s="94"/>
      <c r="FY197" s="94"/>
      <c r="FZ197" s="94"/>
      <c r="GA197" s="94"/>
      <c r="GB197" s="94"/>
      <c r="GC197" s="94"/>
      <c r="GD197" s="94"/>
      <c r="GE197" s="94"/>
      <c r="GF197" s="94"/>
      <c r="GG197" s="94"/>
      <c r="GH197" s="94"/>
      <c r="GI197" s="94"/>
      <c r="GJ197" s="94"/>
      <c r="GK197" s="94"/>
      <c r="GL197" s="94"/>
      <c r="GM197" s="94"/>
      <c r="GN197" s="94"/>
      <c r="GO197" s="94"/>
      <c r="GP197" s="94"/>
      <c r="GQ197" s="94"/>
      <c r="GR197" s="94"/>
      <c r="GS197" s="94"/>
      <c r="GT197" s="94"/>
      <c r="GU197" s="94"/>
      <c r="GV197" s="94"/>
      <c r="GW197" s="94"/>
      <c r="GX197" s="94"/>
      <c r="GY197" s="94"/>
      <c r="GZ197" s="94"/>
      <c r="HA197" s="94"/>
      <c r="HB197" s="94"/>
      <c r="HC197" s="94"/>
      <c r="HD197" s="94"/>
      <c r="HE197" s="94"/>
      <c r="HF197" s="94"/>
      <c r="HG197" s="94"/>
      <c r="HH197" s="94"/>
      <c r="HI197" s="94"/>
      <c r="HJ197" s="94"/>
      <c r="HK197" s="94"/>
      <c r="HL197" s="94"/>
      <c r="HM197" s="94"/>
      <c r="HN197" s="94"/>
      <c r="HO197" s="94"/>
      <c r="HP197" s="94"/>
      <c r="HQ197" s="94"/>
      <c r="HR197" s="94"/>
      <c r="HS197" s="94"/>
      <c r="HT197" s="94"/>
      <c r="HU197" s="94"/>
      <c r="HV197" s="94"/>
      <c r="HW197" s="94"/>
      <c r="HX197" s="94"/>
      <c r="HY197" s="94"/>
      <c r="HZ197" s="94"/>
      <c r="IA197" s="94"/>
      <c r="IB197" s="94"/>
      <c r="IC197" s="94"/>
      <c r="ID197" s="94"/>
      <c r="IE197" s="94"/>
      <c r="IF197" s="94"/>
      <c r="IG197" s="94"/>
      <c r="IH197" s="94"/>
      <c r="II197" s="94"/>
      <c r="IJ197" s="94"/>
      <c r="IK197" s="94"/>
      <c r="IL197" s="94"/>
      <c r="IM197" s="94"/>
      <c r="IN197" s="94"/>
      <c r="IO197" s="94"/>
      <c r="IP197" s="94"/>
      <c r="IQ197" s="94"/>
      <c r="IR197" s="94"/>
      <c r="IS197" s="94"/>
      <c r="IT197" s="94"/>
      <c r="IU197" s="94"/>
      <c r="IV197" s="94"/>
    </row>
    <row r="198" spans="1:256" s="95" customFormat="1" ht="16.95" customHeight="1">
      <c r="A198" s="132"/>
      <c r="B198" s="132"/>
      <c r="C198" s="136"/>
      <c r="D198" s="85">
        <f t="shared" si="10"/>
        <v>0.27272727272727271</v>
      </c>
      <c r="E198" s="98"/>
      <c r="F198" s="99" t="s">
        <v>431</v>
      </c>
      <c r="G198" s="88" t="s">
        <v>66</v>
      </c>
      <c r="H198" s="100">
        <f t="shared" si="9"/>
        <v>4</v>
      </c>
      <c r="I198" s="101">
        <f>IF([2]项目总工作量!B$6="交易类",H198*1.5/22,IF([2]项目总工作量!B$6="数据分析类",H198*1.5*0.9/22,IF([2]项目总工作量!B$6="流程管理类",H198*1.5*0.8/22,IF([2]项目总工作量!B$6="渠道类",H198*1.5*0.7/22,FALSE))))</f>
        <v>0.27272727272727271</v>
      </c>
      <c r="J198" s="88" t="s">
        <v>44</v>
      </c>
      <c r="K198" s="94"/>
      <c r="L198" s="94"/>
      <c r="M198" s="94"/>
      <c r="N198" s="94"/>
      <c r="O198" s="94"/>
      <c r="P198" s="94"/>
      <c r="Q198" s="94"/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  <c r="AI198" s="94"/>
      <c r="AJ198" s="94"/>
      <c r="AK198" s="94"/>
      <c r="AL198" s="94"/>
      <c r="AM198" s="94"/>
      <c r="AN198" s="94"/>
      <c r="AO198" s="94"/>
      <c r="AP198" s="94"/>
      <c r="AQ198" s="94"/>
      <c r="AR198" s="94"/>
      <c r="AS198" s="94"/>
      <c r="AT198" s="94"/>
      <c r="AU198" s="94"/>
      <c r="AV198" s="94"/>
      <c r="AW198" s="94"/>
      <c r="AX198" s="94"/>
      <c r="AY198" s="94"/>
      <c r="AZ198" s="94"/>
      <c r="BA198" s="94"/>
      <c r="BB198" s="94"/>
      <c r="BC198" s="94"/>
      <c r="BD198" s="94"/>
      <c r="BE198" s="94"/>
      <c r="BF198" s="94"/>
      <c r="BG198" s="94"/>
      <c r="BH198" s="94"/>
      <c r="BI198" s="94"/>
      <c r="BJ198" s="94"/>
      <c r="BK198" s="94"/>
      <c r="BL198" s="94"/>
      <c r="BM198" s="94"/>
      <c r="BN198" s="94"/>
      <c r="BO198" s="94"/>
      <c r="BP198" s="94"/>
      <c r="BQ198" s="94"/>
      <c r="BR198" s="94"/>
      <c r="BS198" s="94"/>
      <c r="BT198" s="94"/>
      <c r="BU198" s="94"/>
      <c r="BV198" s="94"/>
      <c r="BW198" s="94"/>
      <c r="BX198" s="94"/>
      <c r="BY198" s="94"/>
      <c r="BZ198" s="94"/>
      <c r="CA198" s="94"/>
      <c r="CB198" s="94"/>
      <c r="CC198" s="94"/>
      <c r="CD198" s="94"/>
      <c r="CE198" s="94"/>
      <c r="CF198" s="94"/>
      <c r="CG198" s="94"/>
      <c r="CH198" s="94"/>
      <c r="CI198" s="94"/>
      <c r="CJ198" s="94"/>
      <c r="CK198" s="94"/>
      <c r="CL198" s="94"/>
      <c r="CM198" s="94"/>
      <c r="CN198" s="94"/>
      <c r="CO198" s="94"/>
      <c r="CP198" s="94"/>
      <c r="CQ198" s="94"/>
      <c r="CR198" s="94"/>
      <c r="CS198" s="94"/>
      <c r="CT198" s="94"/>
      <c r="CU198" s="94"/>
      <c r="CV198" s="94"/>
      <c r="CW198" s="94"/>
      <c r="CX198" s="94"/>
      <c r="CY198" s="94"/>
      <c r="CZ198" s="94"/>
      <c r="DA198" s="94"/>
      <c r="DB198" s="94"/>
      <c r="DC198" s="94"/>
      <c r="DD198" s="94"/>
      <c r="DE198" s="94"/>
      <c r="DF198" s="94"/>
      <c r="DG198" s="94"/>
      <c r="DH198" s="94"/>
      <c r="DI198" s="94"/>
      <c r="DJ198" s="94"/>
      <c r="DK198" s="94"/>
      <c r="DL198" s="94"/>
      <c r="DM198" s="94"/>
      <c r="DN198" s="94"/>
      <c r="DO198" s="94"/>
      <c r="DP198" s="94"/>
      <c r="DQ198" s="94"/>
      <c r="DR198" s="94"/>
      <c r="DS198" s="94"/>
      <c r="DT198" s="94"/>
      <c r="DU198" s="94"/>
      <c r="DV198" s="94"/>
      <c r="DW198" s="94"/>
      <c r="DX198" s="94"/>
      <c r="DY198" s="94"/>
      <c r="DZ198" s="94"/>
      <c r="EA198" s="94"/>
      <c r="EB198" s="94"/>
      <c r="EC198" s="94"/>
      <c r="ED198" s="94"/>
      <c r="EE198" s="94"/>
      <c r="EF198" s="94"/>
      <c r="EG198" s="94"/>
      <c r="EH198" s="94"/>
      <c r="EI198" s="94"/>
      <c r="EJ198" s="94"/>
      <c r="EK198" s="94"/>
      <c r="EL198" s="94"/>
      <c r="EM198" s="94"/>
      <c r="EN198" s="94"/>
      <c r="EO198" s="94"/>
      <c r="EP198" s="94"/>
      <c r="EQ198" s="94"/>
      <c r="ER198" s="94"/>
      <c r="ES198" s="94"/>
      <c r="ET198" s="94"/>
      <c r="EU198" s="94"/>
      <c r="EV198" s="94"/>
      <c r="EW198" s="94"/>
      <c r="EX198" s="94"/>
      <c r="EY198" s="94"/>
      <c r="EZ198" s="94"/>
      <c r="FA198" s="94"/>
      <c r="FB198" s="94"/>
      <c r="FC198" s="94"/>
      <c r="FD198" s="94"/>
      <c r="FE198" s="94"/>
      <c r="FF198" s="94"/>
      <c r="FG198" s="94"/>
      <c r="FH198" s="94"/>
      <c r="FI198" s="94"/>
      <c r="FJ198" s="94"/>
      <c r="FK198" s="94"/>
      <c r="FL198" s="94"/>
      <c r="FM198" s="94"/>
      <c r="FN198" s="94"/>
      <c r="FO198" s="94"/>
      <c r="FP198" s="94"/>
      <c r="FQ198" s="94"/>
      <c r="FR198" s="94"/>
      <c r="FS198" s="94"/>
      <c r="FT198" s="94"/>
      <c r="FU198" s="94"/>
      <c r="FV198" s="94"/>
      <c r="FW198" s="94"/>
      <c r="FX198" s="94"/>
      <c r="FY198" s="94"/>
      <c r="FZ198" s="94"/>
      <c r="GA198" s="94"/>
      <c r="GB198" s="94"/>
      <c r="GC198" s="94"/>
      <c r="GD198" s="94"/>
      <c r="GE198" s="94"/>
      <c r="GF198" s="94"/>
      <c r="GG198" s="94"/>
      <c r="GH198" s="94"/>
      <c r="GI198" s="94"/>
      <c r="GJ198" s="94"/>
      <c r="GK198" s="94"/>
      <c r="GL198" s="94"/>
      <c r="GM198" s="94"/>
      <c r="GN198" s="94"/>
      <c r="GO198" s="94"/>
      <c r="GP198" s="94"/>
      <c r="GQ198" s="94"/>
      <c r="GR198" s="94"/>
      <c r="GS198" s="94"/>
      <c r="GT198" s="94"/>
      <c r="GU198" s="94"/>
      <c r="GV198" s="94"/>
      <c r="GW198" s="94"/>
      <c r="GX198" s="94"/>
      <c r="GY198" s="94"/>
      <c r="GZ198" s="94"/>
      <c r="HA198" s="94"/>
      <c r="HB198" s="94"/>
      <c r="HC198" s="94"/>
      <c r="HD198" s="94"/>
      <c r="HE198" s="94"/>
      <c r="HF198" s="94"/>
      <c r="HG198" s="94"/>
      <c r="HH198" s="94"/>
      <c r="HI198" s="94"/>
      <c r="HJ198" s="94"/>
      <c r="HK198" s="94"/>
      <c r="HL198" s="94"/>
      <c r="HM198" s="94"/>
      <c r="HN198" s="94"/>
      <c r="HO198" s="94"/>
      <c r="HP198" s="94"/>
      <c r="HQ198" s="94"/>
      <c r="HR198" s="94"/>
      <c r="HS198" s="94"/>
      <c r="HT198" s="94"/>
      <c r="HU198" s="94"/>
      <c r="HV198" s="94"/>
      <c r="HW198" s="94"/>
      <c r="HX198" s="94"/>
      <c r="HY198" s="94"/>
      <c r="HZ198" s="94"/>
      <c r="IA198" s="94"/>
      <c r="IB198" s="94"/>
      <c r="IC198" s="94"/>
      <c r="ID198" s="94"/>
      <c r="IE198" s="94"/>
      <c r="IF198" s="94"/>
      <c r="IG198" s="94"/>
      <c r="IH198" s="94"/>
      <c r="II198" s="94"/>
      <c r="IJ198" s="94"/>
      <c r="IK198" s="94"/>
      <c r="IL198" s="94"/>
      <c r="IM198" s="94"/>
      <c r="IN198" s="94"/>
      <c r="IO198" s="94"/>
      <c r="IP198" s="94"/>
      <c r="IQ198" s="94"/>
      <c r="IR198" s="94"/>
      <c r="IS198" s="94"/>
      <c r="IT198" s="94"/>
      <c r="IU198" s="94"/>
      <c r="IV198" s="94"/>
    </row>
    <row r="199" spans="1:256" s="95" customFormat="1" ht="16.95" customHeight="1">
      <c r="A199" s="132"/>
      <c r="B199" s="132"/>
      <c r="C199" s="136"/>
      <c r="D199" s="85">
        <f t="shared" si="10"/>
        <v>0.27272727272727271</v>
      </c>
      <c r="E199" s="98"/>
      <c r="F199" s="99" t="s">
        <v>432</v>
      </c>
      <c r="G199" s="88" t="s">
        <v>66</v>
      </c>
      <c r="H199" s="100">
        <f t="shared" si="9"/>
        <v>4</v>
      </c>
      <c r="I199" s="101">
        <f>IF([2]项目总工作量!B$6="交易类",H199*1.5/22,IF([2]项目总工作量!B$6="数据分析类",H199*1.5*0.9/22,IF([2]项目总工作量!B$6="流程管理类",H199*1.5*0.8/22,IF([2]项目总工作量!B$6="渠道类",H199*1.5*0.7/22,FALSE))))</f>
        <v>0.27272727272727271</v>
      </c>
      <c r="J199" s="88" t="s">
        <v>44</v>
      </c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  <c r="AV199" s="94"/>
      <c r="AW199" s="94"/>
      <c r="AX199" s="94"/>
      <c r="AY199" s="94"/>
      <c r="AZ199" s="94"/>
      <c r="BA199" s="94"/>
      <c r="BB199" s="94"/>
      <c r="BC199" s="94"/>
      <c r="BD199" s="94"/>
      <c r="BE199" s="94"/>
      <c r="BF199" s="94"/>
      <c r="BG199" s="94"/>
      <c r="BH199" s="94"/>
      <c r="BI199" s="94"/>
      <c r="BJ199" s="94"/>
      <c r="BK199" s="94"/>
      <c r="BL199" s="94"/>
      <c r="BM199" s="94"/>
      <c r="BN199" s="94"/>
      <c r="BO199" s="94"/>
      <c r="BP199" s="94"/>
      <c r="BQ199" s="94"/>
      <c r="BR199" s="94"/>
      <c r="BS199" s="94"/>
      <c r="BT199" s="94"/>
      <c r="BU199" s="94"/>
      <c r="BV199" s="94"/>
      <c r="BW199" s="94"/>
      <c r="BX199" s="94"/>
      <c r="BY199" s="94"/>
      <c r="BZ199" s="94"/>
      <c r="CA199" s="94"/>
      <c r="CB199" s="94"/>
      <c r="CC199" s="94"/>
      <c r="CD199" s="94"/>
      <c r="CE199" s="94"/>
      <c r="CF199" s="94"/>
      <c r="CG199" s="94"/>
      <c r="CH199" s="94"/>
      <c r="CI199" s="94"/>
      <c r="CJ199" s="94"/>
      <c r="CK199" s="94"/>
      <c r="CL199" s="94"/>
      <c r="CM199" s="94"/>
      <c r="CN199" s="94"/>
      <c r="CO199" s="94"/>
      <c r="CP199" s="94"/>
      <c r="CQ199" s="94"/>
      <c r="CR199" s="94"/>
      <c r="CS199" s="94"/>
      <c r="CT199" s="94"/>
      <c r="CU199" s="94"/>
      <c r="CV199" s="94"/>
      <c r="CW199" s="94"/>
      <c r="CX199" s="94"/>
      <c r="CY199" s="94"/>
      <c r="CZ199" s="94"/>
      <c r="DA199" s="94"/>
      <c r="DB199" s="94"/>
      <c r="DC199" s="94"/>
      <c r="DD199" s="94"/>
      <c r="DE199" s="94"/>
      <c r="DF199" s="94"/>
      <c r="DG199" s="94"/>
      <c r="DH199" s="94"/>
      <c r="DI199" s="94"/>
      <c r="DJ199" s="94"/>
      <c r="DK199" s="94"/>
      <c r="DL199" s="94"/>
      <c r="DM199" s="94"/>
      <c r="DN199" s="94"/>
      <c r="DO199" s="94"/>
      <c r="DP199" s="94"/>
      <c r="DQ199" s="94"/>
      <c r="DR199" s="94"/>
      <c r="DS199" s="94"/>
      <c r="DT199" s="94"/>
      <c r="DU199" s="94"/>
      <c r="DV199" s="94"/>
      <c r="DW199" s="94"/>
      <c r="DX199" s="94"/>
      <c r="DY199" s="94"/>
      <c r="DZ199" s="94"/>
      <c r="EA199" s="94"/>
      <c r="EB199" s="94"/>
      <c r="EC199" s="94"/>
      <c r="ED199" s="94"/>
      <c r="EE199" s="94"/>
      <c r="EF199" s="94"/>
      <c r="EG199" s="94"/>
      <c r="EH199" s="94"/>
      <c r="EI199" s="94"/>
      <c r="EJ199" s="94"/>
      <c r="EK199" s="94"/>
      <c r="EL199" s="94"/>
      <c r="EM199" s="94"/>
      <c r="EN199" s="94"/>
      <c r="EO199" s="94"/>
      <c r="EP199" s="94"/>
      <c r="EQ199" s="94"/>
      <c r="ER199" s="94"/>
      <c r="ES199" s="94"/>
      <c r="ET199" s="94"/>
      <c r="EU199" s="94"/>
      <c r="EV199" s="94"/>
      <c r="EW199" s="94"/>
      <c r="EX199" s="94"/>
      <c r="EY199" s="94"/>
      <c r="EZ199" s="94"/>
      <c r="FA199" s="94"/>
      <c r="FB199" s="94"/>
      <c r="FC199" s="94"/>
      <c r="FD199" s="94"/>
      <c r="FE199" s="94"/>
      <c r="FF199" s="94"/>
      <c r="FG199" s="94"/>
      <c r="FH199" s="94"/>
      <c r="FI199" s="94"/>
      <c r="FJ199" s="94"/>
      <c r="FK199" s="94"/>
      <c r="FL199" s="94"/>
      <c r="FM199" s="94"/>
      <c r="FN199" s="94"/>
      <c r="FO199" s="94"/>
      <c r="FP199" s="94"/>
      <c r="FQ199" s="94"/>
      <c r="FR199" s="94"/>
      <c r="FS199" s="94"/>
      <c r="FT199" s="94"/>
      <c r="FU199" s="94"/>
      <c r="FV199" s="94"/>
      <c r="FW199" s="94"/>
      <c r="FX199" s="94"/>
      <c r="FY199" s="94"/>
      <c r="FZ199" s="94"/>
      <c r="GA199" s="94"/>
      <c r="GB199" s="94"/>
      <c r="GC199" s="94"/>
      <c r="GD199" s="94"/>
      <c r="GE199" s="94"/>
      <c r="GF199" s="94"/>
      <c r="GG199" s="94"/>
      <c r="GH199" s="94"/>
      <c r="GI199" s="94"/>
      <c r="GJ199" s="94"/>
      <c r="GK199" s="94"/>
      <c r="GL199" s="94"/>
      <c r="GM199" s="94"/>
      <c r="GN199" s="94"/>
      <c r="GO199" s="94"/>
      <c r="GP199" s="94"/>
      <c r="GQ199" s="94"/>
      <c r="GR199" s="94"/>
      <c r="GS199" s="94"/>
      <c r="GT199" s="94"/>
      <c r="GU199" s="94"/>
      <c r="GV199" s="94"/>
      <c r="GW199" s="94"/>
      <c r="GX199" s="94"/>
      <c r="GY199" s="94"/>
      <c r="GZ199" s="94"/>
      <c r="HA199" s="94"/>
      <c r="HB199" s="94"/>
      <c r="HC199" s="94"/>
      <c r="HD199" s="94"/>
      <c r="HE199" s="94"/>
      <c r="HF199" s="94"/>
      <c r="HG199" s="94"/>
      <c r="HH199" s="94"/>
      <c r="HI199" s="94"/>
      <c r="HJ199" s="94"/>
      <c r="HK199" s="94"/>
      <c r="HL199" s="94"/>
      <c r="HM199" s="94"/>
      <c r="HN199" s="94"/>
      <c r="HO199" s="94"/>
      <c r="HP199" s="94"/>
      <c r="HQ199" s="94"/>
      <c r="HR199" s="94"/>
      <c r="HS199" s="94"/>
      <c r="HT199" s="94"/>
      <c r="HU199" s="94"/>
      <c r="HV199" s="94"/>
      <c r="HW199" s="94"/>
      <c r="HX199" s="94"/>
      <c r="HY199" s="94"/>
      <c r="HZ199" s="94"/>
      <c r="IA199" s="94"/>
      <c r="IB199" s="94"/>
      <c r="IC199" s="94"/>
      <c r="ID199" s="94"/>
      <c r="IE199" s="94"/>
      <c r="IF199" s="94"/>
      <c r="IG199" s="94"/>
      <c r="IH199" s="94"/>
      <c r="II199" s="94"/>
      <c r="IJ199" s="94"/>
      <c r="IK199" s="94"/>
      <c r="IL199" s="94"/>
      <c r="IM199" s="94"/>
      <c r="IN199" s="94"/>
      <c r="IO199" s="94"/>
      <c r="IP199" s="94"/>
      <c r="IQ199" s="94"/>
      <c r="IR199" s="94"/>
      <c r="IS199" s="94"/>
      <c r="IT199" s="94"/>
      <c r="IU199" s="94"/>
      <c r="IV199" s="94"/>
    </row>
    <row r="200" spans="1:256" s="95" customFormat="1" ht="16.95" customHeight="1">
      <c r="A200" s="132"/>
      <c r="B200" s="132"/>
      <c r="C200" s="136"/>
      <c r="D200" s="85">
        <f t="shared" si="10"/>
        <v>0.27272727272727271</v>
      </c>
      <c r="E200" s="98"/>
      <c r="F200" s="99" t="s">
        <v>433</v>
      </c>
      <c r="G200" s="88" t="s">
        <v>66</v>
      </c>
      <c r="H200" s="100">
        <f t="shared" si="9"/>
        <v>4</v>
      </c>
      <c r="I200" s="101">
        <f>IF([2]项目总工作量!B$6="交易类",H200*1.5/22,IF([2]项目总工作量!B$6="数据分析类",H200*1.5*0.9/22,IF([2]项目总工作量!B$6="流程管理类",H200*1.5*0.8/22,IF([2]项目总工作量!B$6="渠道类",H200*1.5*0.7/22,FALSE))))</f>
        <v>0.27272727272727271</v>
      </c>
      <c r="J200" s="88" t="s">
        <v>44</v>
      </c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  <c r="AV200" s="94"/>
      <c r="AW200" s="94"/>
      <c r="AX200" s="94"/>
      <c r="AY200" s="94"/>
      <c r="AZ200" s="94"/>
      <c r="BA200" s="94"/>
      <c r="BB200" s="94"/>
      <c r="BC200" s="94"/>
      <c r="BD200" s="94"/>
      <c r="BE200" s="94"/>
      <c r="BF200" s="94"/>
      <c r="BG200" s="94"/>
      <c r="BH200" s="94"/>
      <c r="BI200" s="94"/>
      <c r="BJ200" s="94"/>
      <c r="BK200" s="94"/>
      <c r="BL200" s="94"/>
      <c r="BM200" s="94"/>
      <c r="BN200" s="94"/>
      <c r="BO200" s="94"/>
      <c r="BP200" s="94"/>
      <c r="BQ200" s="94"/>
      <c r="BR200" s="94"/>
      <c r="BS200" s="94"/>
      <c r="BT200" s="94"/>
      <c r="BU200" s="94"/>
      <c r="BV200" s="94"/>
      <c r="BW200" s="94"/>
      <c r="BX200" s="94"/>
      <c r="BY200" s="94"/>
      <c r="BZ200" s="94"/>
      <c r="CA200" s="94"/>
      <c r="CB200" s="94"/>
      <c r="CC200" s="94"/>
      <c r="CD200" s="94"/>
      <c r="CE200" s="94"/>
      <c r="CF200" s="94"/>
      <c r="CG200" s="94"/>
      <c r="CH200" s="94"/>
      <c r="CI200" s="94"/>
      <c r="CJ200" s="94"/>
      <c r="CK200" s="94"/>
      <c r="CL200" s="94"/>
      <c r="CM200" s="94"/>
      <c r="CN200" s="94"/>
      <c r="CO200" s="94"/>
      <c r="CP200" s="94"/>
      <c r="CQ200" s="94"/>
      <c r="CR200" s="94"/>
      <c r="CS200" s="94"/>
      <c r="CT200" s="94"/>
      <c r="CU200" s="94"/>
      <c r="CV200" s="94"/>
      <c r="CW200" s="94"/>
      <c r="CX200" s="94"/>
      <c r="CY200" s="94"/>
      <c r="CZ200" s="94"/>
      <c r="DA200" s="94"/>
      <c r="DB200" s="94"/>
      <c r="DC200" s="94"/>
      <c r="DD200" s="94"/>
      <c r="DE200" s="94"/>
      <c r="DF200" s="94"/>
      <c r="DG200" s="94"/>
      <c r="DH200" s="94"/>
      <c r="DI200" s="94"/>
      <c r="DJ200" s="94"/>
      <c r="DK200" s="94"/>
      <c r="DL200" s="94"/>
      <c r="DM200" s="94"/>
      <c r="DN200" s="94"/>
      <c r="DO200" s="94"/>
      <c r="DP200" s="94"/>
      <c r="DQ200" s="94"/>
      <c r="DR200" s="94"/>
      <c r="DS200" s="94"/>
      <c r="DT200" s="94"/>
      <c r="DU200" s="94"/>
      <c r="DV200" s="94"/>
      <c r="DW200" s="94"/>
      <c r="DX200" s="94"/>
      <c r="DY200" s="94"/>
      <c r="DZ200" s="94"/>
      <c r="EA200" s="94"/>
      <c r="EB200" s="94"/>
      <c r="EC200" s="94"/>
      <c r="ED200" s="94"/>
      <c r="EE200" s="94"/>
      <c r="EF200" s="94"/>
      <c r="EG200" s="94"/>
      <c r="EH200" s="94"/>
      <c r="EI200" s="94"/>
      <c r="EJ200" s="94"/>
      <c r="EK200" s="94"/>
      <c r="EL200" s="94"/>
      <c r="EM200" s="94"/>
      <c r="EN200" s="94"/>
      <c r="EO200" s="94"/>
      <c r="EP200" s="94"/>
      <c r="EQ200" s="94"/>
      <c r="ER200" s="94"/>
      <c r="ES200" s="94"/>
      <c r="ET200" s="94"/>
      <c r="EU200" s="94"/>
      <c r="EV200" s="94"/>
      <c r="EW200" s="94"/>
      <c r="EX200" s="94"/>
      <c r="EY200" s="94"/>
      <c r="EZ200" s="94"/>
      <c r="FA200" s="94"/>
      <c r="FB200" s="94"/>
      <c r="FC200" s="94"/>
      <c r="FD200" s="94"/>
      <c r="FE200" s="94"/>
      <c r="FF200" s="94"/>
      <c r="FG200" s="94"/>
      <c r="FH200" s="94"/>
      <c r="FI200" s="94"/>
      <c r="FJ200" s="94"/>
      <c r="FK200" s="94"/>
      <c r="FL200" s="94"/>
      <c r="FM200" s="94"/>
      <c r="FN200" s="94"/>
      <c r="FO200" s="94"/>
      <c r="FP200" s="94"/>
      <c r="FQ200" s="94"/>
      <c r="FR200" s="94"/>
      <c r="FS200" s="94"/>
      <c r="FT200" s="94"/>
      <c r="FU200" s="94"/>
      <c r="FV200" s="94"/>
      <c r="FW200" s="94"/>
      <c r="FX200" s="94"/>
      <c r="FY200" s="94"/>
      <c r="FZ200" s="94"/>
      <c r="GA200" s="94"/>
      <c r="GB200" s="94"/>
      <c r="GC200" s="94"/>
      <c r="GD200" s="94"/>
      <c r="GE200" s="94"/>
      <c r="GF200" s="94"/>
      <c r="GG200" s="94"/>
      <c r="GH200" s="94"/>
      <c r="GI200" s="94"/>
      <c r="GJ200" s="94"/>
      <c r="GK200" s="94"/>
      <c r="GL200" s="94"/>
      <c r="GM200" s="94"/>
      <c r="GN200" s="94"/>
      <c r="GO200" s="94"/>
      <c r="GP200" s="94"/>
      <c r="GQ200" s="94"/>
      <c r="GR200" s="94"/>
      <c r="GS200" s="94"/>
      <c r="GT200" s="94"/>
      <c r="GU200" s="94"/>
      <c r="GV200" s="94"/>
      <c r="GW200" s="94"/>
      <c r="GX200" s="94"/>
      <c r="GY200" s="94"/>
      <c r="GZ200" s="94"/>
      <c r="HA200" s="94"/>
      <c r="HB200" s="94"/>
      <c r="HC200" s="94"/>
      <c r="HD200" s="94"/>
      <c r="HE200" s="94"/>
      <c r="HF200" s="94"/>
      <c r="HG200" s="94"/>
      <c r="HH200" s="94"/>
      <c r="HI200" s="94"/>
      <c r="HJ200" s="94"/>
      <c r="HK200" s="94"/>
      <c r="HL200" s="94"/>
      <c r="HM200" s="94"/>
      <c r="HN200" s="94"/>
      <c r="HO200" s="94"/>
      <c r="HP200" s="94"/>
      <c r="HQ200" s="94"/>
      <c r="HR200" s="94"/>
      <c r="HS200" s="94"/>
      <c r="HT200" s="94"/>
      <c r="HU200" s="94"/>
      <c r="HV200" s="94"/>
      <c r="HW200" s="94"/>
      <c r="HX200" s="94"/>
      <c r="HY200" s="94"/>
      <c r="HZ200" s="94"/>
      <c r="IA200" s="94"/>
      <c r="IB200" s="94"/>
      <c r="IC200" s="94"/>
      <c r="ID200" s="94"/>
      <c r="IE200" s="94"/>
      <c r="IF200" s="94"/>
      <c r="IG200" s="94"/>
      <c r="IH200" s="94"/>
      <c r="II200" s="94"/>
      <c r="IJ200" s="94"/>
      <c r="IK200" s="94"/>
      <c r="IL200" s="94"/>
      <c r="IM200" s="94"/>
      <c r="IN200" s="94"/>
      <c r="IO200" s="94"/>
      <c r="IP200" s="94"/>
      <c r="IQ200" s="94"/>
      <c r="IR200" s="94"/>
      <c r="IS200" s="94"/>
      <c r="IT200" s="94"/>
      <c r="IU200" s="94"/>
      <c r="IV200" s="94"/>
    </row>
    <row r="201" spans="1:256" s="95" customFormat="1" ht="16.95" customHeight="1">
      <c r="A201" s="132"/>
      <c r="B201" s="132"/>
      <c r="C201" s="136"/>
      <c r="D201" s="85">
        <f t="shared" si="10"/>
        <v>0.27272727272727271</v>
      </c>
      <c r="E201" s="98"/>
      <c r="F201" s="99" t="s">
        <v>434</v>
      </c>
      <c r="G201" s="88" t="s">
        <v>66</v>
      </c>
      <c r="H201" s="100">
        <f t="shared" si="9"/>
        <v>4</v>
      </c>
      <c r="I201" s="101">
        <f>IF([2]项目总工作量!B$6="交易类",H201*1.5/22,IF([2]项目总工作量!B$6="数据分析类",H201*1.5*0.9/22,IF([2]项目总工作量!B$6="流程管理类",H201*1.5*0.8/22,IF([2]项目总工作量!B$6="渠道类",H201*1.5*0.7/22,FALSE))))</f>
        <v>0.27272727272727271</v>
      </c>
      <c r="J201" s="88" t="s">
        <v>44</v>
      </c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  <c r="AV201" s="94"/>
      <c r="AW201" s="94"/>
      <c r="AX201" s="94"/>
      <c r="AY201" s="94"/>
      <c r="AZ201" s="94"/>
      <c r="BA201" s="94"/>
      <c r="BB201" s="94"/>
      <c r="BC201" s="94"/>
      <c r="BD201" s="94"/>
      <c r="BE201" s="94"/>
      <c r="BF201" s="94"/>
      <c r="BG201" s="94"/>
      <c r="BH201" s="94"/>
      <c r="BI201" s="94"/>
      <c r="BJ201" s="94"/>
      <c r="BK201" s="94"/>
      <c r="BL201" s="94"/>
      <c r="BM201" s="94"/>
      <c r="BN201" s="94"/>
      <c r="BO201" s="94"/>
      <c r="BP201" s="94"/>
      <c r="BQ201" s="94"/>
      <c r="BR201" s="94"/>
      <c r="BS201" s="94"/>
      <c r="BT201" s="94"/>
      <c r="BU201" s="94"/>
      <c r="BV201" s="94"/>
      <c r="BW201" s="94"/>
      <c r="BX201" s="94"/>
      <c r="BY201" s="94"/>
      <c r="BZ201" s="94"/>
      <c r="CA201" s="94"/>
      <c r="CB201" s="94"/>
      <c r="CC201" s="94"/>
      <c r="CD201" s="94"/>
      <c r="CE201" s="94"/>
      <c r="CF201" s="94"/>
      <c r="CG201" s="94"/>
      <c r="CH201" s="94"/>
      <c r="CI201" s="94"/>
      <c r="CJ201" s="94"/>
      <c r="CK201" s="94"/>
      <c r="CL201" s="94"/>
      <c r="CM201" s="94"/>
      <c r="CN201" s="94"/>
      <c r="CO201" s="94"/>
      <c r="CP201" s="94"/>
      <c r="CQ201" s="94"/>
      <c r="CR201" s="94"/>
      <c r="CS201" s="94"/>
      <c r="CT201" s="94"/>
      <c r="CU201" s="94"/>
      <c r="CV201" s="94"/>
      <c r="CW201" s="94"/>
      <c r="CX201" s="94"/>
      <c r="CY201" s="94"/>
      <c r="CZ201" s="94"/>
      <c r="DA201" s="94"/>
      <c r="DB201" s="94"/>
      <c r="DC201" s="94"/>
      <c r="DD201" s="94"/>
      <c r="DE201" s="94"/>
      <c r="DF201" s="94"/>
      <c r="DG201" s="94"/>
      <c r="DH201" s="94"/>
      <c r="DI201" s="94"/>
      <c r="DJ201" s="94"/>
      <c r="DK201" s="94"/>
      <c r="DL201" s="94"/>
      <c r="DM201" s="94"/>
      <c r="DN201" s="94"/>
      <c r="DO201" s="94"/>
      <c r="DP201" s="94"/>
      <c r="DQ201" s="94"/>
      <c r="DR201" s="94"/>
      <c r="DS201" s="94"/>
      <c r="DT201" s="94"/>
      <c r="DU201" s="94"/>
      <c r="DV201" s="94"/>
      <c r="DW201" s="94"/>
      <c r="DX201" s="94"/>
      <c r="DY201" s="94"/>
      <c r="DZ201" s="94"/>
      <c r="EA201" s="94"/>
      <c r="EB201" s="94"/>
      <c r="EC201" s="94"/>
      <c r="ED201" s="94"/>
      <c r="EE201" s="94"/>
      <c r="EF201" s="94"/>
      <c r="EG201" s="94"/>
      <c r="EH201" s="94"/>
      <c r="EI201" s="94"/>
      <c r="EJ201" s="94"/>
      <c r="EK201" s="94"/>
      <c r="EL201" s="94"/>
      <c r="EM201" s="94"/>
      <c r="EN201" s="94"/>
      <c r="EO201" s="94"/>
      <c r="EP201" s="94"/>
      <c r="EQ201" s="94"/>
      <c r="ER201" s="94"/>
      <c r="ES201" s="94"/>
      <c r="ET201" s="94"/>
      <c r="EU201" s="94"/>
      <c r="EV201" s="94"/>
      <c r="EW201" s="94"/>
      <c r="EX201" s="94"/>
      <c r="EY201" s="94"/>
      <c r="EZ201" s="94"/>
      <c r="FA201" s="94"/>
      <c r="FB201" s="94"/>
      <c r="FC201" s="94"/>
      <c r="FD201" s="94"/>
      <c r="FE201" s="94"/>
      <c r="FF201" s="94"/>
      <c r="FG201" s="94"/>
      <c r="FH201" s="94"/>
      <c r="FI201" s="94"/>
      <c r="FJ201" s="94"/>
      <c r="FK201" s="94"/>
      <c r="FL201" s="94"/>
      <c r="FM201" s="94"/>
      <c r="FN201" s="94"/>
      <c r="FO201" s="94"/>
      <c r="FP201" s="94"/>
      <c r="FQ201" s="94"/>
      <c r="FR201" s="94"/>
      <c r="FS201" s="94"/>
      <c r="FT201" s="94"/>
      <c r="FU201" s="94"/>
      <c r="FV201" s="94"/>
      <c r="FW201" s="94"/>
      <c r="FX201" s="94"/>
      <c r="FY201" s="94"/>
      <c r="FZ201" s="94"/>
      <c r="GA201" s="94"/>
      <c r="GB201" s="94"/>
      <c r="GC201" s="94"/>
      <c r="GD201" s="94"/>
      <c r="GE201" s="94"/>
      <c r="GF201" s="94"/>
      <c r="GG201" s="94"/>
      <c r="GH201" s="94"/>
      <c r="GI201" s="94"/>
      <c r="GJ201" s="94"/>
      <c r="GK201" s="94"/>
      <c r="GL201" s="94"/>
      <c r="GM201" s="94"/>
      <c r="GN201" s="94"/>
      <c r="GO201" s="94"/>
      <c r="GP201" s="94"/>
      <c r="GQ201" s="94"/>
      <c r="GR201" s="94"/>
      <c r="GS201" s="94"/>
      <c r="GT201" s="94"/>
      <c r="GU201" s="94"/>
      <c r="GV201" s="94"/>
      <c r="GW201" s="94"/>
      <c r="GX201" s="94"/>
      <c r="GY201" s="94"/>
      <c r="GZ201" s="94"/>
      <c r="HA201" s="94"/>
      <c r="HB201" s="94"/>
      <c r="HC201" s="94"/>
      <c r="HD201" s="94"/>
      <c r="HE201" s="94"/>
      <c r="HF201" s="94"/>
      <c r="HG201" s="94"/>
      <c r="HH201" s="94"/>
      <c r="HI201" s="94"/>
      <c r="HJ201" s="94"/>
      <c r="HK201" s="94"/>
      <c r="HL201" s="94"/>
      <c r="HM201" s="94"/>
      <c r="HN201" s="94"/>
      <c r="HO201" s="94"/>
      <c r="HP201" s="94"/>
      <c r="HQ201" s="94"/>
      <c r="HR201" s="94"/>
      <c r="HS201" s="94"/>
      <c r="HT201" s="94"/>
      <c r="HU201" s="94"/>
      <c r="HV201" s="94"/>
      <c r="HW201" s="94"/>
      <c r="HX201" s="94"/>
      <c r="HY201" s="94"/>
      <c r="HZ201" s="94"/>
      <c r="IA201" s="94"/>
      <c r="IB201" s="94"/>
      <c r="IC201" s="94"/>
      <c r="ID201" s="94"/>
      <c r="IE201" s="94"/>
      <c r="IF201" s="94"/>
      <c r="IG201" s="94"/>
      <c r="IH201" s="94"/>
      <c r="II201" s="94"/>
      <c r="IJ201" s="94"/>
      <c r="IK201" s="94"/>
      <c r="IL201" s="94"/>
      <c r="IM201" s="94"/>
      <c r="IN201" s="94"/>
      <c r="IO201" s="94"/>
      <c r="IP201" s="94"/>
      <c r="IQ201" s="94"/>
      <c r="IR201" s="94"/>
      <c r="IS201" s="94"/>
      <c r="IT201" s="94"/>
      <c r="IU201" s="94"/>
      <c r="IV201" s="94"/>
    </row>
    <row r="202" spans="1:256" s="95" customFormat="1" ht="16.95" customHeight="1">
      <c r="A202" s="132"/>
      <c r="B202" s="132"/>
      <c r="C202" s="136"/>
      <c r="D202" s="85">
        <f t="shared" si="10"/>
        <v>0.27272727272727271</v>
      </c>
      <c r="E202" s="98"/>
      <c r="F202" s="99" t="s">
        <v>435</v>
      </c>
      <c r="G202" s="88" t="s">
        <v>66</v>
      </c>
      <c r="H202" s="100">
        <f t="shared" si="9"/>
        <v>4</v>
      </c>
      <c r="I202" s="101">
        <f>IF([2]项目总工作量!B$6="交易类",H202*1.5/22,IF([2]项目总工作量!B$6="数据分析类",H202*1.5*0.9/22,IF([2]项目总工作量!B$6="流程管理类",H202*1.5*0.8/22,IF([2]项目总工作量!B$6="渠道类",H202*1.5*0.7/22,FALSE))))</f>
        <v>0.27272727272727271</v>
      </c>
      <c r="J202" s="88" t="s">
        <v>44</v>
      </c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  <c r="AV202" s="94"/>
      <c r="AW202" s="94"/>
      <c r="AX202" s="94"/>
      <c r="AY202" s="94"/>
      <c r="AZ202" s="94"/>
      <c r="BA202" s="94"/>
      <c r="BB202" s="94"/>
      <c r="BC202" s="94"/>
      <c r="BD202" s="94"/>
      <c r="BE202" s="94"/>
      <c r="BF202" s="94"/>
      <c r="BG202" s="94"/>
      <c r="BH202" s="94"/>
      <c r="BI202" s="94"/>
      <c r="BJ202" s="94"/>
      <c r="BK202" s="94"/>
      <c r="BL202" s="94"/>
      <c r="BM202" s="94"/>
      <c r="BN202" s="94"/>
      <c r="BO202" s="94"/>
      <c r="BP202" s="94"/>
      <c r="BQ202" s="94"/>
      <c r="BR202" s="94"/>
      <c r="BS202" s="94"/>
      <c r="BT202" s="94"/>
      <c r="BU202" s="94"/>
      <c r="BV202" s="94"/>
      <c r="BW202" s="94"/>
      <c r="BX202" s="94"/>
      <c r="BY202" s="94"/>
      <c r="BZ202" s="94"/>
      <c r="CA202" s="94"/>
      <c r="CB202" s="94"/>
      <c r="CC202" s="94"/>
      <c r="CD202" s="94"/>
      <c r="CE202" s="94"/>
      <c r="CF202" s="94"/>
      <c r="CG202" s="94"/>
      <c r="CH202" s="94"/>
      <c r="CI202" s="94"/>
      <c r="CJ202" s="94"/>
      <c r="CK202" s="94"/>
      <c r="CL202" s="94"/>
      <c r="CM202" s="94"/>
      <c r="CN202" s="94"/>
      <c r="CO202" s="94"/>
      <c r="CP202" s="94"/>
      <c r="CQ202" s="94"/>
      <c r="CR202" s="94"/>
      <c r="CS202" s="94"/>
      <c r="CT202" s="94"/>
      <c r="CU202" s="94"/>
      <c r="CV202" s="94"/>
      <c r="CW202" s="94"/>
      <c r="CX202" s="94"/>
      <c r="CY202" s="94"/>
      <c r="CZ202" s="94"/>
      <c r="DA202" s="94"/>
      <c r="DB202" s="94"/>
      <c r="DC202" s="94"/>
      <c r="DD202" s="94"/>
      <c r="DE202" s="94"/>
      <c r="DF202" s="94"/>
      <c r="DG202" s="94"/>
      <c r="DH202" s="94"/>
      <c r="DI202" s="94"/>
      <c r="DJ202" s="94"/>
      <c r="DK202" s="94"/>
      <c r="DL202" s="94"/>
      <c r="DM202" s="94"/>
      <c r="DN202" s="94"/>
      <c r="DO202" s="94"/>
      <c r="DP202" s="94"/>
      <c r="DQ202" s="94"/>
      <c r="DR202" s="94"/>
      <c r="DS202" s="94"/>
      <c r="DT202" s="94"/>
      <c r="DU202" s="94"/>
      <c r="DV202" s="94"/>
      <c r="DW202" s="94"/>
      <c r="DX202" s="94"/>
      <c r="DY202" s="94"/>
      <c r="DZ202" s="94"/>
      <c r="EA202" s="94"/>
      <c r="EB202" s="94"/>
      <c r="EC202" s="94"/>
      <c r="ED202" s="94"/>
      <c r="EE202" s="94"/>
      <c r="EF202" s="94"/>
      <c r="EG202" s="94"/>
      <c r="EH202" s="94"/>
      <c r="EI202" s="94"/>
      <c r="EJ202" s="94"/>
      <c r="EK202" s="94"/>
      <c r="EL202" s="94"/>
      <c r="EM202" s="94"/>
      <c r="EN202" s="94"/>
      <c r="EO202" s="94"/>
      <c r="EP202" s="94"/>
      <c r="EQ202" s="94"/>
      <c r="ER202" s="94"/>
      <c r="ES202" s="94"/>
      <c r="ET202" s="94"/>
      <c r="EU202" s="94"/>
      <c r="EV202" s="94"/>
      <c r="EW202" s="94"/>
      <c r="EX202" s="94"/>
      <c r="EY202" s="94"/>
      <c r="EZ202" s="94"/>
      <c r="FA202" s="94"/>
      <c r="FB202" s="94"/>
      <c r="FC202" s="94"/>
      <c r="FD202" s="94"/>
      <c r="FE202" s="94"/>
      <c r="FF202" s="94"/>
      <c r="FG202" s="94"/>
      <c r="FH202" s="94"/>
      <c r="FI202" s="94"/>
      <c r="FJ202" s="94"/>
      <c r="FK202" s="94"/>
      <c r="FL202" s="94"/>
      <c r="FM202" s="94"/>
      <c r="FN202" s="94"/>
      <c r="FO202" s="94"/>
      <c r="FP202" s="94"/>
      <c r="FQ202" s="94"/>
      <c r="FR202" s="94"/>
      <c r="FS202" s="94"/>
      <c r="FT202" s="94"/>
      <c r="FU202" s="94"/>
      <c r="FV202" s="94"/>
      <c r="FW202" s="94"/>
      <c r="FX202" s="94"/>
      <c r="FY202" s="94"/>
      <c r="FZ202" s="94"/>
      <c r="GA202" s="94"/>
      <c r="GB202" s="94"/>
      <c r="GC202" s="94"/>
      <c r="GD202" s="94"/>
      <c r="GE202" s="94"/>
      <c r="GF202" s="94"/>
      <c r="GG202" s="94"/>
      <c r="GH202" s="94"/>
      <c r="GI202" s="94"/>
      <c r="GJ202" s="94"/>
      <c r="GK202" s="94"/>
      <c r="GL202" s="94"/>
      <c r="GM202" s="94"/>
      <c r="GN202" s="94"/>
      <c r="GO202" s="94"/>
      <c r="GP202" s="94"/>
      <c r="GQ202" s="94"/>
      <c r="GR202" s="94"/>
      <c r="GS202" s="94"/>
      <c r="GT202" s="94"/>
      <c r="GU202" s="94"/>
      <c r="GV202" s="94"/>
      <c r="GW202" s="94"/>
      <c r="GX202" s="94"/>
      <c r="GY202" s="94"/>
      <c r="GZ202" s="94"/>
      <c r="HA202" s="94"/>
      <c r="HB202" s="94"/>
      <c r="HC202" s="94"/>
      <c r="HD202" s="94"/>
      <c r="HE202" s="94"/>
      <c r="HF202" s="94"/>
      <c r="HG202" s="94"/>
      <c r="HH202" s="94"/>
      <c r="HI202" s="94"/>
      <c r="HJ202" s="94"/>
      <c r="HK202" s="94"/>
      <c r="HL202" s="94"/>
      <c r="HM202" s="94"/>
      <c r="HN202" s="94"/>
      <c r="HO202" s="94"/>
      <c r="HP202" s="94"/>
      <c r="HQ202" s="94"/>
      <c r="HR202" s="94"/>
      <c r="HS202" s="94"/>
      <c r="HT202" s="94"/>
      <c r="HU202" s="94"/>
      <c r="HV202" s="94"/>
      <c r="HW202" s="94"/>
      <c r="HX202" s="94"/>
      <c r="HY202" s="94"/>
      <c r="HZ202" s="94"/>
      <c r="IA202" s="94"/>
      <c r="IB202" s="94"/>
      <c r="IC202" s="94"/>
      <c r="ID202" s="94"/>
      <c r="IE202" s="94"/>
      <c r="IF202" s="94"/>
      <c r="IG202" s="94"/>
      <c r="IH202" s="94"/>
      <c r="II202" s="94"/>
      <c r="IJ202" s="94"/>
      <c r="IK202" s="94"/>
      <c r="IL202" s="94"/>
      <c r="IM202" s="94"/>
      <c r="IN202" s="94"/>
      <c r="IO202" s="94"/>
      <c r="IP202" s="94"/>
      <c r="IQ202" s="94"/>
      <c r="IR202" s="94"/>
      <c r="IS202" s="94"/>
      <c r="IT202" s="94"/>
      <c r="IU202" s="94"/>
      <c r="IV202" s="94"/>
    </row>
    <row r="203" spans="1:256" s="95" customFormat="1" ht="16.95" customHeight="1">
      <c r="A203" s="132"/>
      <c r="B203" s="132"/>
      <c r="C203" s="136"/>
      <c r="D203" s="85">
        <f t="shared" si="10"/>
        <v>0.27272727272727271</v>
      </c>
      <c r="E203" s="98"/>
      <c r="F203" s="99" t="s">
        <v>436</v>
      </c>
      <c r="G203" s="88" t="s">
        <v>66</v>
      </c>
      <c r="H203" s="100">
        <f t="shared" si="9"/>
        <v>4</v>
      </c>
      <c r="I203" s="101">
        <f>IF([2]项目总工作量!B$6="交易类",H203*1.5/22,IF([2]项目总工作量!B$6="数据分析类",H203*1.5*0.9/22,IF([2]项目总工作量!B$6="流程管理类",H203*1.5*0.8/22,IF([2]项目总工作量!B$6="渠道类",H203*1.5*0.7/22,FALSE))))</f>
        <v>0.27272727272727271</v>
      </c>
      <c r="J203" s="88" t="s">
        <v>44</v>
      </c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  <c r="AI203" s="94"/>
      <c r="AJ203" s="94"/>
      <c r="AK203" s="94"/>
      <c r="AL203" s="94"/>
      <c r="AM203" s="94"/>
      <c r="AN203" s="94"/>
      <c r="AO203" s="94"/>
      <c r="AP203" s="94"/>
      <c r="AQ203" s="94"/>
      <c r="AR203" s="94"/>
      <c r="AS203" s="94"/>
      <c r="AT203" s="94"/>
      <c r="AU203" s="94"/>
      <c r="AV203" s="94"/>
      <c r="AW203" s="94"/>
      <c r="AX203" s="94"/>
      <c r="AY203" s="94"/>
      <c r="AZ203" s="94"/>
      <c r="BA203" s="94"/>
      <c r="BB203" s="94"/>
      <c r="BC203" s="94"/>
      <c r="BD203" s="94"/>
      <c r="BE203" s="94"/>
      <c r="BF203" s="94"/>
      <c r="BG203" s="94"/>
      <c r="BH203" s="94"/>
      <c r="BI203" s="94"/>
      <c r="BJ203" s="94"/>
      <c r="BK203" s="94"/>
      <c r="BL203" s="94"/>
      <c r="BM203" s="94"/>
      <c r="BN203" s="94"/>
      <c r="BO203" s="94"/>
      <c r="BP203" s="94"/>
      <c r="BQ203" s="94"/>
      <c r="BR203" s="94"/>
      <c r="BS203" s="94"/>
      <c r="BT203" s="94"/>
      <c r="BU203" s="94"/>
      <c r="BV203" s="94"/>
      <c r="BW203" s="94"/>
      <c r="BX203" s="94"/>
      <c r="BY203" s="94"/>
      <c r="BZ203" s="94"/>
      <c r="CA203" s="94"/>
      <c r="CB203" s="94"/>
      <c r="CC203" s="94"/>
      <c r="CD203" s="94"/>
      <c r="CE203" s="94"/>
      <c r="CF203" s="94"/>
      <c r="CG203" s="94"/>
      <c r="CH203" s="94"/>
      <c r="CI203" s="94"/>
      <c r="CJ203" s="94"/>
      <c r="CK203" s="94"/>
      <c r="CL203" s="94"/>
      <c r="CM203" s="94"/>
      <c r="CN203" s="94"/>
      <c r="CO203" s="94"/>
      <c r="CP203" s="94"/>
      <c r="CQ203" s="94"/>
      <c r="CR203" s="94"/>
      <c r="CS203" s="94"/>
      <c r="CT203" s="94"/>
      <c r="CU203" s="94"/>
      <c r="CV203" s="94"/>
      <c r="CW203" s="94"/>
      <c r="CX203" s="94"/>
      <c r="CY203" s="94"/>
      <c r="CZ203" s="94"/>
      <c r="DA203" s="94"/>
      <c r="DB203" s="94"/>
      <c r="DC203" s="94"/>
      <c r="DD203" s="94"/>
      <c r="DE203" s="94"/>
      <c r="DF203" s="94"/>
      <c r="DG203" s="94"/>
      <c r="DH203" s="94"/>
      <c r="DI203" s="94"/>
      <c r="DJ203" s="94"/>
      <c r="DK203" s="94"/>
      <c r="DL203" s="94"/>
      <c r="DM203" s="94"/>
      <c r="DN203" s="94"/>
      <c r="DO203" s="94"/>
      <c r="DP203" s="94"/>
      <c r="DQ203" s="94"/>
      <c r="DR203" s="94"/>
      <c r="DS203" s="94"/>
      <c r="DT203" s="94"/>
      <c r="DU203" s="94"/>
      <c r="DV203" s="94"/>
      <c r="DW203" s="94"/>
      <c r="DX203" s="94"/>
      <c r="DY203" s="94"/>
      <c r="DZ203" s="94"/>
      <c r="EA203" s="94"/>
      <c r="EB203" s="94"/>
      <c r="EC203" s="94"/>
      <c r="ED203" s="94"/>
      <c r="EE203" s="94"/>
      <c r="EF203" s="94"/>
      <c r="EG203" s="94"/>
      <c r="EH203" s="94"/>
      <c r="EI203" s="94"/>
      <c r="EJ203" s="94"/>
      <c r="EK203" s="94"/>
      <c r="EL203" s="94"/>
      <c r="EM203" s="94"/>
      <c r="EN203" s="94"/>
      <c r="EO203" s="94"/>
      <c r="EP203" s="94"/>
      <c r="EQ203" s="94"/>
      <c r="ER203" s="94"/>
      <c r="ES203" s="94"/>
      <c r="ET203" s="94"/>
      <c r="EU203" s="94"/>
      <c r="EV203" s="94"/>
      <c r="EW203" s="94"/>
      <c r="EX203" s="94"/>
      <c r="EY203" s="94"/>
      <c r="EZ203" s="94"/>
      <c r="FA203" s="94"/>
      <c r="FB203" s="94"/>
      <c r="FC203" s="94"/>
      <c r="FD203" s="94"/>
      <c r="FE203" s="94"/>
      <c r="FF203" s="94"/>
      <c r="FG203" s="94"/>
      <c r="FH203" s="94"/>
      <c r="FI203" s="94"/>
      <c r="FJ203" s="94"/>
      <c r="FK203" s="94"/>
      <c r="FL203" s="94"/>
      <c r="FM203" s="94"/>
      <c r="FN203" s="94"/>
      <c r="FO203" s="94"/>
      <c r="FP203" s="94"/>
      <c r="FQ203" s="94"/>
      <c r="FR203" s="94"/>
      <c r="FS203" s="94"/>
      <c r="FT203" s="94"/>
      <c r="FU203" s="94"/>
      <c r="FV203" s="94"/>
      <c r="FW203" s="94"/>
      <c r="FX203" s="94"/>
      <c r="FY203" s="94"/>
      <c r="FZ203" s="94"/>
      <c r="GA203" s="94"/>
      <c r="GB203" s="94"/>
      <c r="GC203" s="94"/>
      <c r="GD203" s="94"/>
      <c r="GE203" s="94"/>
      <c r="GF203" s="94"/>
      <c r="GG203" s="94"/>
      <c r="GH203" s="94"/>
      <c r="GI203" s="94"/>
      <c r="GJ203" s="94"/>
      <c r="GK203" s="94"/>
      <c r="GL203" s="94"/>
      <c r="GM203" s="94"/>
      <c r="GN203" s="94"/>
      <c r="GO203" s="94"/>
      <c r="GP203" s="94"/>
      <c r="GQ203" s="94"/>
      <c r="GR203" s="94"/>
      <c r="GS203" s="94"/>
      <c r="GT203" s="94"/>
      <c r="GU203" s="94"/>
      <c r="GV203" s="94"/>
      <c r="GW203" s="94"/>
      <c r="GX203" s="94"/>
      <c r="GY203" s="94"/>
      <c r="GZ203" s="94"/>
      <c r="HA203" s="94"/>
      <c r="HB203" s="94"/>
      <c r="HC203" s="94"/>
      <c r="HD203" s="94"/>
      <c r="HE203" s="94"/>
      <c r="HF203" s="94"/>
      <c r="HG203" s="94"/>
      <c r="HH203" s="94"/>
      <c r="HI203" s="94"/>
      <c r="HJ203" s="94"/>
      <c r="HK203" s="94"/>
      <c r="HL203" s="94"/>
      <c r="HM203" s="94"/>
      <c r="HN203" s="94"/>
      <c r="HO203" s="94"/>
      <c r="HP203" s="94"/>
      <c r="HQ203" s="94"/>
      <c r="HR203" s="94"/>
      <c r="HS203" s="94"/>
      <c r="HT203" s="94"/>
      <c r="HU203" s="94"/>
      <c r="HV203" s="94"/>
      <c r="HW203" s="94"/>
      <c r="HX203" s="94"/>
      <c r="HY203" s="94"/>
      <c r="HZ203" s="94"/>
      <c r="IA203" s="94"/>
      <c r="IB203" s="94"/>
      <c r="IC203" s="94"/>
      <c r="ID203" s="94"/>
      <c r="IE203" s="94"/>
      <c r="IF203" s="94"/>
      <c r="IG203" s="94"/>
      <c r="IH203" s="94"/>
      <c r="II203" s="94"/>
      <c r="IJ203" s="94"/>
      <c r="IK203" s="94"/>
      <c r="IL203" s="94"/>
      <c r="IM203" s="94"/>
      <c r="IN203" s="94"/>
      <c r="IO203" s="94"/>
      <c r="IP203" s="94"/>
      <c r="IQ203" s="94"/>
      <c r="IR203" s="94"/>
      <c r="IS203" s="94"/>
      <c r="IT203" s="94"/>
      <c r="IU203" s="94"/>
      <c r="IV203" s="94"/>
    </row>
    <row r="204" spans="1:256" s="95" customFormat="1" ht="16.95" customHeight="1">
      <c r="A204" s="132"/>
      <c r="B204" s="132"/>
      <c r="C204" s="136"/>
      <c r="D204" s="85">
        <f t="shared" si="10"/>
        <v>0.27272727272727271</v>
      </c>
      <c r="E204" s="98"/>
      <c r="F204" s="99" t="s">
        <v>437</v>
      </c>
      <c r="G204" s="88" t="s">
        <v>66</v>
      </c>
      <c r="H204" s="100">
        <f t="shared" si="9"/>
        <v>4</v>
      </c>
      <c r="I204" s="101">
        <f>IF([2]项目总工作量!B$6="交易类",H204*1.5/22,IF([2]项目总工作量!B$6="数据分析类",H204*1.5*0.9/22,IF([2]项目总工作量!B$6="流程管理类",H204*1.5*0.8/22,IF([2]项目总工作量!B$6="渠道类",H204*1.5*0.7/22,FALSE))))</f>
        <v>0.27272727272727271</v>
      </c>
      <c r="J204" s="88" t="s">
        <v>44</v>
      </c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  <c r="AI204" s="94"/>
      <c r="AJ204" s="94"/>
      <c r="AK204" s="94"/>
      <c r="AL204" s="94"/>
      <c r="AM204" s="94"/>
      <c r="AN204" s="94"/>
      <c r="AO204" s="94"/>
      <c r="AP204" s="94"/>
      <c r="AQ204" s="94"/>
      <c r="AR204" s="94"/>
      <c r="AS204" s="94"/>
      <c r="AT204" s="94"/>
      <c r="AU204" s="94"/>
      <c r="AV204" s="94"/>
      <c r="AW204" s="94"/>
      <c r="AX204" s="94"/>
      <c r="AY204" s="94"/>
      <c r="AZ204" s="94"/>
      <c r="BA204" s="94"/>
      <c r="BB204" s="94"/>
      <c r="BC204" s="94"/>
      <c r="BD204" s="94"/>
      <c r="BE204" s="94"/>
      <c r="BF204" s="94"/>
      <c r="BG204" s="94"/>
      <c r="BH204" s="94"/>
      <c r="BI204" s="94"/>
      <c r="BJ204" s="94"/>
      <c r="BK204" s="94"/>
      <c r="BL204" s="94"/>
      <c r="BM204" s="94"/>
      <c r="BN204" s="94"/>
      <c r="BO204" s="94"/>
      <c r="BP204" s="94"/>
      <c r="BQ204" s="94"/>
      <c r="BR204" s="94"/>
      <c r="BS204" s="94"/>
      <c r="BT204" s="94"/>
      <c r="BU204" s="94"/>
      <c r="BV204" s="94"/>
      <c r="BW204" s="94"/>
      <c r="BX204" s="94"/>
      <c r="BY204" s="94"/>
      <c r="BZ204" s="94"/>
      <c r="CA204" s="94"/>
      <c r="CB204" s="94"/>
      <c r="CC204" s="94"/>
      <c r="CD204" s="94"/>
      <c r="CE204" s="94"/>
      <c r="CF204" s="94"/>
      <c r="CG204" s="94"/>
      <c r="CH204" s="94"/>
      <c r="CI204" s="94"/>
      <c r="CJ204" s="94"/>
      <c r="CK204" s="94"/>
      <c r="CL204" s="94"/>
      <c r="CM204" s="94"/>
      <c r="CN204" s="94"/>
      <c r="CO204" s="94"/>
      <c r="CP204" s="94"/>
      <c r="CQ204" s="94"/>
      <c r="CR204" s="94"/>
      <c r="CS204" s="94"/>
      <c r="CT204" s="94"/>
      <c r="CU204" s="94"/>
      <c r="CV204" s="94"/>
      <c r="CW204" s="94"/>
      <c r="CX204" s="94"/>
      <c r="CY204" s="94"/>
      <c r="CZ204" s="94"/>
      <c r="DA204" s="94"/>
      <c r="DB204" s="94"/>
      <c r="DC204" s="94"/>
      <c r="DD204" s="94"/>
      <c r="DE204" s="94"/>
      <c r="DF204" s="94"/>
      <c r="DG204" s="94"/>
      <c r="DH204" s="94"/>
      <c r="DI204" s="94"/>
      <c r="DJ204" s="94"/>
      <c r="DK204" s="94"/>
      <c r="DL204" s="94"/>
      <c r="DM204" s="94"/>
      <c r="DN204" s="94"/>
      <c r="DO204" s="94"/>
      <c r="DP204" s="94"/>
      <c r="DQ204" s="94"/>
      <c r="DR204" s="94"/>
      <c r="DS204" s="94"/>
      <c r="DT204" s="94"/>
      <c r="DU204" s="94"/>
      <c r="DV204" s="94"/>
      <c r="DW204" s="94"/>
      <c r="DX204" s="94"/>
      <c r="DY204" s="94"/>
      <c r="DZ204" s="94"/>
      <c r="EA204" s="94"/>
      <c r="EB204" s="94"/>
      <c r="EC204" s="94"/>
      <c r="ED204" s="94"/>
      <c r="EE204" s="94"/>
      <c r="EF204" s="94"/>
      <c r="EG204" s="94"/>
      <c r="EH204" s="94"/>
      <c r="EI204" s="94"/>
      <c r="EJ204" s="94"/>
      <c r="EK204" s="94"/>
      <c r="EL204" s="94"/>
      <c r="EM204" s="94"/>
      <c r="EN204" s="94"/>
      <c r="EO204" s="94"/>
      <c r="EP204" s="94"/>
      <c r="EQ204" s="94"/>
      <c r="ER204" s="94"/>
      <c r="ES204" s="94"/>
      <c r="ET204" s="94"/>
      <c r="EU204" s="94"/>
      <c r="EV204" s="94"/>
      <c r="EW204" s="94"/>
      <c r="EX204" s="94"/>
      <c r="EY204" s="94"/>
      <c r="EZ204" s="94"/>
      <c r="FA204" s="94"/>
      <c r="FB204" s="94"/>
      <c r="FC204" s="94"/>
      <c r="FD204" s="94"/>
      <c r="FE204" s="94"/>
      <c r="FF204" s="94"/>
      <c r="FG204" s="94"/>
      <c r="FH204" s="94"/>
      <c r="FI204" s="94"/>
      <c r="FJ204" s="94"/>
      <c r="FK204" s="94"/>
      <c r="FL204" s="94"/>
      <c r="FM204" s="94"/>
      <c r="FN204" s="94"/>
      <c r="FO204" s="94"/>
      <c r="FP204" s="94"/>
      <c r="FQ204" s="94"/>
      <c r="FR204" s="94"/>
      <c r="FS204" s="94"/>
      <c r="FT204" s="94"/>
      <c r="FU204" s="94"/>
      <c r="FV204" s="94"/>
      <c r="FW204" s="94"/>
      <c r="FX204" s="94"/>
      <c r="FY204" s="94"/>
      <c r="FZ204" s="94"/>
      <c r="GA204" s="94"/>
      <c r="GB204" s="94"/>
      <c r="GC204" s="94"/>
      <c r="GD204" s="94"/>
      <c r="GE204" s="94"/>
      <c r="GF204" s="94"/>
      <c r="GG204" s="94"/>
      <c r="GH204" s="94"/>
      <c r="GI204" s="94"/>
      <c r="GJ204" s="94"/>
      <c r="GK204" s="94"/>
      <c r="GL204" s="94"/>
      <c r="GM204" s="94"/>
      <c r="GN204" s="94"/>
      <c r="GO204" s="94"/>
      <c r="GP204" s="94"/>
      <c r="GQ204" s="94"/>
      <c r="GR204" s="94"/>
      <c r="GS204" s="94"/>
      <c r="GT204" s="94"/>
      <c r="GU204" s="94"/>
      <c r="GV204" s="94"/>
      <c r="GW204" s="94"/>
      <c r="GX204" s="94"/>
      <c r="GY204" s="94"/>
      <c r="GZ204" s="94"/>
      <c r="HA204" s="94"/>
      <c r="HB204" s="94"/>
      <c r="HC204" s="94"/>
      <c r="HD204" s="94"/>
      <c r="HE204" s="94"/>
      <c r="HF204" s="94"/>
      <c r="HG204" s="94"/>
      <c r="HH204" s="94"/>
      <c r="HI204" s="94"/>
      <c r="HJ204" s="94"/>
      <c r="HK204" s="94"/>
      <c r="HL204" s="94"/>
      <c r="HM204" s="94"/>
      <c r="HN204" s="94"/>
      <c r="HO204" s="94"/>
      <c r="HP204" s="94"/>
      <c r="HQ204" s="94"/>
      <c r="HR204" s="94"/>
      <c r="HS204" s="94"/>
      <c r="HT204" s="94"/>
      <c r="HU204" s="94"/>
      <c r="HV204" s="94"/>
      <c r="HW204" s="94"/>
      <c r="HX204" s="94"/>
      <c r="HY204" s="94"/>
      <c r="HZ204" s="94"/>
      <c r="IA204" s="94"/>
      <c r="IB204" s="94"/>
      <c r="IC204" s="94"/>
      <c r="ID204" s="94"/>
      <c r="IE204" s="94"/>
      <c r="IF204" s="94"/>
      <c r="IG204" s="94"/>
      <c r="IH204" s="94"/>
      <c r="II204" s="94"/>
      <c r="IJ204" s="94"/>
      <c r="IK204" s="94"/>
      <c r="IL204" s="94"/>
      <c r="IM204" s="94"/>
      <c r="IN204" s="94"/>
      <c r="IO204" s="94"/>
      <c r="IP204" s="94"/>
      <c r="IQ204" s="94"/>
      <c r="IR204" s="94"/>
      <c r="IS204" s="94"/>
      <c r="IT204" s="94"/>
      <c r="IU204" s="94"/>
      <c r="IV204" s="94"/>
    </row>
    <row r="205" spans="1:256" s="95" customFormat="1" ht="16.95" customHeight="1">
      <c r="A205" s="132"/>
      <c r="B205" s="132"/>
      <c r="C205" s="136"/>
      <c r="D205" s="85">
        <f t="shared" si="10"/>
        <v>0.27272727272727271</v>
      </c>
      <c r="E205" s="98"/>
      <c r="F205" s="99" t="s">
        <v>438</v>
      </c>
      <c r="G205" s="88" t="s">
        <v>66</v>
      </c>
      <c r="H205" s="100">
        <f t="shared" si="9"/>
        <v>4</v>
      </c>
      <c r="I205" s="101">
        <f>IF([2]项目总工作量!B$6="交易类",H205*1.5/22,IF([2]项目总工作量!B$6="数据分析类",H205*1.5*0.9/22,IF([2]项目总工作量!B$6="流程管理类",H205*1.5*0.8/22,IF([2]项目总工作量!B$6="渠道类",H205*1.5*0.7/22,FALSE))))</f>
        <v>0.27272727272727271</v>
      </c>
      <c r="J205" s="88" t="s">
        <v>44</v>
      </c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  <c r="AV205" s="94"/>
      <c r="AW205" s="94"/>
      <c r="AX205" s="94"/>
      <c r="AY205" s="94"/>
      <c r="AZ205" s="94"/>
      <c r="BA205" s="94"/>
      <c r="BB205" s="94"/>
      <c r="BC205" s="94"/>
      <c r="BD205" s="94"/>
      <c r="BE205" s="94"/>
      <c r="BF205" s="94"/>
      <c r="BG205" s="94"/>
      <c r="BH205" s="94"/>
      <c r="BI205" s="94"/>
      <c r="BJ205" s="94"/>
      <c r="BK205" s="94"/>
      <c r="BL205" s="94"/>
      <c r="BM205" s="94"/>
      <c r="BN205" s="94"/>
      <c r="BO205" s="94"/>
      <c r="BP205" s="94"/>
      <c r="BQ205" s="94"/>
      <c r="BR205" s="94"/>
      <c r="BS205" s="94"/>
      <c r="BT205" s="94"/>
      <c r="BU205" s="94"/>
      <c r="BV205" s="94"/>
      <c r="BW205" s="94"/>
      <c r="BX205" s="94"/>
      <c r="BY205" s="94"/>
      <c r="BZ205" s="94"/>
      <c r="CA205" s="94"/>
      <c r="CB205" s="94"/>
      <c r="CC205" s="94"/>
      <c r="CD205" s="94"/>
      <c r="CE205" s="94"/>
      <c r="CF205" s="94"/>
      <c r="CG205" s="94"/>
      <c r="CH205" s="94"/>
      <c r="CI205" s="94"/>
      <c r="CJ205" s="94"/>
      <c r="CK205" s="94"/>
      <c r="CL205" s="94"/>
      <c r="CM205" s="94"/>
      <c r="CN205" s="94"/>
      <c r="CO205" s="94"/>
      <c r="CP205" s="94"/>
      <c r="CQ205" s="94"/>
      <c r="CR205" s="94"/>
      <c r="CS205" s="94"/>
      <c r="CT205" s="94"/>
      <c r="CU205" s="94"/>
      <c r="CV205" s="94"/>
      <c r="CW205" s="94"/>
      <c r="CX205" s="94"/>
      <c r="CY205" s="94"/>
      <c r="CZ205" s="94"/>
      <c r="DA205" s="94"/>
      <c r="DB205" s="94"/>
      <c r="DC205" s="94"/>
      <c r="DD205" s="94"/>
      <c r="DE205" s="94"/>
      <c r="DF205" s="94"/>
      <c r="DG205" s="94"/>
      <c r="DH205" s="94"/>
      <c r="DI205" s="94"/>
      <c r="DJ205" s="94"/>
      <c r="DK205" s="94"/>
      <c r="DL205" s="94"/>
      <c r="DM205" s="94"/>
      <c r="DN205" s="94"/>
      <c r="DO205" s="94"/>
      <c r="DP205" s="94"/>
      <c r="DQ205" s="94"/>
      <c r="DR205" s="94"/>
      <c r="DS205" s="94"/>
      <c r="DT205" s="94"/>
      <c r="DU205" s="94"/>
      <c r="DV205" s="94"/>
      <c r="DW205" s="94"/>
      <c r="DX205" s="94"/>
      <c r="DY205" s="94"/>
      <c r="DZ205" s="94"/>
      <c r="EA205" s="94"/>
      <c r="EB205" s="94"/>
      <c r="EC205" s="94"/>
      <c r="ED205" s="94"/>
      <c r="EE205" s="94"/>
      <c r="EF205" s="94"/>
      <c r="EG205" s="94"/>
      <c r="EH205" s="94"/>
      <c r="EI205" s="94"/>
      <c r="EJ205" s="94"/>
      <c r="EK205" s="94"/>
      <c r="EL205" s="94"/>
      <c r="EM205" s="94"/>
      <c r="EN205" s="94"/>
      <c r="EO205" s="94"/>
      <c r="EP205" s="94"/>
      <c r="EQ205" s="94"/>
      <c r="ER205" s="94"/>
      <c r="ES205" s="94"/>
      <c r="ET205" s="94"/>
      <c r="EU205" s="94"/>
      <c r="EV205" s="94"/>
      <c r="EW205" s="94"/>
      <c r="EX205" s="94"/>
      <c r="EY205" s="94"/>
      <c r="EZ205" s="94"/>
      <c r="FA205" s="94"/>
      <c r="FB205" s="94"/>
      <c r="FC205" s="94"/>
      <c r="FD205" s="94"/>
      <c r="FE205" s="94"/>
      <c r="FF205" s="94"/>
      <c r="FG205" s="94"/>
      <c r="FH205" s="94"/>
      <c r="FI205" s="94"/>
      <c r="FJ205" s="94"/>
      <c r="FK205" s="94"/>
      <c r="FL205" s="94"/>
      <c r="FM205" s="94"/>
      <c r="FN205" s="94"/>
      <c r="FO205" s="94"/>
      <c r="FP205" s="94"/>
      <c r="FQ205" s="94"/>
      <c r="FR205" s="94"/>
      <c r="FS205" s="94"/>
      <c r="FT205" s="94"/>
      <c r="FU205" s="94"/>
      <c r="FV205" s="94"/>
      <c r="FW205" s="94"/>
      <c r="FX205" s="94"/>
      <c r="FY205" s="94"/>
      <c r="FZ205" s="94"/>
      <c r="GA205" s="94"/>
      <c r="GB205" s="94"/>
      <c r="GC205" s="94"/>
      <c r="GD205" s="94"/>
      <c r="GE205" s="94"/>
      <c r="GF205" s="94"/>
      <c r="GG205" s="94"/>
      <c r="GH205" s="94"/>
      <c r="GI205" s="94"/>
      <c r="GJ205" s="94"/>
      <c r="GK205" s="94"/>
      <c r="GL205" s="94"/>
      <c r="GM205" s="94"/>
      <c r="GN205" s="94"/>
      <c r="GO205" s="94"/>
      <c r="GP205" s="94"/>
      <c r="GQ205" s="94"/>
      <c r="GR205" s="94"/>
      <c r="GS205" s="94"/>
      <c r="GT205" s="94"/>
      <c r="GU205" s="94"/>
      <c r="GV205" s="94"/>
      <c r="GW205" s="94"/>
      <c r="GX205" s="94"/>
      <c r="GY205" s="94"/>
      <c r="GZ205" s="94"/>
      <c r="HA205" s="94"/>
      <c r="HB205" s="94"/>
      <c r="HC205" s="94"/>
      <c r="HD205" s="94"/>
      <c r="HE205" s="94"/>
      <c r="HF205" s="94"/>
      <c r="HG205" s="94"/>
      <c r="HH205" s="94"/>
      <c r="HI205" s="94"/>
      <c r="HJ205" s="94"/>
      <c r="HK205" s="94"/>
      <c r="HL205" s="94"/>
      <c r="HM205" s="94"/>
      <c r="HN205" s="94"/>
      <c r="HO205" s="94"/>
      <c r="HP205" s="94"/>
      <c r="HQ205" s="94"/>
      <c r="HR205" s="94"/>
      <c r="HS205" s="94"/>
      <c r="HT205" s="94"/>
      <c r="HU205" s="94"/>
      <c r="HV205" s="94"/>
      <c r="HW205" s="94"/>
      <c r="HX205" s="94"/>
      <c r="HY205" s="94"/>
      <c r="HZ205" s="94"/>
      <c r="IA205" s="94"/>
      <c r="IB205" s="94"/>
      <c r="IC205" s="94"/>
      <c r="ID205" s="94"/>
      <c r="IE205" s="94"/>
      <c r="IF205" s="94"/>
      <c r="IG205" s="94"/>
      <c r="IH205" s="94"/>
      <c r="II205" s="94"/>
      <c r="IJ205" s="94"/>
      <c r="IK205" s="94"/>
      <c r="IL205" s="94"/>
      <c r="IM205" s="94"/>
      <c r="IN205" s="94"/>
      <c r="IO205" s="94"/>
      <c r="IP205" s="94"/>
      <c r="IQ205" s="94"/>
      <c r="IR205" s="94"/>
      <c r="IS205" s="94"/>
      <c r="IT205" s="94"/>
      <c r="IU205" s="94"/>
      <c r="IV205" s="94"/>
    </row>
    <row r="206" spans="1:256" s="95" customFormat="1" ht="16.95" customHeight="1">
      <c r="A206" s="132"/>
      <c r="B206" s="132"/>
      <c r="C206" s="136"/>
      <c r="D206" s="85">
        <f t="shared" si="10"/>
        <v>0.27272727272727271</v>
      </c>
      <c r="E206" s="98"/>
      <c r="F206" s="99" t="s">
        <v>439</v>
      </c>
      <c r="G206" s="88" t="s">
        <v>66</v>
      </c>
      <c r="H206" s="100">
        <f t="shared" si="9"/>
        <v>4</v>
      </c>
      <c r="I206" s="101">
        <f>IF([2]项目总工作量!B$6="交易类",H206*1.5/22,IF([2]项目总工作量!B$6="数据分析类",H206*1.5*0.9/22,IF([2]项目总工作量!B$6="流程管理类",H206*1.5*0.8/22,IF([2]项目总工作量!B$6="渠道类",H206*1.5*0.7/22,FALSE))))</f>
        <v>0.27272727272727271</v>
      </c>
      <c r="J206" s="88" t="s">
        <v>44</v>
      </c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  <c r="AI206" s="94"/>
      <c r="AJ206" s="94"/>
      <c r="AK206" s="94"/>
      <c r="AL206" s="94"/>
      <c r="AM206" s="94"/>
      <c r="AN206" s="94"/>
      <c r="AO206" s="94"/>
      <c r="AP206" s="94"/>
      <c r="AQ206" s="94"/>
      <c r="AR206" s="94"/>
      <c r="AS206" s="94"/>
      <c r="AT206" s="94"/>
      <c r="AU206" s="94"/>
      <c r="AV206" s="94"/>
      <c r="AW206" s="94"/>
      <c r="AX206" s="94"/>
      <c r="AY206" s="94"/>
      <c r="AZ206" s="94"/>
      <c r="BA206" s="94"/>
      <c r="BB206" s="94"/>
      <c r="BC206" s="94"/>
      <c r="BD206" s="94"/>
      <c r="BE206" s="94"/>
      <c r="BF206" s="94"/>
      <c r="BG206" s="94"/>
      <c r="BH206" s="94"/>
      <c r="BI206" s="94"/>
      <c r="BJ206" s="94"/>
      <c r="BK206" s="94"/>
      <c r="BL206" s="94"/>
      <c r="BM206" s="94"/>
      <c r="BN206" s="94"/>
      <c r="BO206" s="94"/>
      <c r="BP206" s="94"/>
      <c r="BQ206" s="94"/>
      <c r="BR206" s="94"/>
      <c r="BS206" s="94"/>
      <c r="BT206" s="94"/>
      <c r="BU206" s="94"/>
      <c r="BV206" s="94"/>
      <c r="BW206" s="94"/>
      <c r="BX206" s="94"/>
      <c r="BY206" s="94"/>
      <c r="BZ206" s="94"/>
      <c r="CA206" s="94"/>
      <c r="CB206" s="94"/>
      <c r="CC206" s="94"/>
      <c r="CD206" s="94"/>
      <c r="CE206" s="94"/>
      <c r="CF206" s="94"/>
      <c r="CG206" s="94"/>
      <c r="CH206" s="94"/>
      <c r="CI206" s="94"/>
      <c r="CJ206" s="94"/>
      <c r="CK206" s="94"/>
      <c r="CL206" s="94"/>
      <c r="CM206" s="94"/>
      <c r="CN206" s="94"/>
      <c r="CO206" s="94"/>
      <c r="CP206" s="94"/>
      <c r="CQ206" s="94"/>
      <c r="CR206" s="94"/>
      <c r="CS206" s="94"/>
      <c r="CT206" s="94"/>
      <c r="CU206" s="94"/>
      <c r="CV206" s="94"/>
      <c r="CW206" s="94"/>
      <c r="CX206" s="94"/>
      <c r="CY206" s="94"/>
      <c r="CZ206" s="94"/>
      <c r="DA206" s="94"/>
      <c r="DB206" s="94"/>
      <c r="DC206" s="94"/>
      <c r="DD206" s="94"/>
      <c r="DE206" s="94"/>
      <c r="DF206" s="94"/>
      <c r="DG206" s="94"/>
      <c r="DH206" s="94"/>
      <c r="DI206" s="94"/>
      <c r="DJ206" s="94"/>
      <c r="DK206" s="94"/>
      <c r="DL206" s="94"/>
      <c r="DM206" s="94"/>
      <c r="DN206" s="94"/>
      <c r="DO206" s="94"/>
      <c r="DP206" s="94"/>
      <c r="DQ206" s="94"/>
      <c r="DR206" s="94"/>
      <c r="DS206" s="94"/>
      <c r="DT206" s="94"/>
      <c r="DU206" s="94"/>
      <c r="DV206" s="94"/>
      <c r="DW206" s="94"/>
      <c r="DX206" s="94"/>
      <c r="DY206" s="94"/>
      <c r="DZ206" s="94"/>
      <c r="EA206" s="94"/>
      <c r="EB206" s="94"/>
      <c r="EC206" s="94"/>
      <c r="ED206" s="94"/>
      <c r="EE206" s="94"/>
      <c r="EF206" s="94"/>
      <c r="EG206" s="94"/>
      <c r="EH206" s="94"/>
      <c r="EI206" s="94"/>
      <c r="EJ206" s="94"/>
      <c r="EK206" s="94"/>
      <c r="EL206" s="94"/>
      <c r="EM206" s="94"/>
      <c r="EN206" s="94"/>
      <c r="EO206" s="94"/>
      <c r="EP206" s="94"/>
      <c r="EQ206" s="94"/>
      <c r="ER206" s="94"/>
      <c r="ES206" s="94"/>
      <c r="ET206" s="94"/>
      <c r="EU206" s="94"/>
      <c r="EV206" s="94"/>
      <c r="EW206" s="94"/>
      <c r="EX206" s="94"/>
      <c r="EY206" s="94"/>
      <c r="EZ206" s="94"/>
      <c r="FA206" s="94"/>
      <c r="FB206" s="94"/>
      <c r="FC206" s="94"/>
      <c r="FD206" s="94"/>
      <c r="FE206" s="94"/>
      <c r="FF206" s="94"/>
      <c r="FG206" s="94"/>
      <c r="FH206" s="94"/>
      <c r="FI206" s="94"/>
      <c r="FJ206" s="94"/>
      <c r="FK206" s="94"/>
      <c r="FL206" s="94"/>
      <c r="FM206" s="94"/>
      <c r="FN206" s="94"/>
      <c r="FO206" s="94"/>
      <c r="FP206" s="94"/>
      <c r="FQ206" s="94"/>
      <c r="FR206" s="94"/>
      <c r="FS206" s="94"/>
      <c r="FT206" s="94"/>
      <c r="FU206" s="94"/>
      <c r="FV206" s="94"/>
      <c r="FW206" s="94"/>
      <c r="FX206" s="94"/>
      <c r="FY206" s="94"/>
      <c r="FZ206" s="94"/>
      <c r="GA206" s="94"/>
      <c r="GB206" s="94"/>
      <c r="GC206" s="94"/>
      <c r="GD206" s="94"/>
      <c r="GE206" s="94"/>
      <c r="GF206" s="94"/>
      <c r="GG206" s="94"/>
      <c r="GH206" s="94"/>
      <c r="GI206" s="94"/>
      <c r="GJ206" s="94"/>
      <c r="GK206" s="94"/>
      <c r="GL206" s="94"/>
      <c r="GM206" s="94"/>
      <c r="GN206" s="94"/>
      <c r="GO206" s="94"/>
      <c r="GP206" s="94"/>
      <c r="GQ206" s="94"/>
      <c r="GR206" s="94"/>
      <c r="GS206" s="94"/>
      <c r="GT206" s="94"/>
      <c r="GU206" s="94"/>
      <c r="GV206" s="94"/>
      <c r="GW206" s="94"/>
      <c r="GX206" s="94"/>
      <c r="GY206" s="94"/>
      <c r="GZ206" s="94"/>
      <c r="HA206" s="94"/>
      <c r="HB206" s="94"/>
      <c r="HC206" s="94"/>
      <c r="HD206" s="94"/>
      <c r="HE206" s="94"/>
      <c r="HF206" s="94"/>
      <c r="HG206" s="94"/>
      <c r="HH206" s="94"/>
      <c r="HI206" s="94"/>
      <c r="HJ206" s="94"/>
      <c r="HK206" s="94"/>
      <c r="HL206" s="94"/>
      <c r="HM206" s="94"/>
      <c r="HN206" s="94"/>
      <c r="HO206" s="94"/>
      <c r="HP206" s="94"/>
      <c r="HQ206" s="94"/>
      <c r="HR206" s="94"/>
      <c r="HS206" s="94"/>
      <c r="HT206" s="94"/>
      <c r="HU206" s="94"/>
      <c r="HV206" s="94"/>
      <c r="HW206" s="94"/>
      <c r="HX206" s="94"/>
      <c r="HY206" s="94"/>
      <c r="HZ206" s="94"/>
      <c r="IA206" s="94"/>
      <c r="IB206" s="94"/>
      <c r="IC206" s="94"/>
      <c r="ID206" s="94"/>
      <c r="IE206" s="94"/>
      <c r="IF206" s="94"/>
      <c r="IG206" s="94"/>
      <c r="IH206" s="94"/>
      <c r="II206" s="94"/>
      <c r="IJ206" s="94"/>
      <c r="IK206" s="94"/>
      <c r="IL206" s="94"/>
      <c r="IM206" s="94"/>
      <c r="IN206" s="94"/>
      <c r="IO206" s="94"/>
      <c r="IP206" s="94"/>
      <c r="IQ206" s="94"/>
      <c r="IR206" s="94"/>
      <c r="IS206" s="94"/>
      <c r="IT206" s="94"/>
      <c r="IU206" s="94"/>
      <c r="IV206" s="94"/>
    </row>
    <row r="207" spans="1:256" s="95" customFormat="1" ht="16.95" customHeight="1">
      <c r="A207" s="132"/>
      <c r="B207" s="132"/>
      <c r="C207" s="136"/>
      <c r="D207" s="85">
        <f t="shared" si="10"/>
        <v>0.27272727272727271</v>
      </c>
      <c r="E207" s="98"/>
      <c r="F207" s="99" t="s">
        <v>440</v>
      </c>
      <c r="G207" s="88" t="s">
        <v>66</v>
      </c>
      <c r="H207" s="100">
        <f t="shared" si="9"/>
        <v>4</v>
      </c>
      <c r="I207" s="101">
        <f>IF([2]项目总工作量!B$6="交易类",H207*1.5/22,IF([2]项目总工作量!B$6="数据分析类",H207*1.5*0.9/22,IF([2]项目总工作量!B$6="流程管理类",H207*1.5*0.8/22,IF([2]项目总工作量!B$6="渠道类",H207*1.5*0.7/22,FALSE))))</f>
        <v>0.27272727272727271</v>
      </c>
      <c r="J207" s="88" t="s">
        <v>44</v>
      </c>
      <c r="K207" s="94"/>
      <c r="L207" s="94"/>
      <c r="M207" s="94"/>
      <c r="N207" s="94"/>
      <c r="O207" s="94"/>
      <c r="P207" s="94"/>
      <c r="Q207" s="94"/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  <c r="AI207" s="94"/>
      <c r="AJ207" s="94"/>
      <c r="AK207" s="94"/>
      <c r="AL207" s="94"/>
      <c r="AM207" s="94"/>
      <c r="AN207" s="94"/>
      <c r="AO207" s="94"/>
      <c r="AP207" s="94"/>
      <c r="AQ207" s="94"/>
      <c r="AR207" s="94"/>
      <c r="AS207" s="94"/>
      <c r="AT207" s="94"/>
      <c r="AU207" s="94"/>
      <c r="AV207" s="94"/>
      <c r="AW207" s="94"/>
      <c r="AX207" s="94"/>
      <c r="AY207" s="94"/>
      <c r="AZ207" s="94"/>
      <c r="BA207" s="94"/>
      <c r="BB207" s="94"/>
      <c r="BC207" s="94"/>
      <c r="BD207" s="94"/>
      <c r="BE207" s="94"/>
      <c r="BF207" s="94"/>
      <c r="BG207" s="94"/>
      <c r="BH207" s="94"/>
      <c r="BI207" s="94"/>
      <c r="BJ207" s="94"/>
      <c r="BK207" s="94"/>
      <c r="BL207" s="94"/>
      <c r="BM207" s="94"/>
      <c r="BN207" s="94"/>
      <c r="BO207" s="94"/>
      <c r="BP207" s="94"/>
      <c r="BQ207" s="94"/>
      <c r="BR207" s="94"/>
      <c r="BS207" s="94"/>
      <c r="BT207" s="94"/>
      <c r="BU207" s="94"/>
      <c r="BV207" s="94"/>
      <c r="BW207" s="94"/>
      <c r="BX207" s="94"/>
      <c r="BY207" s="94"/>
      <c r="BZ207" s="94"/>
      <c r="CA207" s="94"/>
      <c r="CB207" s="94"/>
      <c r="CC207" s="94"/>
      <c r="CD207" s="94"/>
      <c r="CE207" s="94"/>
      <c r="CF207" s="94"/>
      <c r="CG207" s="94"/>
      <c r="CH207" s="94"/>
      <c r="CI207" s="94"/>
      <c r="CJ207" s="94"/>
      <c r="CK207" s="94"/>
      <c r="CL207" s="94"/>
      <c r="CM207" s="94"/>
      <c r="CN207" s="94"/>
      <c r="CO207" s="94"/>
      <c r="CP207" s="94"/>
      <c r="CQ207" s="94"/>
      <c r="CR207" s="94"/>
      <c r="CS207" s="94"/>
      <c r="CT207" s="94"/>
      <c r="CU207" s="94"/>
      <c r="CV207" s="94"/>
      <c r="CW207" s="94"/>
      <c r="CX207" s="94"/>
      <c r="CY207" s="94"/>
      <c r="CZ207" s="94"/>
      <c r="DA207" s="94"/>
      <c r="DB207" s="94"/>
      <c r="DC207" s="94"/>
      <c r="DD207" s="94"/>
      <c r="DE207" s="94"/>
      <c r="DF207" s="94"/>
      <c r="DG207" s="94"/>
      <c r="DH207" s="94"/>
      <c r="DI207" s="94"/>
      <c r="DJ207" s="94"/>
      <c r="DK207" s="94"/>
      <c r="DL207" s="94"/>
      <c r="DM207" s="94"/>
      <c r="DN207" s="94"/>
      <c r="DO207" s="94"/>
      <c r="DP207" s="94"/>
      <c r="DQ207" s="94"/>
      <c r="DR207" s="94"/>
      <c r="DS207" s="94"/>
      <c r="DT207" s="94"/>
      <c r="DU207" s="94"/>
      <c r="DV207" s="94"/>
      <c r="DW207" s="94"/>
      <c r="DX207" s="94"/>
      <c r="DY207" s="94"/>
      <c r="DZ207" s="94"/>
      <c r="EA207" s="94"/>
      <c r="EB207" s="94"/>
      <c r="EC207" s="94"/>
      <c r="ED207" s="94"/>
      <c r="EE207" s="94"/>
      <c r="EF207" s="94"/>
      <c r="EG207" s="94"/>
      <c r="EH207" s="94"/>
      <c r="EI207" s="94"/>
      <c r="EJ207" s="94"/>
      <c r="EK207" s="94"/>
      <c r="EL207" s="94"/>
      <c r="EM207" s="94"/>
      <c r="EN207" s="94"/>
      <c r="EO207" s="94"/>
      <c r="EP207" s="94"/>
      <c r="EQ207" s="94"/>
      <c r="ER207" s="94"/>
      <c r="ES207" s="94"/>
      <c r="ET207" s="94"/>
      <c r="EU207" s="94"/>
      <c r="EV207" s="94"/>
      <c r="EW207" s="94"/>
      <c r="EX207" s="94"/>
      <c r="EY207" s="94"/>
      <c r="EZ207" s="94"/>
      <c r="FA207" s="94"/>
      <c r="FB207" s="94"/>
      <c r="FC207" s="94"/>
      <c r="FD207" s="94"/>
      <c r="FE207" s="94"/>
      <c r="FF207" s="94"/>
      <c r="FG207" s="94"/>
      <c r="FH207" s="94"/>
      <c r="FI207" s="94"/>
      <c r="FJ207" s="94"/>
      <c r="FK207" s="94"/>
      <c r="FL207" s="94"/>
      <c r="FM207" s="94"/>
      <c r="FN207" s="94"/>
      <c r="FO207" s="94"/>
      <c r="FP207" s="94"/>
      <c r="FQ207" s="94"/>
      <c r="FR207" s="94"/>
      <c r="FS207" s="94"/>
      <c r="FT207" s="94"/>
      <c r="FU207" s="94"/>
      <c r="FV207" s="94"/>
      <c r="FW207" s="94"/>
      <c r="FX207" s="94"/>
      <c r="FY207" s="94"/>
      <c r="FZ207" s="94"/>
      <c r="GA207" s="94"/>
      <c r="GB207" s="94"/>
      <c r="GC207" s="94"/>
      <c r="GD207" s="94"/>
      <c r="GE207" s="94"/>
      <c r="GF207" s="94"/>
      <c r="GG207" s="94"/>
      <c r="GH207" s="94"/>
      <c r="GI207" s="94"/>
      <c r="GJ207" s="94"/>
      <c r="GK207" s="94"/>
      <c r="GL207" s="94"/>
      <c r="GM207" s="94"/>
      <c r="GN207" s="94"/>
      <c r="GO207" s="94"/>
      <c r="GP207" s="94"/>
      <c r="GQ207" s="94"/>
      <c r="GR207" s="94"/>
      <c r="GS207" s="94"/>
      <c r="GT207" s="94"/>
      <c r="GU207" s="94"/>
      <c r="GV207" s="94"/>
      <c r="GW207" s="94"/>
      <c r="GX207" s="94"/>
      <c r="GY207" s="94"/>
      <c r="GZ207" s="94"/>
      <c r="HA207" s="94"/>
      <c r="HB207" s="94"/>
      <c r="HC207" s="94"/>
      <c r="HD207" s="94"/>
      <c r="HE207" s="94"/>
      <c r="HF207" s="94"/>
      <c r="HG207" s="94"/>
      <c r="HH207" s="94"/>
      <c r="HI207" s="94"/>
      <c r="HJ207" s="94"/>
      <c r="HK207" s="94"/>
      <c r="HL207" s="94"/>
      <c r="HM207" s="94"/>
      <c r="HN207" s="94"/>
      <c r="HO207" s="94"/>
      <c r="HP207" s="94"/>
      <c r="HQ207" s="94"/>
      <c r="HR207" s="94"/>
      <c r="HS207" s="94"/>
      <c r="HT207" s="94"/>
      <c r="HU207" s="94"/>
      <c r="HV207" s="94"/>
      <c r="HW207" s="94"/>
      <c r="HX207" s="94"/>
      <c r="HY207" s="94"/>
      <c r="HZ207" s="94"/>
      <c r="IA207" s="94"/>
      <c r="IB207" s="94"/>
      <c r="IC207" s="94"/>
      <c r="ID207" s="94"/>
      <c r="IE207" s="94"/>
      <c r="IF207" s="94"/>
      <c r="IG207" s="94"/>
      <c r="IH207" s="94"/>
      <c r="II207" s="94"/>
      <c r="IJ207" s="94"/>
      <c r="IK207" s="94"/>
      <c r="IL207" s="94"/>
      <c r="IM207" s="94"/>
      <c r="IN207" s="94"/>
      <c r="IO207" s="94"/>
      <c r="IP207" s="94"/>
      <c r="IQ207" s="94"/>
      <c r="IR207" s="94"/>
      <c r="IS207" s="94"/>
      <c r="IT207" s="94"/>
      <c r="IU207" s="94"/>
      <c r="IV207" s="94"/>
    </row>
    <row r="208" spans="1:256" s="95" customFormat="1" ht="16.95" customHeight="1">
      <c r="A208" s="132"/>
      <c r="B208" s="132"/>
      <c r="C208" s="136"/>
      <c r="D208" s="85">
        <f t="shared" si="10"/>
        <v>0.27272727272727271</v>
      </c>
      <c r="E208" s="98"/>
      <c r="F208" s="99" t="s">
        <v>441</v>
      </c>
      <c r="G208" s="88" t="s">
        <v>66</v>
      </c>
      <c r="H208" s="100">
        <f t="shared" si="9"/>
        <v>4</v>
      </c>
      <c r="I208" s="101">
        <f>IF([2]项目总工作量!B$6="交易类",H208*1.5/22,IF([2]项目总工作量!B$6="数据分析类",H208*1.5*0.9/22,IF([2]项目总工作量!B$6="流程管理类",H208*1.5*0.8/22,IF([2]项目总工作量!B$6="渠道类",H208*1.5*0.7/22,FALSE))))</f>
        <v>0.27272727272727271</v>
      </c>
      <c r="J208" s="88" t="s">
        <v>44</v>
      </c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  <c r="AI208" s="94"/>
      <c r="AJ208" s="94"/>
      <c r="AK208" s="94"/>
      <c r="AL208" s="94"/>
      <c r="AM208" s="94"/>
      <c r="AN208" s="94"/>
      <c r="AO208" s="94"/>
      <c r="AP208" s="94"/>
      <c r="AQ208" s="94"/>
      <c r="AR208" s="94"/>
      <c r="AS208" s="94"/>
      <c r="AT208" s="94"/>
      <c r="AU208" s="94"/>
      <c r="AV208" s="94"/>
      <c r="AW208" s="94"/>
      <c r="AX208" s="94"/>
      <c r="AY208" s="94"/>
      <c r="AZ208" s="94"/>
      <c r="BA208" s="94"/>
      <c r="BB208" s="94"/>
      <c r="BC208" s="94"/>
      <c r="BD208" s="94"/>
      <c r="BE208" s="94"/>
      <c r="BF208" s="94"/>
      <c r="BG208" s="94"/>
      <c r="BH208" s="94"/>
      <c r="BI208" s="94"/>
      <c r="BJ208" s="94"/>
      <c r="BK208" s="94"/>
      <c r="BL208" s="94"/>
      <c r="BM208" s="94"/>
      <c r="BN208" s="94"/>
      <c r="BO208" s="94"/>
      <c r="BP208" s="94"/>
      <c r="BQ208" s="94"/>
      <c r="BR208" s="94"/>
      <c r="BS208" s="94"/>
      <c r="BT208" s="94"/>
      <c r="BU208" s="94"/>
      <c r="BV208" s="94"/>
      <c r="BW208" s="94"/>
      <c r="BX208" s="94"/>
      <c r="BY208" s="94"/>
      <c r="BZ208" s="94"/>
      <c r="CA208" s="94"/>
      <c r="CB208" s="94"/>
      <c r="CC208" s="94"/>
      <c r="CD208" s="94"/>
      <c r="CE208" s="94"/>
      <c r="CF208" s="94"/>
      <c r="CG208" s="94"/>
      <c r="CH208" s="94"/>
      <c r="CI208" s="94"/>
      <c r="CJ208" s="94"/>
      <c r="CK208" s="94"/>
      <c r="CL208" s="94"/>
      <c r="CM208" s="94"/>
      <c r="CN208" s="94"/>
      <c r="CO208" s="94"/>
      <c r="CP208" s="94"/>
      <c r="CQ208" s="94"/>
      <c r="CR208" s="94"/>
      <c r="CS208" s="94"/>
      <c r="CT208" s="94"/>
      <c r="CU208" s="94"/>
      <c r="CV208" s="94"/>
      <c r="CW208" s="94"/>
      <c r="CX208" s="94"/>
      <c r="CY208" s="94"/>
      <c r="CZ208" s="94"/>
      <c r="DA208" s="94"/>
      <c r="DB208" s="94"/>
      <c r="DC208" s="94"/>
      <c r="DD208" s="94"/>
      <c r="DE208" s="94"/>
      <c r="DF208" s="94"/>
      <c r="DG208" s="94"/>
      <c r="DH208" s="94"/>
      <c r="DI208" s="94"/>
      <c r="DJ208" s="94"/>
      <c r="DK208" s="94"/>
      <c r="DL208" s="94"/>
      <c r="DM208" s="94"/>
      <c r="DN208" s="94"/>
      <c r="DO208" s="94"/>
      <c r="DP208" s="94"/>
      <c r="DQ208" s="94"/>
      <c r="DR208" s="94"/>
      <c r="DS208" s="94"/>
      <c r="DT208" s="94"/>
      <c r="DU208" s="94"/>
      <c r="DV208" s="94"/>
      <c r="DW208" s="94"/>
      <c r="DX208" s="94"/>
      <c r="DY208" s="94"/>
      <c r="DZ208" s="94"/>
      <c r="EA208" s="94"/>
      <c r="EB208" s="94"/>
      <c r="EC208" s="94"/>
      <c r="ED208" s="94"/>
      <c r="EE208" s="94"/>
      <c r="EF208" s="94"/>
      <c r="EG208" s="94"/>
      <c r="EH208" s="94"/>
      <c r="EI208" s="94"/>
      <c r="EJ208" s="94"/>
      <c r="EK208" s="94"/>
      <c r="EL208" s="94"/>
      <c r="EM208" s="94"/>
      <c r="EN208" s="94"/>
      <c r="EO208" s="94"/>
      <c r="EP208" s="94"/>
      <c r="EQ208" s="94"/>
      <c r="ER208" s="94"/>
      <c r="ES208" s="94"/>
      <c r="ET208" s="94"/>
      <c r="EU208" s="94"/>
      <c r="EV208" s="94"/>
      <c r="EW208" s="94"/>
      <c r="EX208" s="94"/>
      <c r="EY208" s="94"/>
      <c r="EZ208" s="94"/>
      <c r="FA208" s="94"/>
      <c r="FB208" s="94"/>
      <c r="FC208" s="94"/>
      <c r="FD208" s="94"/>
      <c r="FE208" s="94"/>
      <c r="FF208" s="94"/>
      <c r="FG208" s="94"/>
      <c r="FH208" s="94"/>
      <c r="FI208" s="94"/>
      <c r="FJ208" s="94"/>
      <c r="FK208" s="94"/>
      <c r="FL208" s="94"/>
      <c r="FM208" s="94"/>
      <c r="FN208" s="94"/>
      <c r="FO208" s="94"/>
      <c r="FP208" s="94"/>
      <c r="FQ208" s="94"/>
      <c r="FR208" s="94"/>
      <c r="FS208" s="94"/>
      <c r="FT208" s="94"/>
      <c r="FU208" s="94"/>
      <c r="FV208" s="94"/>
      <c r="FW208" s="94"/>
      <c r="FX208" s="94"/>
      <c r="FY208" s="94"/>
      <c r="FZ208" s="94"/>
      <c r="GA208" s="94"/>
      <c r="GB208" s="94"/>
      <c r="GC208" s="94"/>
      <c r="GD208" s="94"/>
      <c r="GE208" s="94"/>
      <c r="GF208" s="94"/>
      <c r="GG208" s="94"/>
      <c r="GH208" s="94"/>
      <c r="GI208" s="94"/>
      <c r="GJ208" s="94"/>
      <c r="GK208" s="94"/>
      <c r="GL208" s="94"/>
      <c r="GM208" s="94"/>
      <c r="GN208" s="94"/>
      <c r="GO208" s="94"/>
      <c r="GP208" s="94"/>
      <c r="GQ208" s="94"/>
      <c r="GR208" s="94"/>
      <c r="GS208" s="94"/>
      <c r="GT208" s="94"/>
      <c r="GU208" s="94"/>
      <c r="GV208" s="94"/>
      <c r="GW208" s="94"/>
      <c r="GX208" s="94"/>
      <c r="GY208" s="94"/>
      <c r="GZ208" s="94"/>
      <c r="HA208" s="94"/>
      <c r="HB208" s="94"/>
      <c r="HC208" s="94"/>
      <c r="HD208" s="94"/>
      <c r="HE208" s="94"/>
      <c r="HF208" s="94"/>
      <c r="HG208" s="94"/>
      <c r="HH208" s="94"/>
      <c r="HI208" s="94"/>
      <c r="HJ208" s="94"/>
      <c r="HK208" s="94"/>
      <c r="HL208" s="94"/>
      <c r="HM208" s="94"/>
      <c r="HN208" s="94"/>
      <c r="HO208" s="94"/>
      <c r="HP208" s="94"/>
      <c r="HQ208" s="94"/>
      <c r="HR208" s="94"/>
      <c r="HS208" s="94"/>
      <c r="HT208" s="94"/>
      <c r="HU208" s="94"/>
      <c r="HV208" s="94"/>
      <c r="HW208" s="94"/>
      <c r="HX208" s="94"/>
      <c r="HY208" s="94"/>
      <c r="HZ208" s="94"/>
      <c r="IA208" s="94"/>
      <c r="IB208" s="94"/>
      <c r="IC208" s="94"/>
      <c r="ID208" s="94"/>
      <c r="IE208" s="94"/>
      <c r="IF208" s="94"/>
      <c r="IG208" s="94"/>
      <c r="IH208" s="94"/>
      <c r="II208" s="94"/>
      <c r="IJ208" s="94"/>
      <c r="IK208" s="94"/>
      <c r="IL208" s="94"/>
      <c r="IM208" s="94"/>
      <c r="IN208" s="94"/>
      <c r="IO208" s="94"/>
      <c r="IP208" s="94"/>
      <c r="IQ208" s="94"/>
      <c r="IR208" s="94"/>
      <c r="IS208" s="94"/>
      <c r="IT208" s="94"/>
      <c r="IU208" s="94"/>
      <c r="IV208" s="94"/>
    </row>
    <row r="209" spans="1:256" s="95" customFormat="1" ht="16.95" customHeight="1">
      <c r="A209" s="132"/>
      <c r="B209" s="132"/>
      <c r="C209" s="136"/>
      <c r="D209" s="85">
        <f t="shared" si="10"/>
        <v>0.27272727272727271</v>
      </c>
      <c r="E209" s="98"/>
      <c r="F209" s="99" t="s">
        <v>442</v>
      </c>
      <c r="G209" s="88" t="s">
        <v>66</v>
      </c>
      <c r="H209" s="100">
        <f t="shared" si="9"/>
        <v>4</v>
      </c>
      <c r="I209" s="101">
        <f>IF([2]项目总工作量!B$6="交易类",H209*1.5/22,IF([2]项目总工作量!B$6="数据分析类",H209*1.5*0.9/22,IF([2]项目总工作量!B$6="流程管理类",H209*1.5*0.8/22,IF([2]项目总工作量!B$6="渠道类",H209*1.5*0.7/22,FALSE))))</f>
        <v>0.27272727272727271</v>
      </c>
      <c r="J209" s="88" t="s">
        <v>44</v>
      </c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  <c r="AI209" s="94"/>
      <c r="AJ209" s="94"/>
      <c r="AK209" s="94"/>
      <c r="AL209" s="94"/>
      <c r="AM209" s="94"/>
      <c r="AN209" s="94"/>
      <c r="AO209" s="94"/>
      <c r="AP209" s="94"/>
      <c r="AQ209" s="94"/>
      <c r="AR209" s="94"/>
      <c r="AS209" s="94"/>
      <c r="AT209" s="94"/>
      <c r="AU209" s="94"/>
      <c r="AV209" s="94"/>
      <c r="AW209" s="94"/>
      <c r="AX209" s="94"/>
      <c r="AY209" s="94"/>
      <c r="AZ209" s="94"/>
      <c r="BA209" s="94"/>
      <c r="BB209" s="94"/>
      <c r="BC209" s="94"/>
      <c r="BD209" s="94"/>
      <c r="BE209" s="94"/>
      <c r="BF209" s="94"/>
      <c r="BG209" s="94"/>
      <c r="BH209" s="94"/>
      <c r="BI209" s="94"/>
      <c r="BJ209" s="94"/>
      <c r="BK209" s="94"/>
      <c r="BL209" s="94"/>
      <c r="BM209" s="94"/>
      <c r="BN209" s="94"/>
      <c r="BO209" s="94"/>
      <c r="BP209" s="94"/>
      <c r="BQ209" s="94"/>
      <c r="BR209" s="94"/>
      <c r="BS209" s="94"/>
      <c r="BT209" s="94"/>
      <c r="BU209" s="94"/>
      <c r="BV209" s="94"/>
      <c r="BW209" s="94"/>
      <c r="BX209" s="94"/>
      <c r="BY209" s="94"/>
      <c r="BZ209" s="94"/>
      <c r="CA209" s="94"/>
      <c r="CB209" s="94"/>
      <c r="CC209" s="94"/>
      <c r="CD209" s="94"/>
      <c r="CE209" s="94"/>
      <c r="CF209" s="94"/>
      <c r="CG209" s="94"/>
      <c r="CH209" s="94"/>
      <c r="CI209" s="94"/>
      <c r="CJ209" s="94"/>
      <c r="CK209" s="94"/>
      <c r="CL209" s="94"/>
      <c r="CM209" s="94"/>
      <c r="CN209" s="94"/>
      <c r="CO209" s="94"/>
      <c r="CP209" s="94"/>
      <c r="CQ209" s="94"/>
      <c r="CR209" s="94"/>
      <c r="CS209" s="94"/>
      <c r="CT209" s="94"/>
      <c r="CU209" s="94"/>
      <c r="CV209" s="94"/>
      <c r="CW209" s="94"/>
      <c r="CX209" s="94"/>
      <c r="CY209" s="94"/>
      <c r="CZ209" s="94"/>
      <c r="DA209" s="94"/>
      <c r="DB209" s="94"/>
      <c r="DC209" s="94"/>
      <c r="DD209" s="94"/>
      <c r="DE209" s="94"/>
      <c r="DF209" s="94"/>
      <c r="DG209" s="94"/>
      <c r="DH209" s="94"/>
      <c r="DI209" s="94"/>
      <c r="DJ209" s="94"/>
      <c r="DK209" s="94"/>
      <c r="DL209" s="94"/>
      <c r="DM209" s="94"/>
      <c r="DN209" s="94"/>
      <c r="DO209" s="94"/>
      <c r="DP209" s="94"/>
      <c r="DQ209" s="94"/>
      <c r="DR209" s="94"/>
      <c r="DS209" s="94"/>
      <c r="DT209" s="94"/>
      <c r="DU209" s="94"/>
      <c r="DV209" s="94"/>
      <c r="DW209" s="94"/>
      <c r="DX209" s="94"/>
      <c r="DY209" s="94"/>
      <c r="DZ209" s="94"/>
      <c r="EA209" s="94"/>
      <c r="EB209" s="94"/>
      <c r="EC209" s="94"/>
      <c r="ED209" s="94"/>
      <c r="EE209" s="94"/>
      <c r="EF209" s="94"/>
      <c r="EG209" s="94"/>
      <c r="EH209" s="94"/>
      <c r="EI209" s="94"/>
      <c r="EJ209" s="94"/>
      <c r="EK209" s="94"/>
      <c r="EL209" s="94"/>
      <c r="EM209" s="94"/>
      <c r="EN209" s="94"/>
      <c r="EO209" s="94"/>
      <c r="EP209" s="94"/>
      <c r="EQ209" s="94"/>
      <c r="ER209" s="94"/>
      <c r="ES209" s="94"/>
      <c r="ET209" s="94"/>
      <c r="EU209" s="94"/>
      <c r="EV209" s="94"/>
      <c r="EW209" s="94"/>
      <c r="EX209" s="94"/>
      <c r="EY209" s="94"/>
      <c r="EZ209" s="94"/>
      <c r="FA209" s="94"/>
      <c r="FB209" s="94"/>
      <c r="FC209" s="94"/>
      <c r="FD209" s="94"/>
      <c r="FE209" s="94"/>
      <c r="FF209" s="94"/>
      <c r="FG209" s="94"/>
      <c r="FH209" s="94"/>
      <c r="FI209" s="94"/>
      <c r="FJ209" s="94"/>
      <c r="FK209" s="94"/>
      <c r="FL209" s="94"/>
      <c r="FM209" s="94"/>
      <c r="FN209" s="94"/>
      <c r="FO209" s="94"/>
      <c r="FP209" s="94"/>
      <c r="FQ209" s="94"/>
      <c r="FR209" s="94"/>
      <c r="FS209" s="94"/>
      <c r="FT209" s="94"/>
      <c r="FU209" s="94"/>
      <c r="FV209" s="94"/>
      <c r="FW209" s="94"/>
      <c r="FX209" s="94"/>
      <c r="FY209" s="94"/>
      <c r="FZ209" s="94"/>
      <c r="GA209" s="94"/>
      <c r="GB209" s="94"/>
      <c r="GC209" s="94"/>
      <c r="GD209" s="94"/>
      <c r="GE209" s="94"/>
      <c r="GF209" s="94"/>
      <c r="GG209" s="94"/>
      <c r="GH209" s="94"/>
      <c r="GI209" s="94"/>
      <c r="GJ209" s="94"/>
      <c r="GK209" s="94"/>
      <c r="GL209" s="94"/>
      <c r="GM209" s="94"/>
      <c r="GN209" s="94"/>
      <c r="GO209" s="94"/>
      <c r="GP209" s="94"/>
      <c r="GQ209" s="94"/>
      <c r="GR209" s="94"/>
      <c r="GS209" s="94"/>
      <c r="GT209" s="94"/>
      <c r="GU209" s="94"/>
      <c r="GV209" s="94"/>
      <c r="GW209" s="94"/>
      <c r="GX209" s="94"/>
      <c r="GY209" s="94"/>
      <c r="GZ209" s="94"/>
      <c r="HA209" s="94"/>
      <c r="HB209" s="94"/>
      <c r="HC209" s="94"/>
      <c r="HD209" s="94"/>
      <c r="HE209" s="94"/>
      <c r="HF209" s="94"/>
      <c r="HG209" s="94"/>
      <c r="HH209" s="94"/>
      <c r="HI209" s="94"/>
      <c r="HJ209" s="94"/>
      <c r="HK209" s="94"/>
      <c r="HL209" s="94"/>
      <c r="HM209" s="94"/>
      <c r="HN209" s="94"/>
      <c r="HO209" s="94"/>
      <c r="HP209" s="94"/>
      <c r="HQ209" s="94"/>
      <c r="HR209" s="94"/>
      <c r="HS209" s="94"/>
      <c r="HT209" s="94"/>
      <c r="HU209" s="94"/>
      <c r="HV209" s="94"/>
      <c r="HW209" s="94"/>
      <c r="HX209" s="94"/>
      <c r="HY209" s="94"/>
      <c r="HZ209" s="94"/>
      <c r="IA209" s="94"/>
      <c r="IB209" s="94"/>
      <c r="IC209" s="94"/>
      <c r="ID209" s="94"/>
      <c r="IE209" s="94"/>
      <c r="IF209" s="94"/>
      <c r="IG209" s="94"/>
      <c r="IH209" s="94"/>
      <c r="II209" s="94"/>
      <c r="IJ209" s="94"/>
      <c r="IK209" s="94"/>
      <c r="IL209" s="94"/>
      <c r="IM209" s="94"/>
      <c r="IN209" s="94"/>
      <c r="IO209" s="94"/>
      <c r="IP209" s="94"/>
      <c r="IQ209" s="94"/>
      <c r="IR209" s="94"/>
      <c r="IS209" s="94"/>
      <c r="IT209" s="94"/>
      <c r="IU209" s="94"/>
      <c r="IV209" s="94"/>
    </row>
    <row r="210" spans="1:256" s="95" customFormat="1" ht="16.95" customHeight="1">
      <c r="A210" s="132"/>
      <c r="B210" s="132"/>
      <c r="C210" s="136"/>
      <c r="D210" s="85">
        <f t="shared" si="10"/>
        <v>0.27272727272727271</v>
      </c>
      <c r="E210" s="98"/>
      <c r="F210" s="99" t="s">
        <v>443</v>
      </c>
      <c r="G210" s="88" t="s">
        <v>66</v>
      </c>
      <c r="H210" s="100">
        <f t="shared" si="9"/>
        <v>4</v>
      </c>
      <c r="I210" s="101">
        <f>IF([2]项目总工作量!B$6="交易类",H210*1.5/22,IF([2]项目总工作量!B$6="数据分析类",H210*1.5*0.9/22,IF([2]项目总工作量!B$6="流程管理类",H210*1.5*0.8/22,IF([2]项目总工作量!B$6="渠道类",H210*1.5*0.7/22,FALSE))))</f>
        <v>0.27272727272727271</v>
      </c>
      <c r="J210" s="88" t="s">
        <v>44</v>
      </c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  <c r="AI210" s="94"/>
      <c r="AJ210" s="94"/>
      <c r="AK210" s="94"/>
      <c r="AL210" s="94"/>
      <c r="AM210" s="94"/>
      <c r="AN210" s="94"/>
      <c r="AO210" s="94"/>
      <c r="AP210" s="94"/>
      <c r="AQ210" s="94"/>
      <c r="AR210" s="94"/>
      <c r="AS210" s="94"/>
      <c r="AT210" s="94"/>
      <c r="AU210" s="94"/>
      <c r="AV210" s="94"/>
      <c r="AW210" s="94"/>
      <c r="AX210" s="94"/>
      <c r="AY210" s="94"/>
      <c r="AZ210" s="94"/>
      <c r="BA210" s="94"/>
      <c r="BB210" s="94"/>
      <c r="BC210" s="94"/>
      <c r="BD210" s="94"/>
      <c r="BE210" s="94"/>
      <c r="BF210" s="94"/>
      <c r="BG210" s="94"/>
      <c r="BH210" s="94"/>
      <c r="BI210" s="94"/>
      <c r="BJ210" s="94"/>
      <c r="BK210" s="94"/>
      <c r="BL210" s="94"/>
      <c r="BM210" s="94"/>
      <c r="BN210" s="94"/>
      <c r="BO210" s="94"/>
      <c r="BP210" s="94"/>
      <c r="BQ210" s="94"/>
      <c r="BR210" s="94"/>
      <c r="BS210" s="94"/>
      <c r="BT210" s="94"/>
      <c r="BU210" s="94"/>
      <c r="BV210" s="94"/>
      <c r="BW210" s="94"/>
      <c r="BX210" s="94"/>
      <c r="BY210" s="94"/>
      <c r="BZ210" s="94"/>
      <c r="CA210" s="94"/>
      <c r="CB210" s="94"/>
      <c r="CC210" s="94"/>
      <c r="CD210" s="94"/>
      <c r="CE210" s="94"/>
      <c r="CF210" s="94"/>
      <c r="CG210" s="94"/>
      <c r="CH210" s="94"/>
      <c r="CI210" s="94"/>
      <c r="CJ210" s="94"/>
      <c r="CK210" s="94"/>
      <c r="CL210" s="94"/>
      <c r="CM210" s="94"/>
      <c r="CN210" s="94"/>
      <c r="CO210" s="94"/>
      <c r="CP210" s="94"/>
      <c r="CQ210" s="94"/>
      <c r="CR210" s="94"/>
      <c r="CS210" s="94"/>
      <c r="CT210" s="94"/>
      <c r="CU210" s="94"/>
      <c r="CV210" s="94"/>
      <c r="CW210" s="94"/>
      <c r="CX210" s="94"/>
      <c r="CY210" s="94"/>
      <c r="CZ210" s="94"/>
      <c r="DA210" s="94"/>
      <c r="DB210" s="94"/>
      <c r="DC210" s="94"/>
      <c r="DD210" s="94"/>
      <c r="DE210" s="94"/>
      <c r="DF210" s="94"/>
      <c r="DG210" s="94"/>
      <c r="DH210" s="94"/>
      <c r="DI210" s="94"/>
      <c r="DJ210" s="94"/>
      <c r="DK210" s="94"/>
      <c r="DL210" s="94"/>
      <c r="DM210" s="94"/>
      <c r="DN210" s="94"/>
      <c r="DO210" s="94"/>
      <c r="DP210" s="94"/>
      <c r="DQ210" s="94"/>
      <c r="DR210" s="94"/>
      <c r="DS210" s="94"/>
      <c r="DT210" s="94"/>
      <c r="DU210" s="94"/>
      <c r="DV210" s="94"/>
      <c r="DW210" s="94"/>
      <c r="DX210" s="94"/>
      <c r="DY210" s="94"/>
      <c r="DZ210" s="94"/>
      <c r="EA210" s="94"/>
      <c r="EB210" s="94"/>
      <c r="EC210" s="94"/>
      <c r="ED210" s="94"/>
      <c r="EE210" s="94"/>
      <c r="EF210" s="94"/>
      <c r="EG210" s="94"/>
      <c r="EH210" s="94"/>
      <c r="EI210" s="94"/>
      <c r="EJ210" s="94"/>
      <c r="EK210" s="94"/>
      <c r="EL210" s="94"/>
      <c r="EM210" s="94"/>
      <c r="EN210" s="94"/>
      <c r="EO210" s="94"/>
      <c r="EP210" s="94"/>
      <c r="EQ210" s="94"/>
      <c r="ER210" s="94"/>
      <c r="ES210" s="94"/>
      <c r="ET210" s="94"/>
      <c r="EU210" s="94"/>
      <c r="EV210" s="94"/>
      <c r="EW210" s="94"/>
      <c r="EX210" s="94"/>
      <c r="EY210" s="94"/>
      <c r="EZ210" s="94"/>
      <c r="FA210" s="94"/>
      <c r="FB210" s="94"/>
      <c r="FC210" s="94"/>
      <c r="FD210" s="94"/>
      <c r="FE210" s="94"/>
      <c r="FF210" s="94"/>
      <c r="FG210" s="94"/>
      <c r="FH210" s="94"/>
      <c r="FI210" s="94"/>
      <c r="FJ210" s="94"/>
      <c r="FK210" s="94"/>
      <c r="FL210" s="94"/>
      <c r="FM210" s="94"/>
      <c r="FN210" s="94"/>
      <c r="FO210" s="94"/>
      <c r="FP210" s="94"/>
      <c r="FQ210" s="94"/>
      <c r="FR210" s="94"/>
      <c r="FS210" s="94"/>
      <c r="FT210" s="94"/>
      <c r="FU210" s="94"/>
      <c r="FV210" s="94"/>
      <c r="FW210" s="94"/>
      <c r="FX210" s="94"/>
      <c r="FY210" s="94"/>
      <c r="FZ210" s="94"/>
      <c r="GA210" s="94"/>
      <c r="GB210" s="94"/>
      <c r="GC210" s="94"/>
      <c r="GD210" s="94"/>
      <c r="GE210" s="94"/>
      <c r="GF210" s="94"/>
      <c r="GG210" s="94"/>
      <c r="GH210" s="94"/>
      <c r="GI210" s="94"/>
      <c r="GJ210" s="94"/>
      <c r="GK210" s="94"/>
      <c r="GL210" s="94"/>
      <c r="GM210" s="94"/>
      <c r="GN210" s="94"/>
      <c r="GO210" s="94"/>
      <c r="GP210" s="94"/>
      <c r="GQ210" s="94"/>
      <c r="GR210" s="94"/>
      <c r="GS210" s="94"/>
      <c r="GT210" s="94"/>
      <c r="GU210" s="94"/>
      <c r="GV210" s="94"/>
      <c r="GW210" s="94"/>
      <c r="GX210" s="94"/>
      <c r="GY210" s="94"/>
      <c r="GZ210" s="94"/>
      <c r="HA210" s="94"/>
      <c r="HB210" s="94"/>
      <c r="HC210" s="94"/>
      <c r="HD210" s="94"/>
      <c r="HE210" s="94"/>
      <c r="HF210" s="94"/>
      <c r="HG210" s="94"/>
      <c r="HH210" s="94"/>
      <c r="HI210" s="94"/>
      <c r="HJ210" s="94"/>
      <c r="HK210" s="94"/>
      <c r="HL210" s="94"/>
      <c r="HM210" s="94"/>
      <c r="HN210" s="94"/>
      <c r="HO210" s="94"/>
      <c r="HP210" s="94"/>
      <c r="HQ210" s="94"/>
      <c r="HR210" s="94"/>
      <c r="HS210" s="94"/>
      <c r="HT210" s="94"/>
      <c r="HU210" s="94"/>
      <c r="HV210" s="94"/>
      <c r="HW210" s="94"/>
      <c r="HX210" s="94"/>
      <c r="HY210" s="94"/>
      <c r="HZ210" s="94"/>
      <c r="IA210" s="94"/>
      <c r="IB210" s="94"/>
      <c r="IC210" s="94"/>
      <c r="ID210" s="94"/>
      <c r="IE210" s="94"/>
      <c r="IF210" s="94"/>
      <c r="IG210" s="94"/>
      <c r="IH210" s="94"/>
      <c r="II210" s="94"/>
      <c r="IJ210" s="94"/>
      <c r="IK210" s="94"/>
      <c r="IL210" s="94"/>
      <c r="IM210" s="94"/>
      <c r="IN210" s="94"/>
      <c r="IO210" s="94"/>
      <c r="IP210" s="94"/>
      <c r="IQ210" s="94"/>
      <c r="IR210" s="94"/>
      <c r="IS210" s="94"/>
      <c r="IT210" s="94"/>
      <c r="IU210" s="94"/>
      <c r="IV210" s="94"/>
    </row>
    <row r="211" spans="1:256" s="95" customFormat="1" ht="16.95" customHeight="1">
      <c r="A211" s="132"/>
      <c r="B211" s="132"/>
      <c r="C211" s="136"/>
      <c r="D211" s="85">
        <f t="shared" si="10"/>
        <v>0.27272727272727271</v>
      </c>
      <c r="E211" s="98"/>
      <c r="F211" s="99" t="s">
        <v>444</v>
      </c>
      <c r="G211" s="88" t="s">
        <v>66</v>
      </c>
      <c r="H211" s="100">
        <f t="shared" si="9"/>
        <v>4</v>
      </c>
      <c r="I211" s="101">
        <f>IF([2]项目总工作量!B$6="交易类",H211*1.5/22,IF([2]项目总工作量!B$6="数据分析类",H211*1.5*0.9/22,IF([2]项目总工作量!B$6="流程管理类",H211*1.5*0.8/22,IF([2]项目总工作量!B$6="渠道类",H211*1.5*0.7/22,FALSE))))</f>
        <v>0.27272727272727271</v>
      </c>
      <c r="J211" s="88" t="s">
        <v>44</v>
      </c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  <c r="AI211" s="94"/>
      <c r="AJ211" s="94"/>
      <c r="AK211" s="94"/>
      <c r="AL211" s="94"/>
      <c r="AM211" s="94"/>
      <c r="AN211" s="94"/>
      <c r="AO211" s="94"/>
      <c r="AP211" s="94"/>
      <c r="AQ211" s="94"/>
      <c r="AR211" s="94"/>
      <c r="AS211" s="94"/>
      <c r="AT211" s="94"/>
      <c r="AU211" s="94"/>
      <c r="AV211" s="94"/>
      <c r="AW211" s="94"/>
      <c r="AX211" s="94"/>
      <c r="AY211" s="94"/>
      <c r="AZ211" s="94"/>
      <c r="BA211" s="94"/>
      <c r="BB211" s="94"/>
      <c r="BC211" s="94"/>
      <c r="BD211" s="94"/>
      <c r="BE211" s="94"/>
      <c r="BF211" s="94"/>
      <c r="BG211" s="94"/>
      <c r="BH211" s="94"/>
      <c r="BI211" s="94"/>
      <c r="BJ211" s="94"/>
      <c r="BK211" s="94"/>
      <c r="BL211" s="94"/>
      <c r="BM211" s="94"/>
      <c r="BN211" s="94"/>
      <c r="BO211" s="94"/>
      <c r="BP211" s="94"/>
      <c r="BQ211" s="94"/>
      <c r="BR211" s="94"/>
      <c r="BS211" s="94"/>
      <c r="BT211" s="94"/>
      <c r="BU211" s="94"/>
      <c r="BV211" s="94"/>
      <c r="BW211" s="94"/>
      <c r="BX211" s="94"/>
      <c r="BY211" s="94"/>
      <c r="BZ211" s="94"/>
      <c r="CA211" s="94"/>
      <c r="CB211" s="94"/>
      <c r="CC211" s="94"/>
      <c r="CD211" s="94"/>
      <c r="CE211" s="94"/>
      <c r="CF211" s="94"/>
      <c r="CG211" s="94"/>
      <c r="CH211" s="94"/>
      <c r="CI211" s="94"/>
      <c r="CJ211" s="94"/>
      <c r="CK211" s="94"/>
      <c r="CL211" s="94"/>
      <c r="CM211" s="94"/>
      <c r="CN211" s="94"/>
      <c r="CO211" s="94"/>
      <c r="CP211" s="94"/>
      <c r="CQ211" s="94"/>
      <c r="CR211" s="94"/>
      <c r="CS211" s="94"/>
      <c r="CT211" s="94"/>
      <c r="CU211" s="94"/>
      <c r="CV211" s="94"/>
      <c r="CW211" s="94"/>
      <c r="CX211" s="94"/>
      <c r="CY211" s="94"/>
      <c r="CZ211" s="94"/>
      <c r="DA211" s="94"/>
      <c r="DB211" s="94"/>
      <c r="DC211" s="94"/>
      <c r="DD211" s="94"/>
      <c r="DE211" s="94"/>
      <c r="DF211" s="94"/>
      <c r="DG211" s="94"/>
      <c r="DH211" s="94"/>
      <c r="DI211" s="94"/>
      <c r="DJ211" s="94"/>
      <c r="DK211" s="94"/>
      <c r="DL211" s="94"/>
      <c r="DM211" s="94"/>
      <c r="DN211" s="94"/>
      <c r="DO211" s="94"/>
      <c r="DP211" s="94"/>
      <c r="DQ211" s="94"/>
      <c r="DR211" s="94"/>
      <c r="DS211" s="94"/>
      <c r="DT211" s="94"/>
      <c r="DU211" s="94"/>
      <c r="DV211" s="94"/>
      <c r="DW211" s="94"/>
      <c r="DX211" s="94"/>
      <c r="DY211" s="94"/>
      <c r="DZ211" s="94"/>
      <c r="EA211" s="94"/>
      <c r="EB211" s="94"/>
      <c r="EC211" s="94"/>
      <c r="ED211" s="94"/>
      <c r="EE211" s="94"/>
      <c r="EF211" s="94"/>
      <c r="EG211" s="94"/>
      <c r="EH211" s="94"/>
      <c r="EI211" s="94"/>
      <c r="EJ211" s="94"/>
      <c r="EK211" s="94"/>
      <c r="EL211" s="94"/>
      <c r="EM211" s="94"/>
      <c r="EN211" s="94"/>
      <c r="EO211" s="94"/>
      <c r="EP211" s="94"/>
      <c r="EQ211" s="94"/>
      <c r="ER211" s="94"/>
      <c r="ES211" s="94"/>
      <c r="ET211" s="94"/>
      <c r="EU211" s="94"/>
      <c r="EV211" s="94"/>
      <c r="EW211" s="94"/>
      <c r="EX211" s="94"/>
      <c r="EY211" s="94"/>
      <c r="EZ211" s="94"/>
      <c r="FA211" s="94"/>
      <c r="FB211" s="94"/>
      <c r="FC211" s="94"/>
      <c r="FD211" s="94"/>
      <c r="FE211" s="94"/>
      <c r="FF211" s="94"/>
      <c r="FG211" s="94"/>
      <c r="FH211" s="94"/>
      <c r="FI211" s="94"/>
      <c r="FJ211" s="94"/>
      <c r="FK211" s="94"/>
      <c r="FL211" s="94"/>
      <c r="FM211" s="94"/>
      <c r="FN211" s="94"/>
      <c r="FO211" s="94"/>
      <c r="FP211" s="94"/>
      <c r="FQ211" s="94"/>
      <c r="FR211" s="94"/>
      <c r="FS211" s="94"/>
      <c r="FT211" s="94"/>
      <c r="FU211" s="94"/>
      <c r="FV211" s="94"/>
      <c r="FW211" s="94"/>
      <c r="FX211" s="94"/>
      <c r="FY211" s="94"/>
      <c r="FZ211" s="94"/>
      <c r="GA211" s="94"/>
      <c r="GB211" s="94"/>
      <c r="GC211" s="94"/>
      <c r="GD211" s="94"/>
      <c r="GE211" s="94"/>
      <c r="GF211" s="94"/>
      <c r="GG211" s="94"/>
      <c r="GH211" s="94"/>
      <c r="GI211" s="94"/>
      <c r="GJ211" s="94"/>
      <c r="GK211" s="94"/>
      <c r="GL211" s="94"/>
      <c r="GM211" s="94"/>
      <c r="GN211" s="94"/>
      <c r="GO211" s="94"/>
      <c r="GP211" s="94"/>
      <c r="GQ211" s="94"/>
      <c r="GR211" s="94"/>
      <c r="GS211" s="94"/>
      <c r="GT211" s="94"/>
      <c r="GU211" s="94"/>
      <c r="GV211" s="94"/>
      <c r="GW211" s="94"/>
      <c r="GX211" s="94"/>
      <c r="GY211" s="94"/>
      <c r="GZ211" s="94"/>
      <c r="HA211" s="94"/>
      <c r="HB211" s="94"/>
      <c r="HC211" s="94"/>
      <c r="HD211" s="94"/>
      <c r="HE211" s="94"/>
      <c r="HF211" s="94"/>
      <c r="HG211" s="94"/>
      <c r="HH211" s="94"/>
      <c r="HI211" s="94"/>
      <c r="HJ211" s="94"/>
      <c r="HK211" s="94"/>
      <c r="HL211" s="94"/>
      <c r="HM211" s="94"/>
      <c r="HN211" s="94"/>
      <c r="HO211" s="94"/>
      <c r="HP211" s="94"/>
      <c r="HQ211" s="94"/>
      <c r="HR211" s="94"/>
      <c r="HS211" s="94"/>
      <c r="HT211" s="94"/>
      <c r="HU211" s="94"/>
      <c r="HV211" s="94"/>
      <c r="HW211" s="94"/>
      <c r="HX211" s="94"/>
      <c r="HY211" s="94"/>
      <c r="HZ211" s="94"/>
      <c r="IA211" s="94"/>
      <c r="IB211" s="94"/>
      <c r="IC211" s="94"/>
      <c r="ID211" s="94"/>
      <c r="IE211" s="94"/>
      <c r="IF211" s="94"/>
      <c r="IG211" s="94"/>
      <c r="IH211" s="94"/>
      <c r="II211" s="94"/>
      <c r="IJ211" s="94"/>
      <c r="IK211" s="94"/>
      <c r="IL211" s="94"/>
      <c r="IM211" s="94"/>
      <c r="IN211" s="94"/>
      <c r="IO211" s="94"/>
      <c r="IP211" s="94"/>
      <c r="IQ211" s="94"/>
      <c r="IR211" s="94"/>
      <c r="IS211" s="94"/>
      <c r="IT211" s="94"/>
      <c r="IU211" s="94"/>
      <c r="IV211" s="94"/>
    </row>
    <row r="212" spans="1:256" s="95" customFormat="1" ht="16.95" customHeight="1">
      <c r="A212" s="132"/>
      <c r="B212" s="132"/>
      <c r="C212" s="136"/>
      <c r="D212" s="85">
        <f t="shared" si="10"/>
        <v>0.27272727272727271</v>
      </c>
      <c r="E212" s="98"/>
      <c r="F212" s="99" t="s">
        <v>445</v>
      </c>
      <c r="G212" s="88" t="s">
        <v>66</v>
      </c>
      <c r="H212" s="100">
        <f t="shared" si="9"/>
        <v>4</v>
      </c>
      <c r="I212" s="101">
        <f>IF([2]项目总工作量!B$6="交易类",H212*1.5/22,IF([2]项目总工作量!B$6="数据分析类",H212*1.5*0.9/22,IF([2]项目总工作量!B$6="流程管理类",H212*1.5*0.8/22,IF([2]项目总工作量!B$6="渠道类",H212*1.5*0.7/22,FALSE))))</f>
        <v>0.27272727272727271</v>
      </c>
      <c r="J212" s="88" t="s">
        <v>44</v>
      </c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  <c r="AI212" s="94"/>
      <c r="AJ212" s="94"/>
      <c r="AK212" s="94"/>
      <c r="AL212" s="94"/>
      <c r="AM212" s="94"/>
      <c r="AN212" s="94"/>
      <c r="AO212" s="94"/>
      <c r="AP212" s="94"/>
      <c r="AQ212" s="94"/>
      <c r="AR212" s="94"/>
      <c r="AS212" s="94"/>
      <c r="AT212" s="94"/>
      <c r="AU212" s="94"/>
      <c r="AV212" s="94"/>
      <c r="AW212" s="94"/>
      <c r="AX212" s="94"/>
      <c r="AY212" s="94"/>
      <c r="AZ212" s="94"/>
      <c r="BA212" s="94"/>
      <c r="BB212" s="94"/>
      <c r="BC212" s="94"/>
      <c r="BD212" s="94"/>
      <c r="BE212" s="94"/>
      <c r="BF212" s="94"/>
      <c r="BG212" s="94"/>
      <c r="BH212" s="94"/>
      <c r="BI212" s="94"/>
      <c r="BJ212" s="94"/>
      <c r="BK212" s="94"/>
      <c r="BL212" s="94"/>
      <c r="BM212" s="94"/>
      <c r="BN212" s="94"/>
      <c r="BO212" s="94"/>
      <c r="BP212" s="94"/>
      <c r="BQ212" s="94"/>
      <c r="BR212" s="94"/>
      <c r="BS212" s="94"/>
      <c r="BT212" s="94"/>
      <c r="BU212" s="94"/>
      <c r="BV212" s="94"/>
      <c r="BW212" s="94"/>
      <c r="BX212" s="94"/>
      <c r="BY212" s="94"/>
      <c r="BZ212" s="94"/>
      <c r="CA212" s="94"/>
      <c r="CB212" s="94"/>
      <c r="CC212" s="94"/>
      <c r="CD212" s="94"/>
      <c r="CE212" s="94"/>
      <c r="CF212" s="94"/>
      <c r="CG212" s="94"/>
      <c r="CH212" s="94"/>
      <c r="CI212" s="94"/>
      <c r="CJ212" s="94"/>
      <c r="CK212" s="94"/>
      <c r="CL212" s="94"/>
      <c r="CM212" s="94"/>
      <c r="CN212" s="94"/>
      <c r="CO212" s="94"/>
      <c r="CP212" s="94"/>
      <c r="CQ212" s="94"/>
      <c r="CR212" s="94"/>
      <c r="CS212" s="94"/>
      <c r="CT212" s="94"/>
      <c r="CU212" s="94"/>
      <c r="CV212" s="94"/>
      <c r="CW212" s="94"/>
      <c r="CX212" s="94"/>
      <c r="CY212" s="94"/>
      <c r="CZ212" s="94"/>
      <c r="DA212" s="94"/>
      <c r="DB212" s="94"/>
      <c r="DC212" s="94"/>
      <c r="DD212" s="94"/>
      <c r="DE212" s="94"/>
      <c r="DF212" s="94"/>
      <c r="DG212" s="94"/>
      <c r="DH212" s="94"/>
      <c r="DI212" s="94"/>
      <c r="DJ212" s="94"/>
      <c r="DK212" s="94"/>
      <c r="DL212" s="94"/>
      <c r="DM212" s="94"/>
      <c r="DN212" s="94"/>
      <c r="DO212" s="94"/>
      <c r="DP212" s="94"/>
      <c r="DQ212" s="94"/>
      <c r="DR212" s="94"/>
      <c r="DS212" s="94"/>
      <c r="DT212" s="94"/>
      <c r="DU212" s="94"/>
      <c r="DV212" s="94"/>
      <c r="DW212" s="94"/>
      <c r="DX212" s="94"/>
      <c r="DY212" s="94"/>
      <c r="DZ212" s="94"/>
      <c r="EA212" s="94"/>
      <c r="EB212" s="94"/>
      <c r="EC212" s="94"/>
      <c r="ED212" s="94"/>
      <c r="EE212" s="94"/>
      <c r="EF212" s="94"/>
      <c r="EG212" s="94"/>
      <c r="EH212" s="94"/>
      <c r="EI212" s="94"/>
      <c r="EJ212" s="94"/>
      <c r="EK212" s="94"/>
      <c r="EL212" s="94"/>
      <c r="EM212" s="94"/>
      <c r="EN212" s="94"/>
      <c r="EO212" s="94"/>
      <c r="EP212" s="94"/>
      <c r="EQ212" s="94"/>
      <c r="ER212" s="94"/>
      <c r="ES212" s="94"/>
      <c r="ET212" s="94"/>
      <c r="EU212" s="94"/>
      <c r="EV212" s="94"/>
      <c r="EW212" s="94"/>
      <c r="EX212" s="94"/>
      <c r="EY212" s="94"/>
      <c r="EZ212" s="94"/>
      <c r="FA212" s="94"/>
      <c r="FB212" s="94"/>
      <c r="FC212" s="94"/>
      <c r="FD212" s="94"/>
      <c r="FE212" s="94"/>
      <c r="FF212" s="94"/>
      <c r="FG212" s="94"/>
      <c r="FH212" s="94"/>
      <c r="FI212" s="94"/>
      <c r="FJ212" s="94"/>
      <c r="FK212" s="94"/>
      <c r="FL212" s="94"/>
      <c r="FM212" s="94"/>
      <c r="FN212" s="94"/>
      <c r="FO212" s="94"/>
      <c r="FP212" s="94"/>
      <c r="FQ212" s="94"/>
      <c r="FR212" s="94"/>
      <c r="FS212" s="94"/>
      <c r="FT212" s="94"/>
      <c r="FU212" s="94"/>
      <c r="FV212" s="94"/>
      <c r="FW212" s="94"/>
      <c r="FX212" s="94"/>
      <c r="FY212" s="94"/>
      <c r="FZ212" s="94"/>
      <c r="GA212" s="94"/>
      <c r="GB212" s="94"/>
      <c r="GC212" s="94"/>
      <c r="GD212" s="94"/>
      <c r="GE212" s="94"/>
      <c r="GF212" s="94"/>
      <c r="GG212" s="94"/>
      <c r="GH212" s="94"/>
      <c r="GI212" s="94"/>
      <c r="GJ212" s="94"/>
      <c r="GK212" s="94"/>
      <c r="GL212" s="94"/>
      <c r="GM212" s="94"/>
      <c r="GN212" s="94"/>
      <c r="GO212" s="94"/>
      <c r="GP212" s="94"/>
      <c r="GQ212" s="94"/>
      <c r="GR212" s="94"/>
      <c r="GS212" s="94"/>
      <c r="GT212" s="94"/>
      <c r="GU212" s="94"/>
      <c r="GV212" s="94"/>
      <c r="GW212" s="94"/>
      <c r="GX212" s="94"/>
      <c r="GY212" s="94"/>
      <c r="GZ212" s="94"/>
      <c r="HA212" s="94"/>
      <c r="HB212" s="94"/>
      <c r="HC212" s="94"/>
      <c r="HD212" s="94"/>
      <c r="HE212" s="94"/>
      <c r="HF212" s="94"/>
      <c r="HG212" s="94"/>
      <c r="HH212" s="94"/>
      <c r="HI212" s="94"/>
      <c r="HJ212" s="94"/>
      <c r="HK212" s="94"/>
      <c r="HL212" s="94"/>
      <c r="HM212" s="94"/>
      <c r="HN212" s="94"/>
      <c r="HO212" s="94"/>
      <c r="HP212" s="94"/>
      <c r="HQ212" s="94"/>
      <c r="HR212" s="94"/>
      <c r="HS212" s="94"/>
      <c r="HT212" s="94"/>
      <c r="HU212" s="94"/>
      <c r="HV212" s="94"/>
      <c r="HW212" s="94"/>
      <c r="HX212" s="94"/>
      <c r="HY212" s="94"/>
      <c r="HZ212" s="94"/>
      <c r="IA212" s="94"/>
      <c r="IB212" s="94"/>
      <c r="IC212" s="94"/>
      <c r="ID212" s="94"/>
      <c r="IE212" s="94"/>
      <c r="IF212" s="94"/>
      <c r="IG212" s="94"/>
      <c r="IH212" s="94"/>
      <c r="II212" s="94"/>
      <c r="IJ212" s="94"/>
      <c r="IK212" s="94"/>
      <c r="IL212" s="94"/>
      <c r="IM212" s="94"/>
      <c r="IN212" s="94"/>
      <c r="IO212" s="94"/>
      <c r="IP212" s="94"/>
      <c r="IQ212" s="94"/>
      <c r="IR212" s="94"/>
      <c r="IS212" s="94"/>
      <c r="IT212" s="94"/>
      <c r="IU212" s="94"/>
      <c r="IV212" s="94"/>
    </row>
    <row r="213" spans="1:256" s="95" customFormat="1" ht="16.95" customHeight="1">
      <c r="A213" s="132"/>
      <c r="B213" s="132"/>
      <c r="C213" s="136"/>
      <c r="D213" s="85">
        <f t="shared" si="10"/>
        <v>0.27272727272727271</v>
      </c>
      <c r="E213" s="98"/>
      <c r="F213" s="99" t="s">
        <v>446</v>
      </c>
      <c r="G213" s="88" t="s">
        <v>66</v>
      </c>
      <c r="H213" s="100">
        <f t="shared" si="9"/>
        <v>4</v>
      </c>
      <c r="I213" s="101">
        <f>IF([2]项目总工作量!B$6="交易类",H213*1.5/22,IF([2]项目总工作量!B$6="数据分析类",H213*1.5*0.9/22,IF([2]项目总工作量!B$6="流程管理类",H213*1.5*0.8/22,IF([2]项目总工作量!B$6="渠道类",H213*1.5*0.7/22,FALSE))))</f>
        <v>0.27272727272727271</v>
      </c>
      <c r="J213" s="88" t="s">
        <v>44</v>
      </c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  <c r="AI213" s="94"/>
      <c r="AJ213" s="94"/>
      <c r="AK213" s="94"/>
      <c r="AL213" s="94"/>
      <c r="AM213" s="94"/>
      <c r="AN213" s="94"/>
      <c r="AO213" s="94"/>
      <c r="AP213" s="94"/>
      <c r="AQ213" s="94"/>
      <c r="AR213" s="94"/>
      <c r="AS213" s="94"/>
      <c r="AT213" s="94"/>
      <c r="AU213" s="94"/>
      <c r="AV213" s="94"/>
      <c r="AW213" s="94"/>
      <c r="AX213" s="94"/>
      <c r="AY213" s="94"/>
      <c r="AZ213" s="94"/>
      <c r="BA213" s="94"/>
      <c r="BB213" s="94"/>
      <c r="BC213" s="94"/>
      <c r="BD213" s="94"/>
      <c r="BE213" s="94"/>
      <c r="BF213" s="94"/>
      <c r="BG213" s="94"/>
      <c r="BH213" s="94"/>
      <c r="BI213" s="94"/>
      <c r="BJ213" s="94"/>
      <c r="BK213" s="94"/>
      <c r="BL213" s="94"/>
      <c r="BM213" s="94"/>
      <c r="BN213" s="94"/>
      <c r="BO213" s="94"/>
      <c r="BP213" s="94"/>
      <c r="BQ213" s="94"/>
      <c r="BR213" s="94"/>
      <c r="BS213" s="94"/>
      <c r="BT213" s="94"/>
      <c r="BU213" s="94"/>
      <c r="BV213" s="94"/>
      <c r="BW213" s="94"/>
      <c r="BX213" s="94"/>
      <c r="BY213" s="94"/>
      <c r="BZ213" s="94"/>
      <c r="CA213" s="94"/>
      <c r="CB213" s="94"/>
      <c r="CC213" s="94"/>
      <c r="CD213" s="94"/>
      <c r="CE213" s="94"/>
      <c r="CF213" s="94"/>
      <c r="CG213" s="94"/>
      <c r="CH213" s="94"/>
      <c r="CI213" s="94"/>
      <c r="CJ213" s="94"/>
      <c r="CK213" s="94"/>
      <c r="CL213" s="94"/>
      <c r="CM213" s="94"/>
      <c r="CN213" s="94"/>
      <c r="CO213" s="94"/>
      <c r="CP213" s="94"/>
      <c r="CQ213" s="94"/>
      <c r="CR213" s="94"/>
      <c r="CS213" s="94"/>
      <c r="CT213" s="94"/>
      <c r="CU213" s="94"/>
      <c r="CV213" s="94"/>
      <c r="CW213" s="94"/>
      <c r="CX213" s="94"/>
      <c r="CY213" s="94"/>
      <c r="CZ213" s="94"/>
      <c r="DA213" s="94"/>
      <c r="DB213" s="94"/>
      <c r="DC213" s="94"/>
      <c r="DD213" s="94"/>
      <c r="DE213" s="94"/>
      <c r="DF213" s="94"/>
      <c r="DG213" s="94"/>
      <c r="DH213" s="94"/>
      <c r="DI213" s="94"/>
      <c r="DJ213" s="94"/>
      <c r="DK213" s="94"/>
      <c r="DL213" s="94"/>
      <c r="DM213" s="94"/>
      <c r="DN213" s="94"/>
      <c r="DO213" s="94"/>
      <c r="DP213" s="94"/>
      <c r="DQ213" s="94"/>
      <c r="DR213" s="94"/>
      <c r="DS213" s="94"/>
      <c r="DT213" s="94"/>
      <c r="DU213" s="94"/>
      <c r="DV213" s="94"/>
      <c r="DW213" s="94"/>
      <c r="DX213" s="94"/>
      <c r="DY213" s="94"/>
      <c r="DZ213" s="94"/>
      <c r="EA213" s="94"/>
      <c r="EB213" s="94"/>
      <c r="EC213" s="94"/>
      <c r="ED213" s="94"/>
      <c r="EE213" s="94"/>
      <c r="EF213" s="94"/>
      <c r="EG213" s="94"/>
      <c r="EH213" s="94"/>
      <c r="EI213" s="94"/>
      <c r="EJ213" s="94"/>
      <c r="EK213" s="94"/>
      <c r="EL213" s="94"/>
      <c r="EM213" s="94"/>
      <c r="EN213" s="94"/>
      <c r="EO213" s="94"/>
      <c r="EP213" s="94"/>
      <c r="EQ213" s="94"/>
      <c r="ER213" s="94"/>
      <c r="ES213" s="94"/>
      <c r="ET213" s="94"/>
      <c r="EU213" s="94"/>
      <c r="EV213" s="94"/>
      <c r="EW213" s="94"/>
      <c r="EX213" s="94"/>
      <c r="EY213" s="94"/>
      <c r="EZ213" s="94"/>
      <c r="FA213" s="94"/>
      <c r="FB213" s="94"/>
      <c r="FC213" s="94"/>
      <c r="FD213" s="94"/>
      <c r="FE213" s="94"/>
      <c r="FF213" s="94"/>
      <c r="FG213" s="94"/>
      <c r="FH213" s="94"/>
      <c r="FI213" s="94"/>
      <c r="FJ213" s="94"/>
      <c r="FK213" s="94"/>
      <c r="FL213" s="94"/>
      <c r="FM213" s="94"/>
      <c r="FN213" s="94"/>
      <c r="FO213" s="94"/>
      <c r="FP213" s="94"/>
      <c r="FQ213" s="94"/>
      <c r="FR213" s="94"/>
      <c r="FS213" s="94"/>
      <c r="FT213" s="94"/>
      <c r="FU213" s="94"/>
      <c r="FV213" s="94"/>
      <c r="FW213" s="94"/>
      <c r="FX213" s="94"/>
      <c r="FY213" s="94"/>
      <c r="FZ213" s="94"/>
      <c r="GA213" s="94"/>
      <c r="GB213" s="94"/>
      <c r="GC213" s="94"/>
      <c r="GD213" s="94"/>
      <c r="GE213" s="94"/>
      <c r="GF213" s="94"/>
      <c r="GG213" s="94"/>
      <c r="GH213" s="94"/>
      <c r="GI213" s="94"/>
      <c r="GJ213" s="94"/>
      <c r="GK213" s="94"/>
      <c r="GL213" s="94"/>
      <c r="GM213" s="94"/>
      <c r="GN213" s="94"/>
      <c r="GO213" s="94"/>
      <c r="GP213" s="94"/>
      <c r="GQ213" s="94"/>
      <c r="GR213" s="94"/>
      <c r="GS213" s="94"/>
      <c r="GT213" s="94"/>
      <c r="GU213" s="94"/>
      <c r="GV213" s="94"/>
      <c r="GW213" s="94"/>
      <c r="GX213" s="94"/>
      <c r="GY213" s="94"/>
      <c r="GZ213" s="94"/>
      <c r="HA213" s="94"/>
      <c r="HB213" s="94"/>
      <c r="HC213" s="94"/>
      <c r="HD213" s="94"/>
      <c r="HE213" s="94"/>
      <c r="HF213" s="94"/>
      <c r="HG213" s="94"/>
      <c r="HH213" s="94"/>
      <c r="HI213" s="94"/>
      <c r="HJ213" s="94"/>
      <c r="HK213" s="94"/>
      <c r="HL213" s="94"/>
      <c r="HM213" s="94"/>
      <c r="HN213" s="94"/>
      <c r="HO213" s="94"/>
      <c r="HP213" s="94"/>
      <c r="HQ213" s="94"/>
      <c r="HR213" s="94"/>
      <c r="HS213" s="94"/>
      <c r="HT213" s="94"/>
      <c r="HU213" s="94"/>
      <c r="HV213" s="94"/>
      <c r="HW213" s="94"/>
      <c r="HX213" s="94"/>
      <c r="HY213" s="94"/>
      <c r="HZ213" s="94"/>
      <c r="IA213" s="94"/>
      <c r="IB213" s="94"/>
      <c r="IC213" s="94"/>
      <c r="ID213" s="94"/>
      <c r="IE213" s="94"/>
      <c r="IF213" s="94"/>
      <c r="IG213" s="94"/>
      <c r="IH213" s="94"/>
      <c r="II213" s="94"/>
      <c r="IJ213" s="94"/>
      <c r="IK213" s="94"/>
      <c r="IL213" s="94"/>
      <c r="IM213" s="94"/>
      <c r="IN213" s="94"/>
      <c r="IO213" s="94"/>
      <c r="IP213" s="94"/>
      <c r="IQ213" s="94"/>
      <c r="IR213" s="94"/>
      <c r="IS213" s="94"/>
      <c r="IT213" s="94"/>
      <c r="IU213" s="94"/>
      <c r="IV213" s="94"/>
    </row>
    <row r="214" spans="1:256" s="95" customFormat="1" ht="16.95" customHeight="1">
      <c r="A214" s="132"/>
      <c r="B214" s="132"/>
      <c r="C214" s="136"/>
      <c r="D214" s="85">
        <f t="shared" si="10"/>
        <v>0.27272727272727271</v>
      </c>
      <c r="E214" s="98"/>
      <c r="F214" s="99" t="s">
        <v>447</v>
      </c>
      <c r="G214" s="88" t="s">
        <v>66</v>
      </c>
      <c r="H214" s="100">
        <f t="shared" si="9"/>
        <v>4</v>
      </c>
      <c r="I214" s="101">
        <f>IF([2]项目总工作量!B$6="交易类",H214*1.5/22,IF([2]项目总工作量!B$6="数据分析类",H214*1.5*0.9/22,IF([2]项目总工作量!B$6="流程管理类",H214*1.5*0.8/22,IF([2]项目总工作量!B$6="渠道类",H214*1.5*0.7/22,FALSE))))</f>
        <v>0.27272727272727271</v>
      </c>
      <c r="J214" s="88" t="s">
        <v>44</v>
      </c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  <c r="AI214" s="94"/>
      <c r="AJ214" s="94"/>
      <c r="AK214" s="94"/>
      <c r="AL214" s="94"/>
      <c r="AM214" s="94"/>
      <c r="AN214" s="94"/>
      <c r="AO214" s="94"/>
      <c r="AP214" s="94"/>
      <c r="AQ214" s="94"/>
      <c r="AR214" s="94"/>
      <c r="AS214" s="94"/>
      <c r="AT214" s="94"/>
      <c r="AU214" s="94"/>
      <c r="AV214" s="94"/>
      <c r="AW214" s="94"/>
      <c r="AX214" s="94"/>
      <c r="AY214" s="94"/>
      <c r="AZ214" s="94"/>
      <c r="BA214" s="94"/>
      <c r="BB214" s="94"/>
      <c r="BC214" s="94"/>
      <c r="BD214" s="94"/>
      <c r="BE214" s="94"/>
      <c r="BF214" s="94"/>
      <c r="BG214" s="94"/>
      <c r="BH214" s="94"/>
      <c r="BI214" s="94"/>
      <c r="BJ214" s="94"/>
      <c r="BK214" s="94"/>
      <c r="BL214" s="94"/>
      <c r="BM214" s="94"/>
      <c r="BN214" s="94"/>
      <c r="BO214" s="94"/>
      <c r="BP214" s="94"/>
      <c r="BQ214" s="94"/>
      <c r="BR214" s="94"/>
      <c r="BS214" s="94"/>
      <c r="BT214" s="94"/>
      <c r="BU214" s="94"/>
      <c r="BV214" s="94"/>
      <c r="BW214" s="94"/>
      <c r="BX214" s="94"/>
      <c r="BY214" s="94"/>
      <c r="BZ214" s="94"/>
      <c r="CA214" s="94"/>
      <c r="CB214" s="94"/>
      <c r="CC214" s="94"/>
      <c r="CD214" s="94"/>
      <c r="CE214" s="94"/>
      <c r="CF214" s="94"/>
      <c r="CG214" s="94"/>
      <c r="CH214" s="94"/>
      <c r="CI214" s="94"/>
      <c r="CJ214" s="94"/>
      <c r="CK214" s="94"/>
      <c r="CL214" s="94"/>
      <c r="CM214" s="94"/>
      <c r="CN214" s="94"/>
      <c r="CO214" s="94"/>
      <c r="CP214" s="94"/>
      <c r="CQ214" s="94"/>
      <c r="CR214" s="94"/>
      <c r="CS214" s="94"/>
      <c r="CT214" s="94"/>
      <c r="CU214" s="94"/>
      <c r="CV214" s="94"/>
      <c r="CW214" s="94"/>
      <c r="CX214" s="94"/>
      <c r="CY214" s="94"/>
      <c r="CZ214" s="94"/>
      <c r="DA214" s="94"/>
      <c r="DB214" s="94"/>
      <c r="DC214" s="94"/>
      <c r="DD214" s="94"/>
      <c r="DE214" s="94"/>
      <c r="DF214" s="94"/>
      <c r="DG214" s="94"/>
      <c r="DH214" s="94"/>
      <c r="DI214" s="94"/>
      <c r="DJ214" s="94"/>
      <c r="DK214" s="94"/>
      <c r="DL214" s="94"/>
      <c r="DM214" s="94"/>
      <c r="DN214" s="94"/>
      <c r="DO214" s="94"/>
      <c r="DP214" s="94"/>
      <c r="DQ214" s="94"/>
      <c r="DR214" s="94"/>
      <c r="DS214" s="94"/>
      <c r="DT214" s="94"/>
      <c r="DU214" s="94"/>
      <c r="DV214" s="94"/>
      <c r="DW214" s="94"/>
      <c r="DX214" s="94"/>
      <c r="DY214" s="94"/>
      <c r="DZ214" s="94"/>
      <c r="EA214" s="94"/>
      <c r="EB214" s="94"/>
      <c r="EC214" s="94"/>
      <c r="ED214" s="94"/>
      <c r="EE214" s="94"/>
      <c r="EF214" s="94"/>
      <c r="EG214" s="94"/>
      <c r="EH214" s="94"/>
      <c r="EI214" s="94"/>
      <c r="EJ214" s="94"/>
      <c r="EK214" s="94"/>
      <c r="EL214" s="94"/>
      <c r="EM214" s="94"/>
      <c r="EN214" s="94"/>
      <c r="EO214" s="94"/>
      <c r="EP214" s="94"/>
      <c r="EQ214" s="94"/>
      <c r="ER214" s="94"/>
      <c r="ES214" s="94"/>
      <c r="ET214" s="94"/>
      <c r="EU214" s="94"/>
      <c r="EV214" s="94"/>
      <c r="EW214" s="94"/>
      <c r="EX214" s="94"/>
      <c r="EY214" s="94"/>
      <c r="EZ214" s="94"/>
      <c r="FA214" s="94"/>
      <c r="FB214" s="94"/>
      <c r="FC214" s="94"/>
      <c r="FD214" s="94"/>
      <c r="FE214" s="94"/>
      <c r="FF214" s="94"/>
      <c r="FG214" s="94"/>
      <c r="FH214" s="94"/>
      <c r="FI214" s="94"/>
      <c r="FJ214" s="94"/>
      <c r="FK214" s="94"/>
      <c r="FL214" s="94"/>
      <c r="FM214" s="94"/>
      <c r="FN214" s="94"/>
      <c r="FO214" s="94"/>
      <c r="FP214" s="94"/>
      <c r="FQ214" s="94"/>
      <c r="FR214" s="94"/>
      <c r="FS214" s="94"/>
      <c r="FT214" s="94"/>
      <c r="FU214" s="94"/>
      <c r="FV214" s="94"/>
      <c r="FW214" s="94"/>
      <c r="FX214" s="94"/>
      <c r="FY214" s="94"/>
      <c r="FZ214" s="94"/>
      <c r="GA214" s="94"/>
      <c r="GB214" s="94"/>
      <c r="GC214" s="94"/>
      <c r="GD214" s="94"/>
      <c r="GE214" s="94"/>
      <c r="GF214" s="94"/>
      <c r="GG214" s="94"/>
      <c r="GH214" s="94"/>
      <c r="GI214" s="94"/>
      <c r="GJ214" s="94"/>
      <c r="GK214" s="94"/>
      <c r="GL214" s="94"/>
      <c r="GM214" s="94"/>
      <c r="GN214" s="94"/>
      <c r="GO214" s="94"/>
      <c r="GP214" s="94"/>
      <c r="GQ214" s="94"/>
      <c r="GR214" s="94"/>
      <c r="GS214" s="94"/>
      <c r="GT214" s="94"/>
      <c r="GU214" s="94"/>
      <c r="GV214" s="94"/>
      <c r="GW214" s="94"/>
      <c r="GX214" s="94"/>
      <c r="GY214" s="94"/>
      <c r="GZ214" s="94"/>
      <c r="HA214" s="94"/>
      <c r="HB214" s="94"/>
      <c r="HC214" s="94"/>
      <c r="HD214" s="94"/>
      <c r="HE214" s="94"/>
      <c r="HF214" s="94"/>
      <c r="HG214" s="94"/>
      <c r="HH214" s="94"/>
      <c r="HI214" s="94"/>
      <c r="HJ214" s="94"/>
      <c r="HK214" s="94"/>
      <c r="HL214" s="94"/>
      <c r="HM214" s="94"/>
      <c r="HN214" s="94"/>
      <c r="HO214" s="94"/>
      <c r="HP214" s="94"/>
      <c r="HQ214" s="94"/>
      <c r="HR214" s="94"/>
      <c r="HS214" s="94"/>
      <c r="HT214" s="94"/>
      <c r="HU214" s="94"/>
      <c r="HV214" s="94"/>
      <c r="HW214" s="94"/>
      <c r="HX214" s="94"/>
      <c r="HY214" s="94"/>
      <c r="HZ214" s="94"/>
      <c r="IA214" s="94"/>
      <c r="IB214" s="94"/>
      <c r="IC214" s="94"/>
      <c r="ID214" s="94"/>
      <c r="IE214" s="94"/>
      <c r="IF214" s="94"/>
      <c r="IG214" s="94"/>
      <c r="IH214" s="94"/>
      <c r="II214" s="94"/>
      <c r="IJ214" s="94"/>
      <c r="IK214" s="94"/>
      <c r="IL214" s="94"/>
      <c r="IM214" s="94"/>
      <c r="IN214" s="94"/>
      <c r="IO214" s="94"/>
      <c r="IP214" s="94"/>
      <c r="IQ214" s="94"/>
      <c r="IR214" s="94"/>
      <c r="IS214" s="94"/>
      <c r="IT214" s="94"/>
      <c r="IU214" s="94"/>
      <c r="IV214" s="94"/>
    </row>
    <row r="215" spans="1:256" s="95" customFormat="1" ht="16.95" customHeight="1">
      <c r="A215" s="132"/>
      <c r="B215" s="132"/>
      <c r="C215" s="136"/>
      <c r="D215" s="85">
        <f t="shared" si="10"/>
        <v>0.27272727272727271</v>
      </c>
      <c r="E215" s="98"/>
      <c r="F215" s="99" t="s">
        <v>448</v>
      </c>
      <c r="G215" s="88" t="s">
        <v>66</v>
      </c>
      <c r="H215" s="100">
        <f t="shared" si="9"/>
        <v>4</v>
      </c>
      <c r="I215" s="101">
        <f>IF([2]项目总工作量!B$6="交易类",H215*1.5/22,IF([2]项目总工作量!B$6="数据分析类",H215*1.5*0.9/22,IF([2]项目总工作量!B$6="流程管理类",H215*1.5*0.8/22,IF([2]项目总工作量!B$6="渠道类",H215*1.5*0.7/22,FALSE))))</f>
        <v>0.27272727272727271</v>
      </c>
      <c r="J215" s="88" t="s">
        <v>44</v>
      </c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  <c r="AI215" s="94"/>
      <c r="AJ215" s="94"/>
      <c r="AK215" s="94"/>
      <c r="AL215" s="94"/>
      <c r="AM215" s="94"/>
      <c r="AN215" s="94"/>
      <c r="AO215" s="94"/>
      <c r="AP215" s="94"/>
      <c r="AQ215" s="94"/>
      <c r="AR215" s="94"/>
      <c r="AS215" s="94"/>
      <c r="AT215" s="94"/>
      <c r="AU215" s="94"/>
      <c r="AV215" s="94"/>
      <c r="AW215" s="94"/>
      <c r="AX215" s="94"/>
      <c r="AY215" s="94"/>
      <c r="AZ215" s="94"/>
      <c r="BA215" s="94"/>
      <c r="BB215" s="94"/>
      <c r="BC215" s="94"/>
      <c r="BD215" s="94"/>
      <c r="BE215" s="94"/>
      <c r="BF215" s="94"/>
      <c r="BG215" s="94"/>
      <c r="BH215" s="94"/>
      <c r="BI215" s="94"/>
      <c r="BJ215" s="94"/>
      <c r="BK215" s="94"/>
      <c r="BL215" s="94"/>
      <c r="BM215" s="94"/>
      <c r="BN215" s="94"/>
      <c r="BO215" s="94"/>
      <c r="BP215" s="94"/>
      <c r="BQ215" s="94"/>
      <c r="BR215" s="94"/>
      <c r="BS215" s="94"/>
      <c r="BT215" s="94"/>
      <c r="BU215" s="94"/>
      <c r="BV215" s="94"/>
      <c r="BW215" s="94"/>
      <c r="BX215" s="94"/>
      <c r="BY215" s="94"/>
      <c r="BZ215" s="94"/>
      <c r="CA215" s="94"/>
      <c r="CB215" s="94"/>
      <c r="CC215" s="94"/>
      <c r="CD215" s="94"/>
      <c r="CE215" s="94"/>
      <c r="CF215" s="94"/>
      <c r="CG215" s="94"/>
      <c r="CH215" s="94"/>
      <c r="CI215" s="94"/>
      <c r="CJ215" s="94"/>
      <c r="CK215" s="94"/>
      <c r="CL215" s="94"/>
      <c r="CM215" s="94"/>
      <c r="CN215" s="94"/>
      <c r="CO215" s="94"/>
      <c r="CP215" s="94"/>
      <c r="CQ215" s="94"/>
      <c r="CR215" s="94"/>
      <c r="CS215" s="94"/>
      <c r="CT215" s="94"/>
      <c r="CU215" s="94"/>
      <c r="CV215" s="94"/>
      <c r="CW215" s="94"/>
      <c r="CX215" s="94"/>
      <c r="CY215" s="94"/>
      <c r="CZ215" s="94"/>
      <c r="DA215" s="94"/>
      <c r="DB215" s="94"/>
      <c r="DC215" s="94"/>
      <c r="DD215" s="94"/>
      <c r="DE215" s="94"/>
      <c r="DF215" s="94"/>
      <c r="DG215" s="94"/>
      <c r="DH215" s="94"/>
      <c r="DI215" s="94"/>
      <c r="DJ215" s="94"/>
      <c r="DK215" s="94"/>
      <c r="DL215" s="94"/>
      <c r="DM215" s="94"/>
      <c r="DN215" s="94"/>
      <c r="DO215" s="94"/>
      <c r="DP215" s="94"/>
      <c r="DQ215" s="94"/>
      <c r="DR215" s="94"/>
      <c r="DS215" s="94"/>
      <c r="DT215" s="94"/>
      <c r="DU215" s="94"/>
      <c r="DV215" s="94"/>
      <c r="DW215" s="94"/>
      <c r="DX215" s="94"/>
      <c r="DY215" s="94"/>
      <c r="DZ215" s="94"/>
      <c r="EA215" s="94"/>
      <c r="EB215" s="94"/>
      <c r="EC215" s="94"/>
      <c r="ED215" s="94"/>
      <c r="EE215" s="94"/>
      <c r="EF215" s="94"/>
      <c r="EG215" s="94"/>
      <c r="EH215" s="94"/>
      <c r="EI215" s="94"/>
      <c r="EJ215" s="94"/>
      <c r="EK215" s="94"/>
      <c r="EL215" s="94"/>
      <c r="EM215" s="94"/>
      <c r="EN215" s="94"/>
      <c r="EO215" s="94"/>
      <c r="EP215" s="94"/>
      <c r="EQ215" s="94"/>
      <c r="ER215" s="94"/>
      <c r="ES215" s="94"/>
      <c r="ET215" s="94"/>
      <c r="EU215" s="94"/>
      <c r="EV215" s="94"/>
      <c r="EW215" s="94"/>
      <c r="EX215" s="94"/>
      <c r="EY215" s="94"/>
      <c r="EZ215" s="94"/>
      <c r="FA215" s="94"/>
      <c r="FB215" s="94"/>
      <c r="FC215" s="94"/>
      <c r="FD215" s="94"/>
      <c r="FE215" s="94"/>
      <c r="FF215" s="94"/>
      <c r="FG215" s="94"/>
      <c r="FH215" s="94"/>
      <c r="FI215" s="94"/>
      <c r="FJ215" s="94"/>
      <c r="FK215" s="94"/>
      <c r="FL215" s="94"/>
      <c r="FM215" s="94"/>
      <c r="FN215" s="94"/>
      <c r="FO215" s="94"/>
      <c r="FP215" s="94"/>
      <c r="FQ215" s="94"/>
      <c r="FR215" s="94"/>
      <c r="FS215" s="94"/>
      <c r="FT215" s="94"/>
      <c r="FU215" s="94"/>
      <c r="FV215" s="94"/>
      <c r="FW215" s="94"/>
      <c r="FX215" s="94"/>
      <c r="FY215" s="94"/>
      <c r="FZ215" s="94"/>
      <c r="GA215" s="94"/>
      <c r="GB215" s="94"/>
      <c r="GC215" s="94"/>
      <c r="GD215" s="94"/>
      <c r="GE215" s="94"/>
      <c r="GF215" s="94"/>
      <c r="GG215" s="94"/>
      <c r="GH215" s="94"/>
      <c r="GI215" s="94"/>
      <c r="GJ215" s="94"/>
      <c r="GK215" s="94"/>
      <c r="GL215" s="94"/>
      <c r="GM215" s="94"/>
      <c r="GN215" s="94"/>
      <c r="GO215" s="94"/>
      <c r="GP215" s="94"/>
      <c r="GQ215" s="94"/>
      <c r="GR215" s="94"/>
      <c r="GS215" s="94"/>
      <c r="GT215" s="94"/>
      <c r="GU215" s="94"/>
      <c r="GV215" s="94"/>
      <c r="GW215" s="94"/>
      <c r="GX215" s="94"/>
      <c r="GY215" s="94"/>
      <c r="GZ215" s="94"/>
      <c r="HA215" s="94"/>
      <c r="HB215" s="94"/>
      <c r="HC215" s="94"/>
      <c r="HD215" s="94"/>
      <c r="HE215" s="94"/>
      <c r="HF215" s="94"/>
      <c r="HG215" s="94"/>
      <c r="HH215" s="94"/>
      <c r="HI215" s="94"/>
      <c r="HJ215" s="94"/>
      <c r="HK215" s="94"/>
      <c r="HL215" s="94"/>
      <c r="HM215" s="94"/>
      <c r="HN215" s="94"/>
      <c r="HO215" s="94"/>
      <c r="HP215" s="94"/>
      <c r="HQ215" s="94"/>
      <c r="HR215" s="94"/>
      <c r="HS215" s="94"/>
      <c r="HT215" s="94"/>
      <c r="HU215" s="94"/>
      <c r="HV215" s="94"/>
      <c r="HW215" s="94"/>
      <c r="HX215" s="94"/>
      <c r="HY215" s="94"/>
      <c r="HZ215" s="94"/>
      <c r="IA215" s="94"/>
      <c r="IB215" s="94"/>
      <c r="IC215" s="94"/>
      <c r="ID215" s="94"/>
      <c r="IE215" s="94"/>
      <c r="IF215" s="94"/>
      <c r="IG215" s="94"/>
      <c r="IH215" s="94"/>
      <c r="II215" s="94"/>
      <c r="IJ215" s="94"/>
      <c r="IK215" s="94"/>
      <c r="IL215" s="94"/>
      <c r="IM215" s="94"/>
      <c r="IN215" s="94"/>
      <c r="IO215" s="94"/>
      <c r="IP215" s="94"/>
      <c r="IQ215" s="94"/>
      <c r="IR215" s="94"/>
      <c r="IS215" s="94"/>
      <c r="IT215" s="94"/>
      <c r="IU215" s="94"/>
      <c r="IV215" s="94"/>
    </row>
    <row r="216" spans="1:256" s="95" customFormat="1" ht="16.95" customHeight="1">
      <c r="A216" s="132"/>
      <c r="B216" s="132"/>
      <c r="C216" s="136"/>
      <c r="D216" s="85">
        <f t="shared" si="10"/>
        <v>0.27272727272727271</v>
      </c>
      <c r="E216" s="98"/>
      <c r="F216" s="99" t="s">
        <v>449</v>
      </c>
      <c r="G216" s="88" t="s">
        <v>66</v>
      </c>
      <c r="H216" s="100">
        <f t="shared" si="9"/>
        <v>4</v>
      </c>
      <c r="I216" s="101">
        <f>IF([2]项目总工作量!B$6="交易类",H216*1.5/22,IF([2]项目总工作量!B$6="数据分析类",H216*1.5*0.9/22,IF([2]项目总工作量!B$6="流程管理类",H216*1.5*0.8/22,IF([2]项目总工作量!B$6="渠道类",H216*1.5*0.7/22,FALSE))))</f>
        <v>0.27272727272727271</v>
      </c>
      <c r="J216" s="88" t="s">
        <v>44</v>
      </c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  <c r="AI216" s="94"/>
      <c r="AJ216" s="94"/>
      <c r="AK216" s="94"/>
      <c r="AL216" s="94"/>
      <c r="AM216" s="94"/>
      <c r="AN216" s="94"/>
      <c r="AO216" s="94"/>
      <c r="AP216" s="94"/>
      <c r="AQ216" s="94"/>
      <c r="AR216" s="94"/>
      <c r="AS216" s="94"/>
      <c r="AT216" s="94"/>
      <c r="AU216" s="94"/>
      <c r="AV216" s="94"/>
      <c r="AW216" s="94"/>
      <c r="AX216" s="94"/>
      <c r="AY216" s="94"/>
      <c r="AZ216" s="94"/>
      <c r="BA216" s="94"/>
      <c r="BB216" s="94"/>
      <c r="BC216" s="94"/>
      <c r="BD216" s="94"/>
      <c r="BE216" s="94"/>
      <c r="BF216" s="94"/>
      <c r="BG216" s="94"/>
      <c r="BH216" s="94"/>
      <c r="BI216" s="94"/>
      <c r="BJ216" s="94"/>
      <c r="BK216" s="94"/>
      <c r="BL216" s="94"/>
      <c r="BM216" s="94"/>
      <c r="BN216" s="94"/>
      <c r="BO216" s="94"/>
      <c r="BP216" s="94"/>
      <c r="BQ216" s="94"/>
      <c r="BR216" s="94"/>
      <c r="BS216" s="94"/>
      <c r="BT216" s="94"/>
      <c r="BU216" s="94"/>
      <c r="BV216" s="94"/>
      <c r="BW216" s="94"/>
      <c r="BX216" s="94"/>
      <c r="BY216" s="94"/>
      <c r="BZ216" s="94"/>
      <c r="CA216" s="94"/>
      <c r="CB216" s="94"/>
      <c r="CC216" s="94"/>
      <c r="CD216" s="94"/>
      <c r="CE216" s="94"/>
      <c r="CF216" s="94"/>
      <c r="CG216" s="94"/>
      <c r="CH216" s="94"/>
      <c r="CI216" s="94"/>
      <c r="CJ216" s="94"/>
      <c r="CK216" s="94"/>
      <c r="CL216" s="94"/>
      <c r="CM216" s="94"/>
      <c r="CN216" s="94"/>
      <c r="CO216" s="94"/>
      <c r="CP216" s="94"/>
      <c r="CQ216" s="94"/>
      <c r="CR216" s="94"/>
      <c r="CS216" s="94"/>
      <c r="CT216" s="94"/>
      <c r="CU216" s="94"/>
      <c r="CV216" s="94"/>
      <c r="CW216" s="94"/>
      <c r="CX216" s="94"/>
      <c r="CY216" s="94"/>
      <c r="CZ216" s="94"/>
      <c r="DA216" s="94"/>
      <c r="DB216" s="94"/>
      <c r="DC216" s="94"/>
      <c r="DD216" s="94"/>
      <c r="DE216" s="94"/>
      <c r="DF216" s="94"/>
      <c r="DG216" s="94"/>
      <c r="DH216" s="94"/>
      <c r="DI216" s="94"/>
      <c r="DJ216" s="94"/>
      <c r="DK216" s="94"/>
      <c r="DL216" s="94"/>
      <c r="DM216" s="94"/>
      <c r="DN216" s="94"/>
      <c r="DO216" s="94"/>
      <c r="DP216" s="94"/>
      <c r="DQ216" s="94"/>
      <c r="DR216" s="94"/>
      <c r="DS216" s="94"/>
      <c r="DT216" s="94"/>
      <c r="DU216" s="94"/>
      <c r="DV216" s="94"/>
      <c r="DW216" s="94"/>
      <c r="DX216" s="94"/>
      <c r="DY216" s="94"/>
      <c r="DZ216" s="94"/>
      <c r="EA216" s="94"/>
      <c r="EB216" s="94"/>
      <c r="EC216" s="94"/>
      <c r="ED216" s="94"/>
      <c r="EE216" s="94"/>
      <c r="EF216" s="94"/>
      <c r="EG216" s="94"/>
      <c r="EH216" s="94"/>
      <c r="EI216" s="94"/>
      <c r="EJ216" s="94"/>
      <c r="EK216" s="94"/>
      <c r="EL216" s="94"/>
      <c r="EM216" s="94"/>
      <c r="EN216" s="94"/>
      <c r="EO216" s="94"/>
      <c r="EP216" s="94"/>
      <c r="EQ216" s="94"/>
      <c r="ER216" s="94"/>
      <c r="ES216" s="94"/>
      <c r="ET216" s="94"/>
      <c r="EU216" s="94"/>
      <c r="EV216" s="94"/>
      <c r="EW216" s="94"/>
      <c r="EX216" s="94"/>
      <c r="EY216" s="94"/>
      <c r="EZ216" s="94"/>
      <c r="FA216" s="94"/>
      <c r="FB216" s="94"/>
      <c r="FC216" s="94"/>
      <c r="FD216" s="94"/>
      <c r="FE216" s="94"/>
      <c r="FF216" s="94"/>
      <c r="FG216" s="94"/>
      <c r="FH216" s="94"/>
      <c r="FI216" s="94"/>
      <c r="FJ216" s="94"/>
      <c r="FK216" s="94"/>
      <c r="FL216" s="94"/>
      <c r="FM216" s="94"/>
      <c r="FN216" s="94"/>
      <c r="FO216" s="94"/>
      <c r="FP216" s="94"/>
      <c r="FQ216" s="94"/>
      <c r="FR216" s="94"/>
      <c r="FS216" s="94"/>
      <c r="FT216" s="94"/>
      <c r="FU216" s="94"/>
      <c r="FV216" s="94"/>
      <c r="FW216" s="94"/>
      <c r="FX216" s="94"/>
      <c r="FY216" s="94"/>
      <c r="FZ216" s="94"/>
      <c r="GA216" s="94"/>
      <c r="GB216" s="94"/>
      <c r="GC216" s="94"/>
      <c r="GD216" s="94"/>
      <c r="GE216" s="94"/>
      <c r="GF216" s="94"/>
      <c r="GG216" s="94"/>
      <c r="GH216" s="94"/>
      <c r="GI216" s="94"/>
      <c r="GJ216" s="94"/>
      <c r="GK216" s="94"/>
      <c r="GL216" s="94"/>
      <c r="GM216" s="94"/>
      <c r="GN216" s="94"/>
      <c r="GO216" s="94"/>
      <c r="GP216" s="94"/>
      <c r="GQ216" s="94"/>
      <c r="GR216" s="94"/>
      <c r="GS216" s="94"/>
      <c r="GT216" s="94"/>
      <c r="GU216" s="94"/>
      <c r="GV216" s="94"/>
      <c r="GW216" s="94"/>
      <c r="GX216" s="94"/>
      <c r="GY216" s="94"/>
      <c r="GZ216" s="94"/>
      <c r="HA216" s="94"/>
      <c r="HB216" s="94"/>
      <c r="HC216" s="94"/>
      <c r="HD216" s="94"/>
      <c r="HE216" s="94"/>
      <c r="HF216" s="94"/>
      <c r="HG216" s="94"/>
      <c r="HH216" s="94"/>
      <c r="HI216" s="94"/>
      <c r="HJ216" s="94"/>
      <c r="HK216" s="94"/>
      <c r="HL216" s="94"/>
      <c r="HM216" s="94"/>
      <c r="HN216" s="94"/>
      <c r="HO216" s="94"/>
      <c r="HP216" s="94"/>
      <c r="HQ216" s="94"/>
      <c r="HR216" s="94"/>
      <c r="HS216" s="94"/>
      <c r="HT216" s="94"/>
      <c r="HU216" s="94"/>
      <c r="HV216" s="94"/>
      <c r="HW216" s="94"/>
      <c r="HX216" s="94"/>
      <c r="HY216" s="94"/>
      <c r="HZ216" s="94"/>
      <c r="IA216" s="94"/>
      <c r="IB216" s="94"/>
      <c r="IC216" s="94"/>
      <c r="ID216" s="94"/>
      <c r="IE216" s="94"/>
      <c r="IF216" s="94"/>
      <c r="IG216" s="94"/>
      <c r="IH216" s="94"/>
      <c r="II216" s="94"/>
      <c r="IJ216" s="94"/>
      <c r="IK216" s="94"/>
      <c r="IL216" s="94"/>
      <c r="IM216" s="94"/>
      <c r="IN216" s="94"/>
      <c r="IO216" s="94"/>
      <c r="IP216" s="94"/>
      <c r="IQ216" s="94"/>
      <c r="IR216" s="94"/>
      <c r="IS216" s="94"/>
      <c r="IT216" s="94"/>
      <c r="IU216" s="94"/>
      <c r="IV216" s="94"/>
    </row>
    <row r="217" spans="1:256" s="95" customFormat="1" ht="16.95" customHeight="1">
      <c r="A217" s="132"/>
      <c r="B217" s="132"/>
      <c r="C217" s="136"/>
      <c r="D217" s="85">
        <f t="shared" si="10"/>
        <v>0.27272727272727271</v>
      </c>
      <c r="E217" s="98"/>
      <c r="F217" s="99" t="s">
        <v>450</v>
      </c>
      <c r="G217" s="88" t="s">
        <v>66</v>
      </c>
      <c r="H217" s="100">
        <f t="shared" si="9"/>
        <v>4</v>
      </c>
      <c r="I217" s="101">
        <f>IF([2]项目总工作量!B$6="交易类",H217*1.5/22,IF([2]项目总工作量!B$6="数据分析类",H217*1.5*0.9/22,IF([2]项目总工作量!B$6="流程管理类",H217*1.5*0.8/22,IF([2]项目总工作量!B$6="渠道类",H217*1.5*0.7/22,FALSE))))</f>
        <v>0.27272727272727271</v>
      </c>
      <c r="J217" s="88" t="s">
        <v>44</v>
      </c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  <c r="AI217" s="94"/>
      <c r="AJ217" s="94"/>
      <c r="AK217" s="94"/>
      <c r="AL217" s="94"/>
      <c r="AM217" s="94"/>
      <c r="AN217" s="94"/>
      <c r="AO217" s="94"/>
      <c r="AP217" s="94"/>
      <c r="AQ217" s="94"/>
      <c r="AR217" s="94"/>
      <c r="AS217" s="94"/>
      <c r="AT217" s="94"/>
      <c r="AU217" s="94"/>
      <c r="AV217" s="94"/>
      <c r="AW217" s="94"/>
      <c r="AX217" s="94"/>
      <c r="AY217" s="94"/>
      <c r="AZ217" s="94"/>
      <c r="BA217" s="94"/>
      <c r="BB217" s="94"/>
      <c r="BC217" s="94"/>
      <c r="BD217" s="94"/>
      <c r="BE217" s="94"/>
      <c r="BF217" s="94"/>
      <c r="BG217" s="94"/>
      <c r="BH217" s="94"/>
      <c r="BI217" s="94"/>
      <c r="BJ217" s="94"/>
      <c r="BK217" s="94"/>
      <c r="BL217" s="94"/>
      <c r="BM217" s="94"/>
      <c r="BN217" s="94"/>
      <c r="BO217" s="94"/>
      <c r="BP217" s="94"/>
      <c r="BQ217" s="94"/>
      <c r="BR217" s="94"/>
      <c r="BS217" s="94"/>
      <c r="BT217" s="94"/>
      <c r="BU217" s="94"/>
      <c r="BV217" s="94"/>
      <c r="BW217" s="94"/>
      <c r="BX217" s="94"/>
      <c r="BY217" s="94"/>
      <c r="BZ217" s="94"/>
      <c r="CA217" s="94"/>
      <c r="CB217" s="94"/>
      <c r="CC217" s="94"/>
      <c r="CD217" s="94"/>
      <c r="CE217" s="94"/>
      <c r="CF217" s="94"/>
      <c r="CG217" s="94"/>
      <c r="CH217" s="94"/>
      <c r="CI217" s="94"/>
      <c r="CJ217" s="94"/>
      <c r="CK217" s="94"/>
      <c r="CL217" s="94"/>
      <c r="CM217" s="94"/>
      <c r="CN217" s="94"/>
      <c r="CO217" s="94"/>
      <c r="CP217" s="94"/>
      <c r="CQ217" s="94"/>
      <c r="CR217" s="94"/>
      <c r="CS217" s="94"/>
      <c r="CT217" s="94"/>
      <c r="CU217" s="94"/>
      <c r="CV217" s="94"/>
      <c r="CW217" s="94"/>
      <c r="CX217" s="94"/>
      <c r="CY217" s="94"/>
      <c r="CZ217" s="94"/>
      <c r="DA217" s="94"/>
      <c r="DB217" s="94"/>
      <c r="DC217" s="94"/>
      <c r="DD217" s="94"/>
      <c r="DE217" s="94"/>
      <c r="DF217" s="94"/>
      <c r="DG217" s="94"/>
      <c r="DH217" s="94"/>
      <c r="DI217" s="94"/>
      <c r="DJ217" s="94"/>
      <c r="DK217" s="94"/>
      <c r="DL217" s="94"/>
      <c r="DM217" s="94"/>
      <c r="DN217" s="94"/>
      <c r="DO217" s="94"/>
      <c r="DP217" s="94"/>
      <c r="DQ217" s="94"/>
      <c r="DR217" s="94"/>
      <c r="DS217" s="94"/>
      <c r="DT217" s="94"/>
      <c r="DU217" s="94"/>
      <c r="DV217" s="94"/>
      <c r="DW217" s="94"/>
      <c r="DX217" s="94"/>
      <c r="DY217" s="94"/>
      <c r="DZ217" s="94"/>
      <c r="EA217" s="94"/>
      <c r="EB217" s="94"/>
      <c r="EC217" s="94"/>
      <c r="ED217" s="94"/>
      <c r="EE217" s="94"/>
      <c r="EF217" s="94"/>
      <c r="EG217" s="94"/>
      <c r="EH217" s="94"/>
      <c r="EI217" s="94"/>
      <c r="EJ217" s="94"/>
      <c r="EK217" s="94"/>
      <c r="EL217" s="94"/>
      <c r="EM217" s="94"/>
      <c r="EN217" s="94"/>
      <c r="EO217" s="94"/>
      <c r="EP217" s="94"/>
      <c r="EQ217" s="94"/>
      <c r="ER217" s="94"/>
      <c r="ES217" s="94"/>
      <c r="ET217" s="94"/>
      <c r="EU217" s="94"/>
      <c r="EV217" s="94"/>
      <c r="EW217" s="94"/>
      <c r="EX217" s="94"/>
      <c r="EY217" s="94"/>
      <c r="EZ217" s="94"/>
      <c r="FA217" s="94"/>
      <c r="FB217" s="94"/>
      <c r="FC217" s="94"/>
      <c r="FD217" s="94"/>
      <c r="FE217" s="94"/>
      <c r="FF217" s="94"/>
      <c r="FG217" s="94"/>
      <c r="FH217" s="94"/>
      <c r="FI217" s="94"/>
      <c r="FJ217" s="94"/>
      <c r="FK217" s="94"/>
      <c r="FL217" s="94"/>
      <c r="FM217" s="94"/>
      <c r="FN217" s="94"/>
      <c r="FO217" s="94"/>
      <c r="FP217" s="94"/>
      <c r="FQ217" s="94"/>
      <c r="FR217" s="94"/>
      <c r="FS217" s="94"/>
      <c r="FT217" s="94"/>
      <c r="FU217" s="94"/>
      <c r="FV217" s="94"/>
      <c r="FW217" s="94"/>
      <c r="FX217" s="94"/>
      <c r="FY217" s="94"/>
      <c r="FZ217" s="94"/>
      <c r="GA217" s="94"/>
      <c r="GB217" s="94"/>
      <c r="GC217" s="94"/>
      <c r="GD217" s="94"/>
      <c r="GE217" s="94"/>
      <c r="GF217" s="94"/>
      <c r="GG217" s="94"/>
      <c r="GH217" s="94"/>
      <c r="GI217" s="94"/>
      <c r="GJ217" s="94"/>
      <c r="GK217" s="94"/>
      <c r="GL217" s="94"/>
      <c r="GM217" s="94"/>
      <c r="GN217" s="94"/>
      <c r="GO217" s="94"/>
      <c r="GP217" s="94"/>
      <c r="GQ217" s="94"/>
      <c r="GR217" s="94"/>
      <c r="GS217" s="94"/>
      <c r="GT217" s="94"/>
      <c r="GU217" s="94"/>
      <c r="GV217" s="94"/>
      <c r="GW217" s="94"/>
      <c r="GX217" s="94"/>
      <c r="GY217" s="94"/>
      <c r="GZ217" s="94"/>
      <c r="HA217" s="94"/>
      <c r="HB217" s="94"/>
      <c r="HC217" s="94"/>
      <c r="HD217" s="94"/>
      <c r="HE217" s="94"/>
      <c r="HF217" s="94"/>
      <c r="HG217" s="94"/>
      <c r="HH217" s="94"/>
      <c r="HI217" s="94"/>
      <c r="HJ217" s="94"/>
      <c r="HK217" s="94"/>
      <c r="HL217" s="94"/>
      <c r="HM217" s="94"/>
      <c r="HN217" s="94"/>
      <c r="HO217" s="94"/>
      <c r="HP217" s="94"/>
      <c r="HQ217" s="94"/>
      <c r="HR217" s="94"/>
      <c r="HS217" s="94"/>
      <c r="HT217" s="94"/>
      <c r="HU217" s="94"/>
      <c r="HV217" s="94"/>
      <c r="HW217" s="94"/>
      <c r="HX217" s="94"/>
      <c r="HY217" s="94"/>
      <c r="HZ217" s="94"/>
      <c r="IA217" s="94"/>
      <c r="IB217" s="94"/>
      <c r="IC217" s="94"/>
      <c r="ID217" s="94"/>
      <c r="IE217" s="94"/>
      <c r="IF217" s="94"/>
      <c r="IG217" s="94"/>
      <c r="IH217" s="94"/>
      <c r="II217" s="94"/>
      <c r="IJ217" s="94"/>
      <c r="IK217" s="94"/>
      <c r="IL217" s="94"/>
      <c r="IM217" s="94"/>
      <c r="IN217" s="94"/>
      <c r="IO217" s="94"/>
      <c r="IP217" s="94"/>
      <c r="IQ217" s="94"/>
      <c r="IR217" s="94"/>
      <c r="IS217" s="94"/>
      <c r="IT217" s="94"/>
      <c r="IU217" s="94"/>
      <c r="IV217" s="94"/>
    </row>
    <row r="218" spans="1:256" s="95" customFormat="1" ht="16.95" customHeight="1">
      <c r="A218" s="132"/>
      <c r="B218" s="132"/>
      <c r="C218" s="136"/>
      <c r="D218" s="85">
        <f t="shared" si="10"/>
        <v>0.27272727272727271</v>
      </c>
      <c r="E218" s="98"/>
      <c r="F218" s="99" t="s">
        <v>451</v>
      </c>
      <c r="G218" s="88" t="s">
        <v>66</v>
      </c>
      <c r="H218" s="100">
        <f t="shared" si="9"/>
        <v>4</v>
      </c>
      <c r="I218" s="101">
        <f>IF([2]项目总工作量!B$6="交易类",H218*1.5/22,IF([2]项目总工作量!B$6="数据分析类",H218*1.5*0.9/22,IF([2]项目总工作量!B$6="流程管理类",H218*1.5*0.8/22,IF([2]项目总工作量!B$6="渠道类",H218*1.5*0.7/22,FALSE))))</f>
        <v>0.27272727272727271</v>
      </c>
      <c r="J218" s="88" t="s">
        <v>44</v>
      </c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  <c r="AI218" s="94"/>
      <c r="AJ218" s="94"/>
      <c r="AK218" s="94"/>
      <c r="AL218" s="94"/>
      <c r="AM218" s="94"/>
      <c r="AN218" s="94"/>
      <c r="AO218" s="94"/>
      <c r="AP218" s="94"/>
      <c r="AQ218" s="94"/>
      <c r="AR218" s="94"/>
      <c r="AS218" s="94"/>
      <c r="AT218" s="94"/>
      <c r="AU218" s="94"/>
      <c r="AV218" s="94"/>
      <c r="AW218" s="94"/>
      <c r="AX218" s="94"/>
      <c r="AY218" s="94"/>
      <c r="AZ218" s="94"/>
      <c r="BA218" s="94"/>
      <c r="BB218" s="94"/>
      <c r="BC218" s="94"/>
      <c r="BD218" s="94"/>
      <c r="BE218" s="94"/>
      <c r="BF218" s="94"/>
      <c r="BG218" s="94"/>
      <c r="BH218" s="94"/>
      <c r="BI218" s="94"/>
      <c r="BJ218" s="94"/>
      <c r="BK218" s="94"/>
      <c r="BL218" s="94"/>
      <c r="BM218" s="94"/>
      <c r="BN218" s="94"/>
      <c r="BO218" s="94"/>
      <c r="BP218" s="94"/>
      <c r="BQ218" s="94"/>
      <c r="BR218" s="94"/>
      <c r="BS218" s="94"/>
      <c r="BT218" s="94"/>
      <c r="BU218" s="94"/>
      <c r="BV218" s="94"/>
      <c r="BW218" s="94"/>
      <c r="BX218" s="94"/>
      <c r="BY218" s="94"/>
      <c r="BZ218" s="94"/>
      <c r="CA218" s="94"/>
      <c r="CB218" s="94"/>
      <c r="CC218" s="94"/>
      <c r="CD218" s="94"/>
      <c r="CE218" s="94"/>
      <c r="CF218" s="94"/>
      <c r="CG218" s="94"/>
      <c r="CH218" s="94"/>
      <c r="CI218" s="94"/>
      <c r="CJ218" s="94"/>
      <c r="CK218" s="94"/>
      <c r="CL218" s="94"/>
      <c r="CM218" s="94"/>
      <c r="CN218" s="94"/>
      <c r="CO218" s="94"/>
      <c r="CP218" s="94"/>
      <c r="CQ218" s="94"/>
      <c r="CR218" s="94"/>
      <c r="CS218" s="94"/>
      <c r="CT218" s="94"/>
      <c r="CU218" s="94"/>
      <c r="CV218" s="94"/>
      <c r="CW218" s="94"/>
      <c r="CX218" s="94"/>
      <c r="CY218" s="94"/>
      <c r="CZ218" s="94"/>
      <c r="DA218" s="94"/>
      <c r="DB218" s="94"/>
      <c r="DC218" s="94"/>
      <c r="DD218" s="94"/>
      <c r="DE218" s="94"/>
      <c r="DF218" s="94"/>
      <c r="DG218" s="94"/>
      <c r="DH218" s="94"/>
      <c r="DI218" s="94"/>
      <c r="DJ218" s="94"/>
      <c r="DK218" s="94"/>
      <c r="DL218" s="94"/>
      <c r="DM218" s="94"/>
      <c r="DN218" s="94"/>
      <c r="DO218" s="94"/>
      <c r="DP218" s="94"/>
      <c r="DQ218" s="94"/>
      <c r="DR218" s="94"/>
      <c r="DS218" s="94"/>
      <c r="DT218" s="94"/>
      <c r="DU218" s="94"/>
      <c r="DV218" s="94"/>
      <c r="DW218" s="94"/>
      <c r="DX218" s="94"/>
      <c r="DY218" s="94"/>
      <c r="DZ218" s="94"/>
      <c r="EA218" s="94"/>
      <c r="EB218" s="94"/>
      <c r="EC218" s="94"/>
      <c r="ED218" s="94"/>
      <c r="EE218" s="94"/>
      <c r="EF218" s="94"/>
      <c r="EG218" s="94"/>
      <c r="EH218" s="94"/>
      <c r="EI218" s="94"/>
      <c r="EJ218" s="94"/>
      <c r="EK218" s="94"/>
      <c r="EL218" s="94"/>
      <c r="EM218" s="94"/>
      <c r="EN218" s="94"/>
      <c r="EO218" s="94"/>
      <c r="EP218" s="94"/>
      <c r="EQ218" s="94"/>
      <c r="ER218" s="94"/>
      <c r="ES218" s="94"/>
      <c r="ET218" s="94"/>
      <c r="EU218" s="94"/>
      <c r="EV218" s="94"/>
      <c r="EW218" s="94"/>
      <c r="EX218" s="94"/>
      <c r="EY218" s="94"/>
      <c r="EZ218" s="94"/>
      <c r="FA218" s="94"/>
      <c r="FB218" s="94"/>
      <c r="FC218" s="94"/>
      <c r="FD218" s="94"/>
      <c r="FE218" s="94"/>
      <c r="FF218" s="94"/>
      <c r="FG218" s="94"/>
      <c r="FH218" s="94"/>
      <c r="FI218" s="94"/>
      <c r="FJ218" s="94"/>
      <c r="FK218" s="94"/>
      <c r="FL218" s="94"/>
      <c r="FM218" s="94"/>
      <c r="FN218" s="94"/>
      <c r="FO218" s="94"/>
      <c r="FP218" s="94"/>
      <c r="FQ218" s="94"/>
      <c r="FR218" s="94"/>
      <c r="FS218" s="94"/>
      <c r="FT218" s="94"/>
      <c r="FU218" s="94"/>
      <c r="FV218" s="94"/>
      <c r="FW218" s="94"/>
      <c r="FX218" s="94"/>
      <c r="FY218" s="94"/>
      <c r="FZ218" s="94"/>
      <c r="GA218" s="94"/>
      <c r="GB218" s="94"/>
      <c r="GC218" s="94"/>
      <c r="GD218" s="94"/>
      <c r="GE218" s="94"/>
      <c r="GF218" s="94"/>
      <c r="GG218" s="94"/>
      <c r="GH218" s="94"/>
      <c r="GI218" s="94"/>
      <c r="GJ218" s="94"/>
      <c r="GK218" s="94"/>
      <c r="GL218" s="94"/>
      <c r="GM218" s="94"/>
      <c r="GN218" s="94"/>
      <c r="GO218" s="94"/>
      <c r="GP218" s="94"/>
      <c r="GQ218" s="94"/>
      <c r="GR218" s="94"/>
      <c r="GS218" s="94"/>
      <c r="GT218" s="94"/>
      <c r="GU218" s="94"/>
      <c r="GV218" s="94"/>
      <c r="GW218" s="94"/>
      <c r="GX218" s="94"/>
      <c r="GY218" s="94"/>
      <c r="GZ218" s="94"/>
      <c r="HA218" s="94"/>
      <c r="HB218" s="94"/>
      <c r="HC218" s="94"/>
      <c r="HD218" s="94"/>
      <c r="HE218" s="94"/>
      <c r="HF218" s="94"/>
      <c r="HG218" s="94"/>
      <c r="HH218" s="94"/>
      <c r="HI218" s="94"/>
      <c r="HJ218" s="94"/>
      <c r="HK218" s="94"/>
      <c r="HL218" s="94"/>
      <c r="HM218" s="94"/>
      <c r="HN218" s="94"/>
      <c r="HO218" s="94"/>
      <c r="HP218" s="94"/>
      <c r="HQ218" s="94"/>
      <c r="HR218" s="94"/>
      <c r="HS218" s="94"/>
      <c r="HT218" s="94"/>
      <c r="HU218" s="94"/>
      <c r="HV218" s="94"/>
      <c r="HW218" s="94"/>
      <c r="HX218" s="94"/>
      <c r="HY218" s="94"/>
      <c r="HZ218" s="94"/>
      <c r="IA218" s="94"/>
      <c r="IB218" s="94"/>
      <c r="IC218" s="94"/>
      <c r="ID218" s="94"/>
      <c r="IE218" s="94"/>
      <c r="IF218" s="94"/>
      <c r="IG218" s="94"/>
      <c r="IH218" s="94"/>
      <c r="II218" s="94"/>
      <c r="IJ218" s="94"/>
      <c r="IK218" s="94"/>
      <c r="IL218" s="94"/>
      <c r="IM218" s="94"/>
      <c r="IN218" s="94"/>
      <c r="IO218" s="94"/>
      <c r="IP218" s="94"/>
      <c r="IQ218" s="94"/>
      <c r="IR218" s="94"/>
      <c r="IS218" s="94"/>
      <c r="IT218" s="94"/>
      <c r="IU218" s="94"/>
      <c r="IV218" s="94"/>
    </row>
    <row r="219" spans="1:256" s="95" customFormat="1" ht="16.95" customHeight="1">
      <c r="A219" s="132"/>
      <c r="B219" s="132"/>
      <c r="C219" s="136"/>
      <c r="D219" s="85">
        <f t="shared" si="10"/>
        <v>0.27272727272727271</v>
      </c>
      <c r="E219" s="98"/>
      <c r="F219" s="99" t="s">
        <v>452</v>
      </c>
      <c r="G219" s="88" t="s">
        <v>66</v>
      </c>
      <c r="H219" s="100">
        <f t="shared" si="9"/>
        <v>4</v>
      </c>
      <c r="I219" s="101">
        <f>IF([2]项目总工作量!B$6="交易类",H219*1.5/22,IF([2]项目总工作量!B$6="数据分析类",H219*1.5*0.9/22,IF([2]项目总工作量!B$6="流程管理类",H219*1.5*0.8/22,IF([2]项目总工作量!B$6="渠道类",H219*1.5*0.7/22,FALSE))))</f>
        <v>0.27272727272727271</v>
      </c>
      <c r="J219" s="88" t="s">
        <v>44</v>
      </c>
      <c r="K219" s="94"/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  <c r="AI219" s="94"/>
      <c r="AJ219" s="94"/>
      <c r="AK219" s="94"/>
      <c r="AL219" s="94"/>
      <c r="AM219" s="94"/>
      <c r="AN219" s="94"/>
      <c r="AO219" s="94"/>
      <c r="AP219" s="94"/>
      <c r="AQ219" s="94"/>
      <c r="AR219" s="94"/>
      <c r="AS219" s="94"/>
      <c r="AT219" s="94"/>
      <c r="AU219" s="94"/>
      <c r="AV219" s="94"/>
      <c r="AW219" s="94"/>
      <c r="AX219" s="94"/>
      <c r="AY219" s="94"/>
      <c r="AZ219" s="94"/>
      <c r="BA219" s="94"/>
      <c r="BB219" s="94"/>
      <c r="BC219" s="94"/>
      <c r="BD219" s="94"/>
      <c r="BE219" s="94"/>
      <c r="BF219" s="94"/>
      <c r="BG219" s="94"/>
      <c r="BH219" s="94"/>
      <c r="BI219" s="94"/>
      <c r="BJ219" s="94"/>
      <c r="BK219" s="94"/>
      <c r="BL219" s="94"/>
      <c r="BM219" s="94"/>
      <c r="BN219" s="94"/>
      <c r="BO219" s="94"/>
      <c r="BP219" s="94"/>
      <c r="BQ219" s="94"/>
      <c r="BR219" s="94"/>
      <c r="BS219" s="94"/>
      <c r="BT219" s="94"/>
      <c r="BU219" s="94"/>
      <c r="BV219" s="94"/>
      <c r="BW219" s="94"/>
      <c r="BX219" s="94"/>
      <c r="BY219" s="94"/>
      <c r="BZ219" s="94"/>
      <c r="CA219" s="94"/>
      <c r="CB219" s="94"/>
      <c r="CC219" s="94"/>
      <c r="CD219" s="94"/>
      <c r="CE219" s="94"/>
      <c r="CF219" s="94"/>
      <c r="CG219" s="94"/>
      <c r="CH219" s="94"/>
      <c r="CI219" s="94"/>
      <c r="CJ219" s="94"/>
      <c r="CK219" s="94"/>
      <c r="CL219" s="94"/>
      <c r="CM219" s="94"/>
      <c r="CN219" s="94"/>
      <c r="CO219" s="94"/>
      <c r="CP219" s="94"/>
      <c r="CQ219" s="94"/>
      <c r="CR219" s="94"/>
      <c r="CS219" s="94"/>
      <c r="CT219" s="94"/>
      <c r="CU219" s="94"/>
      <c r="CV219" s="94"/>
      <c r="CW219" s="94"/>
      <c r="CX219" s="94"/>
      <c r="CY219" s="94"/>
      <c r="CZ219" s="94"/>
      <c r="DA219" s="94"/>
      <c r="DB219" s="94"/>
      <c r="DC219" s="94"/>
      <c r="DD219" s="94"/>
      <c r="DE219" s="94"/>
      <c r="DF219" s="94"/>
      <c r="DG219" s="94"/>
      <c r="DH219" s="94"/>
      <c r="DI219" s="94"/>
      <c r="DJ219" s="94"/>
      <c r="DK219" s="94"/>
      <c r="DL219" s="94"/>
      <c r="DM219" s="94"/>
      <c r="DN219" s="94"/>
      <c r="DO219" s="94"/>
      <c r="DP219" s="94"/>
      <c r="DQ219" s="94"/>
      <c r="DR219" s="94"/>
      <c r="DS219" s="94"/>
      <c r="DT219" s="94"/>
      <c r="DU219" s="94"/>
      <c r="DV219" s="94"/>
      <c r="DW219" s="94"/>
      <c r="DX219" s="94"/>
      <c r="DY219" s="94"/>
      <c r="DZ219" s="94"/>
      <c r="EA219" s="94"/>
      <c r="EB219" s="94"/>
      <c r="EC219" s="94"/>
      <c r="ED219" s="94"/>
      <c r="EE219" s="94"/>
      <c r="EF219" s="94"/>
      <c r="EG219" s="94"/>
      <c r="EH219" s="94"/>
      <c r="EI219" s="94"/>
      <c r="EJ219" s="94"/>
      <c r="EK219" s="94"/>
      <c r="EL219" s="94"/>
      <c r="EM219" s="94"/>
      <c r="EN219" s="94"/>
      <c r="EO219" s="94"/>
      <c r="EP219" s="94"/>
      <c r="EQ219" s="94"/>
      <c r="ER219" s="94"/>
      <c r="ES219" s="94"/>
      <c r="ET219" s="94"/>
      <c r="EU219" s="94"/>
      <c r="EV219" s="94"/>
      <c r="EW219" s="94"/>
      <c r="EX219" s="94"/>
      <c r="EY219" s="94"/>
      <c r="EZ219" s="94"/>
      <c r="FA219" s="94"/>
      <c r="FB219" s="94"/>
      <c r="FC219" s="94"/>
      <c r="FD219" s="94"/>
      <c r="FE219" s="94"/>
      <c r="FF219" s="94"/>
      <c r="FG219" s="94"/>
      <c r="FH219" s="94"/>
      <c r="FI219" s="94"/>
      <c r="FJ219" s="94"/>
      <c r="FK219" s="94"/>
      <c r="FL219" s="94"/>
      <c r="FM219" s="94"/>
      <c r="FN219" s="94"/>
      <c r="FO219" s="94"/>
      <c r="FP219" s="94"/>
      <c r="FQ219" s="94"/>
      <c r="FR219" s="94"/>
      <c r="FS219" s="94"/>
      <c r="FT219" s="94"/>
      <c r="FU219" s="94"/>
      <c r="FV219" s="94"/>
      <c r="FW219" s="94"/>
      <c r="FX219" s="94"/>
      <c r="FY219" s="94"/>
      <c r="FZ219" s="94"/>
      <c r="GA219" s="94"/>
      <c r="GB219" s="94"/>
      <c r="GC219" s="94"/>
      <c r="GD219" s="94"/>
      <c r="GE219" s="94"/>
      <c r="GF219" s="94"/>
      <c r="GG219" s="94"/>
      <c r="GH219" s="94"/>
      <c r="GI219" s="94"/>
      <c r="GJ219" s="94"/>
      <c r="GK219" s="94"/>
      <c r="GL219" s="94"/>
      <c r="GM219" s="94"/>
      <c r="GN219" s="94"/>
      <c r="GO219" s="94"/>
      <c r="GP219" s="94"/>
      <c r="GQ219" s="94"/>
      <c r="GR219" s="94"/>
      <c r="GS219" s="94"/>
      <c r="GT219" s="94"/>
      <c r="GU219" s="94"/>
      <c r="GV219" s="94"/>
      <c r="GW219" s="94"/>
      <c r="GX219" s="94"/>
      <c r="GY219" s="94"/>
      <c r="GZ219" s="94"/>
      <c r="HA219" s="94"/>
      <c r="HB219" s="94"/>
      <c r="HC219" s="94"/>
      <c r="HD219" s="94"/>
      <c r="HE219" s="94"/>
      <c r="HF219" s="94"/>
      <c r="HG219" s="94"/>
      <c r="HH219" s="94"/>
      <c r="HI219" s="94"/>
      <c r="HJ219" s="94"/>
      <c r="HK219" s="94"/>
      <c r="HL219" s="94"/>
      <c r="HM219" s="94"/>
      <c r="HN219" s="94"/>
      <c r="HO219" s="94"/>
      <c r="HP219" s="94"/>
      <c r="HQ219" s="94"/>
      <c r="HR219" s="94"/>
      <c r="HS219" s="94"/>
      <c r="HT219" s="94"/>
      <c r="HU219" s="94"/>
      <c r="HV219" s="94"/>
      <c r="HW219" s="94"/>
      <c r="HX219" s="94"/>
      <c r="HY219" s="94"/>
      <c r="HZ219" s="94"/>
      <c r="IA219" s="94"/>
      <c r="IB219" s="94"/>
      <c r="IC219" s="94"/>
      <c r="ID219" s="94"/>
      <c r="IE219" s="94"/>
      <c r="IF219" s="94"/>
      <c r="IG219" s="94"/>
      <c r="IH219" s="94"/>
      <c r="II219" s="94"/>
      <c r="IJ219" s="94"/>
      <c r="IK219" s="94"/>
      <c r="IL219" s="94"/>
      <c r="IM219" s="94"/>
      <c r="IN219" s="94"/>
      <c r="IO219" s="94"/>
      <c r="IP219" s="94"/>
      <c r="IQ219" s="94"/>
      <c r="IR219" s="94"/>
      <c r="IS219" s="94"/>
      <c r="IT219" s="94"/>
      <c r="IU219" s="94"/>
      <c r="IV219" s="94"/>
    </row>
    <row r="220" spans="1:256" s="95" customFormat="1" ht="16.95" customHeight="1">
      <c r="A220" s="132"/>
      <c r="B220" s="132"/>
      <c r="C220" s="136"/>
      <c r="D220" s="85">
        <f t="shared" si="10"/>
        <v>0.27272727272727271</v>
      </c>
      <c r="E220" s="98"/>
      <c r="F220" s="99" t="s">
        <v>453</v>
      </c>
      <c r="G220" s="88" t="s">
        <v>66</v>
      </c>
      <c r="H220" s="100">
        <f t="shared" si="9"/>
        <v>4</v>
      </c>
      <c r="I220" s="101">
        <f>IF([2]项目总工作量!B$6="交易类",H220*1.5/22,IF([2]项目总工作量!B$6="数据分析类",H220*1.5*0.9/22,IF([2]项目总工作量!B$6="流程管理类",H220*1.5*0.8/22,IF([2]项目总工作量!B$6="渠道类",H220*1.5*0.7/22,FALSE))))</f>
        <v>0.27272727272727271</v>
      </c>
      <c r="J220" s="88" t="s">
        <v>44</v>
      </c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  <c r="AI220" s="94"/>
      <c r="AJ220" s="94"/>
      <c r="AK220" s="94"/>
      <c r="AL220" s="94"/>
      <c r="AM220" s="94"/>
      <c r="AN220" s="94"/>
      <c r="AO220" s="94"/>
      <c r="AP220" s="94"/>
      <c r="AQ220" s="94"/>
      <c r="AR220" s="94"/>
      <c r="AS220" s="94"/>
      <c r="AT220" s="94"/>
      <c r="AU220" s="94"/>
      <c r="AV220" s="94"/>
      <c r="AW220" s="94"/>
      <c r="AX220" s="94"/>
      <c r="AY220" s="94"/>
      <c r="AZ220" s="94"/>
      <c r="BA220" s="94"/>
      <c r="BB220" s="94"/>
      <c r="BC220" s="94"/>
      <c r="BD220" s="94"/>
      <c r="BE220" s="94"/>
      <c r="BF220" s="94"/>
      <c r="BG220" s="94"/>
      <c r="BH220" s="94"/>
      <c r="BI220" s="94"/>
      <c r="BJ220" s="94"/>
      <c r="BK220" s="94"/>
      <c r="BL220" s="94"/>
      <c r="BM220" s="94"/>
      <c r="BN220" s="94"/>
      <c r="BO220" s="94"/>
      <c r="BP220" s="94"/>
      <c r="BQ220" s="94"/>
      <c r="BR220" s="94"/>
      <c r="BS220" s="94"/>
      <c r="BT220" s="94"/>
      <c r="BU220" s="94"/>
      <c r="BV220" s="94"/>
      <c r="BW220" s="94"/>
      <c r="BX220" s="94"/>
      <c r="BY220" s="94"/>
      <c r="BZ220" s="94"/>
      <c r="CA220" s="94"/>
      <c r="CB220" s="94"/>
      <c r="CC220" s="94"/>
      <c r="CD220" s="94"/>
      <c r="CE220" s="94"/>
      <c r="CF220" s="94"/>
      <c r="CG220" s="94"/>
      <c r="CH220" s="94"/>
      <c r="CI220" s="94"/>
      <c r="CJ220" s="94"/>
      <c r="CK220" s="94"/>
      <c r="CL220" s="94"/>
      <c r="CM220" s="94"/>
      <c r="CN220" s="94"/>
      <c r="CO220" s="94"/>
      <c r="CP220" s="94"/>
      <c r="CQ220" s="94"/>
      <c r="CR220" s="94"/>
      <c r="CS220" s="94"/>
      <c r="CT220" s="94"/>
      <c r="CU220" s="94"/>
      <c r="CV220" s="94"/>
      <c r="CW220" s="94"/>
      <c r="CX220" s="94"/>
      <c r="CY220" s="94"/>
      <c r="CZ220" s="94"/>
      <c r="DA220" s="94"/>
      <c r="DB220" s="94"/>
      <c r="DC220" s="94"/>
      <c r="DD220" s="94"/>
      <c r="DE220" s="94"/>
      <c r="DF220" s="94"/>
      <c r="DG220" s="94"/>
      <c r="DH220" s="94"/>
      <c r="DI220" s="94"/>
      <c r="DJ220" s="94"/>
      <c r="DK220" s="94"/>
      <c r="DL220" s="94"/>
      <c r="DM220" s="94"/>
      <c r="DN220" s="94"/>
      <c r="DO220" s="94"/>
      <c r="DP220" s="94"/>
      <c r="DQ220" s="94"/>
      <c r="DR220" s="94"/>
      <c r="DS220" s="94"/>
      <c r="DT220" s="94"/>
      <c r="DU220" s="94"/>
      <c r="DV220" s="94"/>
      <c r="DW220" s="94"/>
      <c r="DX220" s="94"/>
      <c r="DY220" s="94"/>
      <c r="DZ220" s="94"/>
      <c r="EA220" s="94"/>
      <c r="EB220" s="94"/>
      <c r="EC220" s="94"/>
      <c r="ED220" s="94"/>
      <c r="EE220" s="94"/>
      <c r="EF220" s="94"/>
      <c r="EG220" s="94"/>
      <c r="EH220" s="94"/>
      <c r="EI220" s="94"/>
      <c r="EJ220" s="94"/>
      <c r="EK220" s="94"/>
      <c r="EL220" s="94"/>
      <c r="EM220" s="94"/>
      <c r="EN220" s="94"/>
      <c r="EO220" s="94"/>
      <c r="EP220" s="94"/>
      <c r="EQ220" s="94"/>
      <c r="ER220" s="94"/>
      <c r="ES220" s="94"/>
      <c r="ET220" s="94"/>
      <c r="EU220" s="94"/>
      <c r="EV220" s="94"/>
      <c r="EW220" s="94"/>
      <c r="EX220" s="94"/>
      <c r="EY220" s="94"/>
      <c r="EZ220" s="94"/>
      <c r="FA220" s="94"/>
      <c r="FB220" s="94"/>
      <c r="FC220" s="94"/>
      <c r="FD220" s="94"/>
      <c r="FE220" s="94"/>
      <c r="FF220" s="94"/>
      <c r="FG220" s="94"/>
      <c r="FH220" s="94"/>
      <c r="FI220" s="94"/>
      <c r="FJ220" s="94"/>
      <c r="FK220" s="94"/>
      <c r="FL220" s="94"/>
      <c r="FM220" s="94"/>
      <c r="FN220" s="94"/>
      <c r="FO220" s="94"/>
      <c r="FP220" s="94"/>
      <c r="FQ220" s="94"/>
      <c r="FR220" s="94"/>
      <c r="FS220" s="94"/>
      <c r="FT220" s="94"/>
      <c r="FU220" s="94"/>
      <c r="FV220" s="94"/>
      <c r="FW220" s="94"/>
      <c r="FX220" s="94"/>
      <c r="FY220" s="94"/>
      <c r="FZ220" s="94"/>
      <c r="GA220" s="94"/>
      <c r="GB220" s="94"/>
      <c r="GC220" s="94"/>
      <c r="GD220" s="94"/>
      <c r="GE220" s="94"/>
      <c r="GF220" s="94"/>
      <c r="GG220" s="94"/>
      <c r="GH220" s="94"/>
      <c r="GI220" s="94"/>
      <c r="GJ220" s="94"/>
      <c r="GK220" s="94"/>
      <c r="GL220" s="94"/>
      <c r="GM220" s="94"/>
      <c r="GN220" s="94"/>
      <c r="GO220" s="94"/>
      <c r="GP220" s="94"/>
      <c r="GQ220" s="94"/>
      <c r="GR220" s="94"/>
      <c r="GS220" s="94"/>
      <c r="GT220" s="94"/>
      <c r="GU220" s="94"/>
      <c r="GV220" s="94"/>
      <c r="GW220" s="94"/>
      <c r="GX220" s="94"/>
      <c r="GY220" s="94"/>
      <c r="GZ220" s="94"/>
      <c r="HA220" s="94"/>
      <c r="HB220" s="94"/>
      <c r="HC220" s="94"/>
      <c r="HD220" s="94"/>
      <c r="HE220" s="94"/>
      <c r="HF220" s="94"/>
      <c r="HG220" s="94"/>
      <c r="HH220" s="94"/>
      <c r="HI220" s="94"/>
      <c r="HJ220" s="94"/>
      <c r="HK220" s="94"/>
      <c r="HL220" s="94"/>
      <c r="HM220" s="94"/>
      <c r="HN220" s="94"/>
      <c r="HO220" s="94"/>
      <c r="HP220" s="94"/>
      <c r="HQ220" s="94"/>
      <c r="HR220" s="94"/>
      <c r="HS220" s="94"/>
      <c r="HT220" s="94"/>
      <c r="HU220" s="94"/>
      <c r="HV220" s="94"/>
      <c r="HW220" s="94"/>
      <c r="HX220" s="94"/>
      <c r="HY220" s="94"/>
      <c r="HZ220" s="94"/>
      <c r="IA220" s="94"/>
      <c r="IB220" s="94"/>
      <c r="IC220" s="94"/>
      <c r="ID220" s="94"/>
      <c r="IE220" s="94"/>
      <c r="IF220" s="94"/>
      <c r="IG220" s="94"/>
      <c r="IH220" s="94"/>
      <c r="II220" s="94"/>
      <c r="IJ220" s="94"/>
      <c r="IK220" s="94"/>
      <c r="IL220" s="94"/>
      <c r="IM220" s="94"/>
      <c r="IN220" s="94"/>
      <c r="IO220" s="94"/>
      <c r="IP220" s="94"/>
      <c r="IQ220" s="94"/>
      <c r="IR220" s="94"/>
      <c r="IS220" s="94"/>
      <c r="IT220" s="94"/>
      <c r="IU220" s="94"/>
      <c r="IV220" s="94"/>
    </row>
    <row r="221" spans="1:256" s="95" customFormat="1" ht="16.95" customHeight="1">
      <c r="A221" s="132"/>
      <c r="B221" s="132"/>
      <c r="C221" s="136"/>
      <c r="D221" s="85">
        <f t="shared" si="10"/>
        <v>0.27272727272727271</v>
      </c>
      <c r="E221" s="98"/>
      <c r="F221" s="99" t="s">
        <v>454</v>
      </c>
      <c r="G221" s="88" t="s">
        <v>66</v>
      </c>
      <c r="H221" s="100">
        <f t="shared" si="9"/>
        <v>4</v>
      </c>
      <c r="I221" s="101">
        <f>IF([2]项目总工作量!B$6="交易类",H221*1.5/22,IF([2]项目总工作量!B$6="数据分析类",H221*1.5*0.9/22,IF([2]项目总工作量!B$6="流程管理类",H221*1.5*0.8/22,IF([2]项目总工作量!B$6="渠道类",H221*1.5*0.7/22,FALSE))))</f>
        <v>0.27272727272727271</v>
      </c>
      <c r="J221" s="88" t="s">
        <v>44</v>
      </c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  <c r="AI221" s="94"/>
      <c r="AJ221" s="94"/>
      <c r="AK221" s="94"/>
      <c r="AL221" s="94"/>
      <c r="AM221" s="94"/>
      <c r="AN221" s="94"/>
      <c r="AO221" s="94"/>
      <c r="AP221" s="94"/>
      <c r="AQ221" s="94"/>
      <c r="AR221" s="94"/>
      <c r="AS221" s="94"/>
      <c r="AT221" s="94"/>
      <c r="AU221" s="94"/>
      <c r="AV221" s="94"/>
      <c r="AW221" s="94"/>
      <c r="AX221" s="94"/>
      <c r="AY221" s="94"/>
      <c r="AZ221" s="94"/>
      <c r="BA221" s="94"/>
      <c r="BB221" s="94"/>
      <c r="BC221" s="94"/>
      <c r="BD221" s="94"/>
      <c r="BE221" s="94"/>
      <c r="BF221" s="94"/>
      <c r="BG221" s="94"/>
      <c r="BH221" s="94"/>
      <c r="BI221" s="94"/>
      <c r="BJ221" s="94"/>
      <c r="BK221" s="94"/>
      <c r="BL221" s="94"/>
      <c r="BM221" s="94"/>
      <c r="BN221" s="94"/>
      <c r="BO221" s="94"/>
      <c r="BP221" s="94"/>
      <c r="BQ221" s="94"/>
      <c r="BR221" s="94"/>
      <c r="BS221" s="94"/>
      <c r="BT221" s="94"/>
      <c r="BU221" s="94"/>
      <c r="BV221" s="94"/>
      <c r="BW221" s="94"/>
      <c r="BX221" s="94"/>
      <c r="BY221" s="94"/>
      <c r="BZ221" s="94"/>
      <c r="CA221" s="94"/>
      <c r="CB221" s="94"/>
      <c r="CC221" s="94"/>
      <c r="CD221" s="94"/>
      <c r="CE221" s="94"/>
      <c r="CF221" s="94"/>
      <c r="CG221" s="94"/>
      <c r="CH221" s="94"/>
      <c r="CI221" s="94"/>
      <c r="CJ221" s="94"/>
      <c r="CK221" s="94"/>
      <c r="CL221" s="94"/>
      <c r="CM221" s="94"/>
      <c r="CN221" s="94"/>
      <c r="CO221" s="94"/>
      <c r="CP221" s="94"/>
      <c r="CQ221" s="94"/>
      <c r="CR221" s="94"/>
      <c r="CS221" s="94"/>
      <c r="CT221" s="94"/>
      <c r="CU221" s="94"/>
      <c r="CV221" s="94"/>
      <c r="CW221" s="94"/>
      <c r="CX221" s="94"/>
      <c r="CY221" s="94"/>
      <c r="CZ221" s="94"/>
      <c r="DA221" s="94"/>
      <c r="DB221" s="94"/>
      <c r="DC221" s="94"/>
      <c r="DD221" s="94"/>
      <c r="DE221" s="94"/>
      <c r="DF221" s="94"/>
      <c r="DG221" s="94"/>
      <c r="DH221" s="94"/>
      <c r="DI221" s="94"/>
      <c r="DJ221" s="94"/>
      <c r="DK221" s="94"/>
      <c r="DL221" s="94"/>
      <c r="DM221" s="94"/>
      <c r="DN221" s="94"/>
      <c r="DO221" s="94"/>
      <c r="DP221" s="94"/>
      <c r="DQ221" s="94"/>
      <c r="DR221" s="94"/>
      <c r="DS221" s="94"/>
      <c r="DT221" s="94"/>
      <c r="DU221" s="94"/>
      <c r="DV221" s="94"/>
      <c r="DW221" s="94"/>
      <c r="DX221" s="94"/>
      <c r="DY221" s="94"/>
      <c r="DZ221" s="94"/>
      <c r="EA221" s="94"/>
      <c r="EB221" s="94"/>
      <c r="EC221" s="94"/>
      <c r="ED221" s="94"/>
      <c r="EE221" s="94"/>
      <c r="EF221" s="94"/>
      <c r="EG221" s="94"/>
      <c r="EH221" s="94"/>
      <c r="EI221" s="94"/>
      <c r="EJ221" s="94"/>
      <c r="EK221" s="94"/>
      <c r="EL221" s="94"/>
      <c r="EM221" s="94"/>
      <c r="EN221" s="94"/>
      <c r="EO221" s="94"/>
      <c r="EP221" s="94"/>
      <c r="EQ221" s="94"/>
      <c r="ER221" s="94"/>
      <c r="ES221" s="94"/>
      <c r="ET221" s="94"/>
      <c r="EU221" s="94"/>
      <c r="EV221" s="94"/>
      <c r="EW221" s="94"/>
      <c r="EX221" s="94"/>
      <c r="EY221" s="94"/>
      <c r="EZ221" s="94"/>
      <c r="FA221" s="94"/>
      <c r="FB221" s="94"/>
      <c r="FC221" s="94"/>
      <c r="FD221" s="94"/>
      <c r="FE221" s="94"/>
      <c r="FF221" s="94"/>
      <c r="FG221" s="94"/>
      <c r="FH221" s="94"/>
      <c r="FI221" s="94"/>
      <c r="FJ221" s="94"/>
      <c r="FK221" s="94"/>
      <c r="FL221" s="94"/>
      <c r="FM221" s="94"/>
      <c r="FN221" s="94"/>
      <c r="FO221" s="94"/>
      <c r="FP221" s="94"/>
      <c r="FQ221" s="94"/>
      <c r="FR221" s="94"/>
      <c r="FS221" s="94"/>
      <c r="FT221" s="94"/>
      <c r="FU221" s="94"/>
      <c r="FV221" s="94"/>
      <c r="FW221" s="94"/>
      <c r="FX221" s="94"/>
      <c r="FY221" s="94"/>
      <c r="FZ221" s="94"/>
      <c r="GA221" s="94"/>
      <c r="GB221" s="94"/>
      <c r="GC221" s="94"/>
      <c r="GD221" s="94"/>
      <c r="GE221" s="94"/>
      <c r="GF221" s="94"/>
      <c r="GG221" s="94"/>
      <c r="GH221" s="94"/>
      <c r="GI221" s="94"/>
      <c r="GJ221" s="94"/>
      <c r="GK221" s="94"/>
      <c r="GL221" s="94"/>
      <c r="GM221" s="94"/>
      <c r="GN221" s="94"/>
      <c r="GO221" s="94"/>
      <c r="GP221" s="94"/>
      <c r="GQ221" s="94"/>
      <c r="GR221" s="94"/>
      <c r="GS221" s="94"/>
      <c r="GT221" s="94"/>
      <c r="GU221" s="94"/>
      <c r="GV221" s="94"/>
      <c r="GW221" s="94"/>
      <c r="GX221" s="94"/>
      <c r="GY221" s="94"/>
      <c r="GZ221" s="94"/>
      <c r="HA221" s="94"/>
      <c r="HB221" s="94"/>
      <c r="HC221" s="94"/>
      <c r="HD221" s="94"/>
      <c r="HE221" s="94"/>
      <c r="HF221" s="94"/>
      <c r="HG221" s="94"/>
      <c r="HH221" s="94"/>
      <c r="HI221" s="94"/>
      <c r="HJ221" s="94"/>
      <c r="HK221" s="94"/>
      <c r="HL221" s="94"/>
      <c r="HM221" s="94"/>
      <c r="HN221" s="94"/>
      <c r="HO221" s="94"/>
      <c r="HP221" s="94"/>
      <c r="HQ221" s="94"/>
      <c r="HR221" s="94"/>
      <c r="HS221" s="94"/>
      <c r="HT221" s="94"/>
      <c r="HU221" s="94"/>
      <c r="HV221" s="94"/>
      <c r="HW221" s="94"/>
      <c r="HX221" s="94"/>
      <c r="HY221" s="94"/>
      <c r="HZ221" s="94"/>
      <c r="IA221" s="94"/>
      <c r="IB221" s="94"/>
      <c r="IC221" s="94"/>
      <c r="ID221" s="94"/>
      <c r="IE221" s="94"/>
      <c r="IF221" s="94"/>
      <c r="IG221" s="94"/>
      <c r="IH221" s="94"/>
      <c r="II221" s="94"/>
      <c r="IJ221" s="94"/>
      <c r="IK221" s="94"/>
      <c r="IL221" s="94"/>
      <c r="IM221" s="94"/>
      <c r="IN221" s="94"/>
      <c r="IO221" s="94"/>
      <c r="IP221" s="94"/>
      <c r="IQ221" s="94"/>
      <c r="IR221" s="94"/>
      <c r="IS221" s="94"/>
      <c r="IT221" s="94"/>
      <c r="IU221" s="94"/>
      <c r="IV221" s="94"/>
    </row>
    <row r="222" spans="1:256" s="95" customFormat="1" ht="16.95" customHeight="1">
      <c r="A222" s="132"/>
      <c r="B222" s="132"/>
      <c r="C222" s="136"/>
      <c r="D222" s="85">
        <f t="shared" si="10"/>
        <v>0.27272727272727271</v>
      </c>
      <c r="E222" s="98"/>
      <c r="F222" s="99" t="s">
        <v>455</v>
      </c>
      <c r="G222" s="88" t="s">
        <v>66</v>
      </c>
      <c r="H222" s="100">
        <f t="shared" si="9"/>
        <v>4</v>
      </c>
      <c r="I222" s="101">
        <f>IF([2]项目总工作量!B$6="交易类",H222*1.5/22,IF([2]项目总工作量!B$6="数据分析类",H222*1.5*0.9/22,IF([2]项目总工作量!B$6="流程管理类",H222*1.5*0.8/22,IF([2]项目总工作量!B$6="渠道类",H222*1.5*0.7/22,FALSE))))</f>
        <v>0.27272727272727271</v>
      </c>
      <c r="J222" s="88" t="s">
        <v>44</v>
      </c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  <c r="AI222" s="94"/>
      <c r="AJ222" s="94"/>
      <c r="AK222" s="94"/>
      <c r="AL222" s="94"/>
      <c r="AM222" s="94"/>
      <c r="AN222" s="94"/>
      <c r="AO222" s="94"/>
      <c r="AP222" s="94"/>
      <c r="AQ222" s="94"/>
      <c r="AR222" s="94"/>
      <c r="AS222" s="94"/>
      <c r="AT222" s="94"/>
      <c r="AU222" s="94"/>
      <c r="AV222" s="94"/>
      <c r="AW222" s="94"/>
      <c r="AX222" s="94"/>
      <c r="AY222" s="94"/>
      <c r="AZ222" s="94"/>
      <c r="BA222" s="94"/>
      <c r="BB222" s="94"/>
      <c r="BC222" s="94"/>
      <c r="BD222" s="94"/>
      <c r="BE222" s="94"/>
      <c r="BF222" s="94"/>
      <c r="BG222" s="94"/>
      <c r="BH222" s="94"/>
      <c r="BI222" s="94"/>
      <c r="BJ222" s="94"/>
      <c r="BK222" s="94"/>
      <c r="BL222" s="94"/>
      <c r="BM222" s="94"/>
      <c r="BN222" s="94"/>
      <c r="BO222" s="94"/>
      <c r="BP222" s="94"/>
      <c r="BQ222" s="94"/>
      <c r="BR222" s="94"/>
      <c r="BS222" s="94"/>
      <c r="BT222" s="94"/>
      <c r="BU222" s="94"/>
      <c r="BV222" s="94"/>
      <c r="BW222" s="94"/>
      <c r="BX222" s="94"/>
      <c r="BY222" s="94"/>
      <c r="BZ222" s="94"/>
      <c r="CA222" s="94"/>
      <c r="CB222" s="94"/>
      <c r="CC222" s="94"/>
      <c r="CD222" s="94"/>
      <c r="CE222" s="94"/>
      <c r="CF222" s="94"/>
      <c r="CG222" s="94"/>
      <c r="CH222" s="94"/>
      <c r="CI222" s="94"/>
      <c r="CJ222" s="94"/>
      <c r="CK222" s="94"/>
      <c r="CL222" s="94"/>
      <c r="CM222" s="94"/>
      <c r="CN222" s="94"/>
      <c r="CO222" s="94"/>
      <c r="CP222" s="94"/>
      <c r="CQ222" s="94"/>
      <c r="CR222" s="94"/>
      <c r="CS222" s="94"/>
      <c r="CT222" s="94"/>
      <c r="CU222" s="94"/>
      <c r="CV222" s="94"/>
      <c r="CW222" s="94"/>
      <c r="CX222" s="94"/>
      <c r="CY222" s="94"/>
      <c r="CZ222" s="94"/>
      <c r="DA222" s="94"/>
      <c r="DB222" s="94"/>
      <c r="DC222" s="94"/>
      <c r="DD222" s="94"/>
      <c r="DE222" s="94"/>
      <c r="DF222" s="94"/>
      <c r="DG222" s="94"/>
      <c r="DH222" s="94"/>
      <c r="DI222" s="94"/>
      <c r="DJ222" s="94"/>
      <c r="DK222" s="94"/>
      <c r="DL222" s="94"/>
      <c r="DM222" s="94"/>
      <c r="DN222" s="94"/>
      <c r="DO222" s="94"/>
      <c r="DP222" s="94"/>
      <c r="DQ222" s="94"/>
      <c r="DR222" s="94"/>
      <c r="DS222" s="94"/>
      <c r="DT222" s="94"/>
      <c r="DU222" s="94"/>
      <c r="DV222" s="94"/>
      <c r="DW222" s="94"/>
      <c r="DX222" s="94"/>
      <c r="DY222" s="94"/>
      <c r="DZ222" s="94"/>
      <c r="EA222" s="94"/>
      <c r="EB222" s="94"/>
      <c r="EC222" s="94"/>
      <c r="ED222" s="94"/>
      <c r="EE222" s="94"/>
      <c r="EF222" s="94"/>
      <c r="EG222" s="94"/>
      <c r="EH222" s="94"/>
      <c r="EI222" s="94"/>
      <c r="EJ222" s="94"/>
      <c r="EK222" s="94"/>
      <c r="EL222" s="94"/>
      <c r="EM222" s="94"/>
      <c r="EN222" s="94"/>
      <c r="EO222" s="94"/>
      <c r="EP222" s="94"/>
      <c r="EQ222" s="94"/>
      <c r="ER222" s="94"/>
      <c r="ES222" s="94"/>
      <c r="ET222" s="94"/>
      <c r="EU222" s="94"/>
      <c r="EV222" s="94"/>
      <c r="EW222" s="94"/>
      <c r="EX222" s="94"/>
      <c r="EY222" s="94"/>
      <c r="EZ222" s="94"/>
      <c r="FA222" s="94"/>
      <c r="FB222" s="94"/>
      <c r="FC222" s="94"/>
      <c r="FD222" s="94"/>
      <c r="FE222" s="94"/>
      <c r="FF222" s="94"/>
      <c r="FG222" s="94"/>
      <c r="FH222" s="94"/>
      <c r="FI222" s="94"/>
      <c r="FJ222" s="94"/>
      <c r="FK222" s="94"/>
      <c r="FL222" s="94"/>
      <c r="FM222" s="94"/>
      <c r="FN222" s="94"/>
      <c r="FO222" s="94"/>
      <c r="FP222" s="94"/>
      <c r="FQ222" s="94"/>
      <c r="FR222" s="94"/>
      <c r="FS222" s="94"/>
      <c r="FT222" s="94"/>
      <c r="FU222" s="94"/>
      <c r="FV222" s="94"/>
      <c r="FW222" s="94"/>
      <c r="FX222" s="94"/>
      <c r="FY222" s="94"/>
      <c r="FZ222" s="94"/>
      <c r="GA222" s="94"/>
      <c r="GB222" s="94"/>
      <c r="GC222" s="94"/>
      <c r="GD222" s="94"/>
      <c r="GE222" s="94"/>
      <c r="GF222" s="94"/>
      <c r="GG222" s="94"/>
      <c r="GH222" s="94"/>
      <c r="GI222" s="94"/>
      <c r="GJ222" s="94"/>
      <c r="GK222" s="94"/>
      <c r="GL222" s="94"/>
      <c r="GM222" s="94"/>
      <c r="GN222" s="94"/>
      <c r="GO222" s="94"/>
      <c r="GP222" s="94"/>
      <c r="GQ222" s="94"/>
      <c r="GR222" s="94"/>
      <c r="GS222" s="94"/>
      <c r="GT222" s="94"/>
      <c r="GU222" s="94"/>
      <c r="GV222" s="94"/>
      <c r="GW222" s="94"/>
      <c r="GX222" s="94"/>
      <c r="GY222" s="94"/>
      <c r="GZ222" s="94"/>
      <c r="HA222" s="94"/>
      <c r="HB222" s="94"/>
      <c r="HC222" s="94"/>
      <c r="HD222" s="94"/>
      <c r="HE222" s="94"/>
      <c r="HF222" s="94"/>
      <c r="HG222" s="94"/>
      <c r="HH222" s="94"/>
      <c r="HI222" s="94"/>
      <c r="HJ222" s="94"/>
      <c r="HK222" s="94"/>
      <c r="HL222" s="94"/>
      <c r="HM222" s="94"/>
      <c r="HN222" s="94"/>
      <c r="HO222" s="94"/>
      <c r="HP222" s="94"/>
      <c r="HQ222" s="94"/>
      <c r="HR222" s="94"/>
      <c r="HS222" s="94"/>
      <c r="HT222" s="94"/>
      <c r="HU222" s="94"/>
      <c r="HV222" s="94"/>
      <c r="HW222" s="94"/>
      <c r="HX222" s="94"/>
      <c r="HY222" s="94"/>
      <c r="HZ222" s="94"/>
      <c r="IA222" s="94"/>
      <c r="IB222" s="94"/>
      <c r="IC222" s="94"/>
      <c r="ID222" s="94"/>
      <c r="IE222" s="94"/>
      <c r="IF222" s="94"/>
      <c r="IG222" s="94"/>
      <c r="IH222" s="94"/>
      <c r="II222" s="94"/>
      <c r="IJ222" s="94"/>
      <c r="IK222" s="94"/>
      <c r="IL222" s="94"/>
      <c r="IM222" s="94"/>
      <c r="IN222" s="94"/>
      <c r="IO222" s="94"/>
      <c r="IP222" s="94"/>
      <c r="IQ222" s="94"/>
      <c r="IR222" s="94"/>
      <c r="IS222" s="94"/>
      <c r="IT222" s="94"/>
      <c r="IU222" s="94"/>
      <c r="IV222" s="94"/>
    </row>
    <row r="223" spans="1:256" s="95" customFormat="1" ht="16.95" customHeight="1">
      <c r="A223" s="132"/>
      <c r="B223" s="134"/>
      <c r="C223" s="137" t="s">
        <v>456</v>
      </c>
      <c r="D223" s="85">
        <f t="shared" si="10"/>
        <v>0.34090909090909088</v>
      </c>
      <c r="E223" s="98"/>
      <c r="F223" s="103" t="s">
        <v>457</v>
      </c>
      <c r="G223" s="88" t="s">
        <v>67</v>
      </c>
      <c r="H223" s="100">
        <f t="shared" si="9"/>
        <v>5</v>
      </c>
      <c r="I223" s="101">
        <f>IF([2]项目总工作量!B$6="交易类",H223*1.5/22,IF([2]项目总工作量!B$6="数据分析类",H223*1.5*0.9/22,IF([2]项目总工作量!B$6="流程管理类",H223*1.5*0.8/22,IF([2]项目总工作量!B$6="渠道类",H223*1.5*0.7/22,FALSE))))</f>
        <v>0.34090909090909088</v>
      </c>
      <c r="J223" s="88" t="s">
        <v>44</v>
      </c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  <c r="AI223" s="94"/>
      <c r="AJ223" s="94"/>
      <c r="AK223" s="94"/>
      <c r="AL223" s="94"/>
      <c r="AM223" s="94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  <c r="AX223" s="94"/>
      <c r="AY223" s="94"/>
      <c r="AZ223" s="94"/>
      <c r="BA223" s="94"/>
      <c r="BB223" s="94"/>
      <c r="BC223" s="94"/>
      <c r="BD223" s="94"/>
      <c r="BE223" s="94"/>
      <c r="BF223" s="94"/>
      <c r="BG223" s="94"/>
      <c r="BH223" s="94"/>
      <c r="BI223" s="94"/>
      <c r="BJ223" s="94"/>
      <c r="BK223" s="94"/>
      <c r="BL223" s="94"/>
      <c r="BM223" s="94"/>
      <c r="BN223" s="94"/>
      <c r="BO223" s="94"/>
      <c r="BP223" s="94"/>
      <c r="BQ223" s="94"/>
      <c r="BR223" s="94"/>
      <c r="BS223" s="94"/>
      <c r="BT223" s="94"/>
      <c r="BU223" s="94"/>
      <c r="BV223" s="94"/>
      <c r="BW223" s="94"/>
      <c r="BX223" s="94"/>
      <c r="BY223" s="94"/>
      <c r="BZ223" s="94"/>
      <c r="CA223" s="94"/>
      <c r="CB223" s="94"/>
      <c r="CC223" s="94"/>
      <c r="CD223" s="94"/>
      <c r="CE223" s="94"/>
      <c r="CF223" s="94"/>
      <c r="CG223" s="94"/>
      <c r="CH223" s="94"/>
      <c r="CI223" s="94"/>
      <c r="CJ223" s="94"/>
      <c r="CK223" s="94"/>
      <c r="CL223" s="94"/>
      <c r="CM223" s="94"/>
      <c r="CN223" s="94"/>
      <c r="CO223" s="94"/>
      <c r="CP223" s="94"/>
      <c r="CQ223" s="94"/>
      <c r="CR223" s="94"/>
      <c r="CS223" s="94"/>
      <c r="CT223" s="94"/>
      <c r="CU223" s="94"/>
      <c r="CV223" s="94"/>
      <c r="CW223" s="94"/>
      <c r="CX223" s="94"/>
      <c r="CY223" s="94"/>
      <c r="CZ223" s="94"/>
      <c r="DA223" s="94"/>
      <c r="DB223" s="94"/>
      <c r="DC223" s="94"/>
      <c r="DD223" s="94"/>
      <c r="DE223" s="94"/>
      <c r="DF223" s="94"/>
      <c r="DG223" s="94"/>
      <c r="DH223" s="94"/>
      <c r="DI223" s="94"/>
      <c r="DJ223" s="94"/>
      <c r="DK223" s="94"/>
      <c r="DL223" s="94"/>
      <c r="DM223" s="94"/>
      <c r="DN223" s="94"/>
      <c r="DO223" s="94"/>
      <c r="DP223" s="94"/>
      <c r="DQ223" s="94"/>
      <c r="DR223" s="94"/>
      <c r="DS223" s="94"/>
      <c r="DT223" s="94"/>
      <c r="DU223" s="94"/>
      <c r="DV223" s="94"/>
      <c r="DW223" s="94"/>
      <c r="DX223" s="94"/>
      <c r="DY223" s="94"/>
      <c r="DZ223" s="94"/>
      <c r="EA223" s="94"/>
      <c r="EB223" s="94"/>
      <c r="EC223" s="94"/>
      <c r="ED223" s="94"/>
      <c r="EE223" s="94"/>
      <c r="EF223" s="94"/>
      <c r="EG223" s="94"/>
      <c r="EH223" s="94"/>
      <c r="EI223" s="94"/>
      <c r="EJ223" s="94"/>
      <c r="EK223" s="94"/>
      <c r="EL223" s="94"/>
      <c r="EM223" s="94"/>
      <c r="EN223" s="94"/>
      <c r="EO223" s="94"/>
      <c r="EP223" s="94"/>
      <c r="EQ223" s="94"/>
      <c r="ER223" s="94"/>
      <c r="ES223" s="94"/>
      <c r="ET223" s="94"/>
      <c r="EU223" s="94"/>
      <c r="EV223" s="94"/>
      <c r="EW223" s="94"/>
      <c r="EX223" s="94"/>
      <c r="EY223" s="94"/>
      <c r="EZ223" s="94"/>
      <c r="FA223" s="94"/>
      <c r="FB223" s="94"/>
      <c r="FC223" s="94"/>
      <c r="FD223" s="94"/>
      <c r="FE223" s="94"/>
      <c r="FF223" s="94"/>
      <c r="FG223" s="94"/>
      <c r="FH223" s="94"/>
      <c r="FI223" s="94"/>
      <c r="FJ223" s="94"/>
      <c r="FK223" s="94"/>
      <c r="FL223" s="94"/>
      <c r="FM223" s="94"/>
      <c r="FN223" s="94"/>
      <c r="FO223" s="94"/>
      <c r="FP223" s="94"/>
      <c r="FQ223" s="94"/>
      <c r="FR223" s="94"/>
      <c r="FS223" s="94"/>
      <c r="FT223" s="94"/>
      <c r="FU223" s="94"/>
      <c r="FV223" s="94"/>
      <c r="FW223" s="94"/>
      <c r="FX223" s="94"/>
      <c r="FY223" s="94"/>
      <c r="FZ223" s="94"/>
      <c r="GA223" s="94"/>
      <c r="GB223" s="94"/>
      <c r="GC223" s="94"/>
      <c r="GD223" s="94"/>
      <c r="GE223" s="94"/>
      <c r="GF223" s="94"/>
      <c r="GG223" s="94"/>
      <c r="GH223" s="94"/>
      <c r="GI223" s="94"/>
      <c r="GJ223" s="94"/>
      <c r="GK223" s="94"/>
      <c r="GL223" s="94"/>
      <c r="GM223" s="94"/>
      <c r="GN223" s="94"/>
      <c r="GO223" s="94"/>
      <c r="GP223" s="94"/>
      <c r="GQ223" s="94"/>
      <c r="GR223" s="94"/>
      <c r="GS223" s="94"/>
      <c r="GT223" s="94"/>
      <c r="GU223" s="94"/>
      <c r="GV223" s="94"/>
      <c r="GW223" s="94"/>
      <c r="GX223" s="94"/>
      <c r="GY223" s="94"/>
      <c r="GZ223" s="94"/>
      <c r="HA223" s="94"/>
      <c r="HB223" s="94"/>
      <c r="HC223" s="94"/>
      <c r="HD223" s="94"/>
      <c r="HE223" s="94"/>
      <c r="HF223" s="94"/>
      <c r="HG223" s="94"/>
      <c r="HH223" s="94"/>
      <c r="HI223" s="94"/>
      <c r="HJ223" s="94"/>
      <c r="HK223" s="94"/>
      <c r="HL223" s="94"/>
      <c r="HM223" s="94"/>
      <c r="HN223" s="94"/>
      <c r="HO223" s="94"/>
      <c r="HP223" s="94"/>
      <c r="HQ223" s="94"/>
      <c r="HR223" s="94"/>
      <c r="HS223" s="94"/>
      <c r="HT223" s="94"/>
      <c r="HU223" s="94"/>
      <c r="HV223" s="94"/>
      <c r="HW223" s="94"/>
      <c r="HX223" s="94"/>
      <c r="HY223" s="94"/>
      <c r="HZ223" s="94"/>
      <c r="IA223" s="94"/>
      <c r="IB223" s="94"/>
      <c r="IC223" s="94"/>
      <c r="ID223" s="94"/>
      <c r="IE223" s="94"/>
      <c r="IF223" s="94"/>
      <c r="IG223" s="94"/>
      <c r="IH223" s="94"/>
      <c r="II223" s="94"/>
      <c r="IJ223" s="94"/>
      <c r="IK223" s="94"/>
      <c r="IL223" s="94"/>
      <c r="IM223" s="94"/>
      <c r="IN223" s="94"/>
      <c r="IO223" s="94"/>
      <c r="IP223" s="94"/>
      <c r="IQ223" s="94"/>
      <c r="IR223" s="94"/>
      <c r="IS223" s="94"/>
      <c r="IT223" s="94"/>
      <c r="IU223" s="94"/>
      <c r="IV223" s="94"/>
    </row>
    <row r="224" spans="1:256" s="95" customFormat="1" ht="16.95" customHeight="1">
      <c r="A224" s="132"/>
      <c r="B224" s="134"/>
      <c r="C224" s="127"/>
      <c r="D224" s="85">
        <f t="shared" si="10"/>
        <v>0.34090909090909088</v>
      </c>
      <c r="E224" s="98"/>
      <c r="F224" s="103" t="s">
        <v>458</v>
      </c>
      <c r="G224" s="88" t="s">
        <v>67</v>
      </c>
      <c r="H224" s="100">
        <f t="shared" si="9"/>
        <v>5</v>
      </c>
      <c r="I224" s="101">
        <f>IF([2]项目总工作量!B$6="交易类",H224*1.5/22,IF([2]项目总工作量!B$6="数据分析类",H224*1.5*0.9/22,IF([2]项目总工作量!B$6="流程管理类",H224*1.5*0.8/22,IF([2]项目总工作量!B$6="渠道类",H224*1.5*0.7/22,FALSE))))</f>
        <v>0.34090909090909088</v>
      </c>
      <c r="J224" s="88" t="s">
        <v>44</v>
      </c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  <c r="AI224" s="94"/>
      <c r="AJ224" s="94"/>
      <c r="AK224" s="94"/>
      <c r="AL224" s="94"/>
      <c r="AM224" s="94"/>
      <c r="AN224" s="94"/>
      <c r="AO224" s="94"/>
      <c r="AP224" s="94"/>
      <c r="AQ224" s="94"/>
      <c r="AR224" s="94"/>
      <c r="AS224" s="94"/>
      <c r="AT224" s="94"/>
      <c r="AU224" s="94"/>
      <c r="AV224" s="94"/>
      <c r="AW224" s="94"/>
      <c r="AX224" s="94"/>
      <c r="AY224" s="94"/>
      <c r="AZ224" s="94"/>
      <c r="BA224" s="94"/>
      <c r="BB224" s="94"/>
      <c r="BC224" s="94"/>
      <c r="BD224" s="94"/>
      <c r="BE224" s="94"/>
      <c r="BF224" s="94"/>
      <c r="BG224" s="94"/>
      <c r="BH224" s="94"/>
      <c r="BI224" s="94"/>
      <c r="BJ224" s="94"/>
      <c r="BK224" s="94"/>
      <c r="BL224" s="94"/>
      <c r="BM224" s="94"/>
      <c r="BN224" s="94"/>
      <c r="BO224" s="94"/>
      <c r="BP224" s="94"/>
      <c r="BQ224" s="94"/>
      <c r="BR224" s="94"/>
      <c r="BS224" s="94"/>
      <c r="BT224" s="94"/>
      <c r="BU224" s="94"/>
      <c r="BV224" s="94"/>
      <c r="BW224" s="94"/>
      <c r="BX224" s="94"/>
      <c r="BY224" s="94"/>
      <c r="BZ224" s="94"/>
      <c r="CA224" s="94"/>
      <c r="CB224" s="94"/>
      <c r="CC224" s="94"/>
      <c r="CD224" s="94"/>
      <c r="CE224" s="94"/>
      <c r="CF224" s="94"/>
      <c r="CG224" s="94"/>
      <c r="CH224" s="94"/>
      <c r="CI224" s="94"/>
      <c r="CJ224" s="94"/>
      <c r="CK224" s="94"/>
      <c r="CL224" s="94"/>
      <c r="CM224" s="94"/>
      <c r="CN224" s="94"/>
      <c r="CO224" s="94"/>
      <c r="CP224" s="94"/>
      <c r="CQ224" s="94"/>
      <c r="CR224" s="94"/>
      <c r="CS224" s="94"/>
      <c r="CT224" s="94"/>
      <c r="CU224" s="94"/>
      <c r="CV224" s="94"/>
      <c r="CW224" s="94"/>
      <c r="CX224" s="94"/>
      <c r="CY224" s="94"/>
      <c r="CZ224" s="94"/>
      <c r="DA224" s="94"/>
      <c r="DB224" s="94"/>
      <c r="DC224" s="94"/>
      <c r="DD224" s="94"/>
      <c r="DE224" s="94"/>
      <c r="DF224" s="94"/>
      <c r="DG224" s="94"/>
      <c r="DH224" s="94"/>
      <c r="DI224" s="94"/>
      <c r="DJ224" s="94"/>
      <c r="DK224" s="94"/>
      <c r="DL224" s="94"/>
      <c r="DM224" s="94"/>
      <c r="DN224" s="94"/>
      <c r="DO224" s="94"/>
      <c r="DP224" s="94"/>
      <c r="DQ224" s="94"/>
      <c r="DR224" s="94"/>
      <c r="DS224" s="94"/>
      <c r="DT224" s="94"/>
      <c r="DU224" s="94"/>
      <c r="DV224" s="94"/>
      <c r="DW224" s="94"/>
      <c r="DX224" s="94"/>
      <c r="DY224" s="94"/>
      <c r="DZ224" s="94"/>
      <c r="EA224" s="94"/>
      <c r="EB224" s="94"/>
      <c r="EC224" s="94"/>
      <c r="ED224" s="94"/>
      <c r="EE224" s="94"/>
      <c r="EF224" s="94"/>
      <c r="EG224" s="94"/>
      <c r="EH224" s="94"/>
      <c r="EI224" s="94"/>
      <c r="EJ224" s="94"/>
      <c r="EK224" s="94"/>
      <c r="EL224" s="94"/>
      <c r="EM224" s="94"/>
      <c r="EN224" s="94"/>
      <c r="EO224" s="94"/>
      <c r="EP224" s="94"/>
      <c r="EQ224" s="94"/>
      <c r="ER224" s="94"/>
      <c r="ES224" s="94"/>
      <c r="ET224" s="94"/>
      <c r="EU224" s="94"/>
      <c r="EV224" s="94"/>
      <c r="EW224" s="94"/>
      <c r="EX224" s="94"/>
      <c r="EY224" s="94"/>
      <c r="EZ224" s="94"/>
      <c r="FA224" s="94"/>
      <c r="FB224" s="94"/>
      <c r="FC224" s="94"/>
      <c r="FD224" s="94"/>
      <c r="FE224" s="94"/>
      <c r="FF224" s="94"/>
      <c r="FG224" s="94"/>
      <c r="FH224" s="94"/>
      <c r="FI224" s="94"/>
      <c r="FJ224" s="94"/>
      <c r="FK224" s="94"/>
      <c r="FL224" s="94"/>
      <c r="FM224" s="94"/>
      <c r="FN224" s="94"/>
      <c r="FO224" s="94"/>
      <c r="FP224" s="94"/>
      <c r="FQ224" s="94"/>
      <c r="FR224" s="94"/>
      <c r="FS224" s="94"/>
      <c r="FT224" s="94"/>
      <c r="FU224" s="94"/>
      <c r="FV224" s="94"/>
      <c r="FW224" s="94"/>
      <c r="FX224" s="94"/>
      <c r="FY224" s="94"/>
      <c r="FZ224" s="94"/>
      <c r="GA224" s="94"/>
      <c r="GB224" s="94"/>
      <c r="GC224" s="94"/>
      <c r="GD224" s="94"/>
      <c r="GE224" s="94"/>
      <c r="GF224" s="94"/>
      <c r="GG224" s="94"/>
      <c r="GH224" s="94"/>
      <c r="GI224" s="94"/>
      <c r="GJ224" s="94"/>
      <c r="GK224" s="94"/>
      <c r="GL224" s="94"/>
      <c r="GM224" s="94"/>
      <c r="GN224" s="94"/>
      <c r="GO224" s="94"/>
      <c r="GP224" s="94"/>
      <c r="GQ224" s="94"/>
      <c r="GR224" s="94"/>
      <c r="GS224" s="94"/>
      <c r="GT224" s="94"/>
      <c r="GU224" s="94"/>
      <c r="GV224" s="94"/>
      <c r="GW224" s="94"/>
      <c r="GX224" s="94"/>
      <c r="GY224" s="94"/>
      <c r="GZ224" s="94"/>
      <c r="HA224" s="94"/>
      <c r="HB224" s="94"/>
      <c r="HC224" s="94"/>
      <c r="HD224" s="94"/>
      <c r="HE224" s="94"/>
      <c r="HF224" s="94"/>
      <c r="HG224" s="94"/>
      <c r="HH224" s="94"/>
      <c r="HI224" s="94"/>
      <c r="HJ224" s="94"/>
      <c r="HK224" s="94"/>
      <c r="HL224" s="94"/>
      <c r="HM224" s="94"/>
      <c r="HN224" s="94"/>
      <c r="HO224" s="94"/>
      <c r="HP224" s="94"/>
      <c r="HQ224" s="94"/>
      <c r="HR224" s="94"/>
      <c r="HS224" s="94"/>
      <c r="HT224" s="94"/>
      <c r="HU224" s="94"/>
      <c r="HV224" s="94"/>
      <c r="HW224" s="94"/>
      <c r="HX224" s="94"/>
      <c r="HY224" s="94"/>
      <c r="HZ224" s="94"/>
      <c r="IA224" s="94"/>
      <c r="IB224" s="94"/>
      <c r="IC224" s="94"/>
      <c r="ID224" s="94"/>
      <c r="IE224" s="94"/>
      <c r="IF224" s="94"/>
      <c r="IG224" s="94"/>
      <c r="IH224" s="94"/>
      <c r="II224" s="94"/>
      <c r="IJ224" s="94"/>
      <c r="IK224" s="94"/>
      <c r="IL224" s="94"/>
      <c r="IM224" s="94"/>
      <c r="IN224" s="94"/>
      <c r="IO224" s="94"/>
      <c r="IP224" s="94"/>
      <c r="IQ224" s="94"/>
      <c r="IR224" s="94"/>
      <c r="IS224" s="94"/>
      <c r="IT224" s="94"/>
      <c r="IU224" s="94"/>
      <c r="IV224" s="94"/>
    </row>
    <row r="225" spans="1:256" s="95" customFormat="1" ht="16.95" customHeight="1">
      <c r="A225" s="132"/>
      <c r="B225" s="134"/>
      <c r="C225" s="136"/>
      <c r="D225" s="85">
        <f t="shared" si="10"/>
        <v>0.34090909090909088</v>
      </c>
      <c r="E225" s="98"/>
      <c r="F225" s="103" t="s">
        <v>459</v>
      </c>
      <c r="G225" s="88" t="s">
        <v>67</v>
      </c>
      <c r="H225" s="100">
        <f t="shared" ref="H225:H233" si="11">IF(G225="EI",4,IF(G225="EO",5,IF(G225="EQ",4,0)))</f>
        <v>5</v>
      </c>
      <c r="I225" s="101">
        <f>IF([2]项目总工作量!B$6="交易类",H225*1.5/22,IF([2]项目总工作量!B$6="数据分析类",H225*1.5*0.9/22,IF([2]项目总工作量!B$6="流程管理类",H225*1.5*0.8/22,IF([2]项目总工作量!B$6="渠道类",H225*1.5*0.7/22,FALSE))))</f>
        <v>0.34090909090909088</v>
      </c>
      <c r="J225" s="88" t="s">
        <v>44</v>
      </c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  <c r="AI225" s="94"/>
      <c r="AJ225" s="94"/>
      <c r="AK225" s="94"/>
      <c r="AL225" s="94"/>
      <c r="AM225" s="94"/>
      <c r="AN225" s="94"/>
      <c r="AO225" s="94"/>
      <c r="AP225" s="94"/>
      <c r="AQ225" s="94"/>
      <c r="AR225" s="94"/>
      <c r="AS225" s="94"/>
      <c r="AT225" s="94"/>
      <c r="AU225" s="94"/>
      <c r="AV225" s="94"/>
      <c r="AW225" s="94"/>
      <c r="AX225" s="94"/>
      <c r="AY225" s="94"/>
      <c r="AZ225" s="94"/>
      <c r="BA225" s="94"/>
      <c r="BB225" s="94"/>
      <c r="BC225" s="94"/>
      <c r="BD225" s="94"/>
      <c r="BE225" s="94"/>
      <c r="BF225" s="94"/>
      <c r="BG225" s="94"/>
      <c r="BH225" s="94"/>
      <c r="BI225" s="94"/>
      <c r="BJ225" s="94"/>
      <c r="BK225" s="94"/>
      <c r="BL225" s="94"/>
      <c r="BM225" s="94"/>
      <c r="BN225" s="94"/>
      <c r="BO225" s="94"/>
      <c r="BP225" s="94"/>
      <c r="BQ225" s="94"/>
      <c r="BR225" s="94"/>
      <c r="BS225" s="94"/>
      <c r="BT225" s="94"/>
      <c r="BU225" s="94"/>
      <c r="BV225" s="94"/>
      <c r="BW225" s="94"/>
      <c r="BX225" s="94"/>
      <c r="BY225" s="94"/>
      <c r="BZ225" s="94"/>
      <c r="CA225" s="94"/>
      <c r="CB225" s="94"/>
      <c r="CC225" s="94"/>
      <c r="CD225" s="94"/>
      <c r="CE225" s="94"/>
      <c r="CF225" s="94"/>
      <c r="CG225" s="94"/>
      <c r="CH225" s="94"/>
      <c r="CI225" s="94"/>
      <c r="CJ225" s="94"/>
      <c r="CK225" s="94"/>
      <c r="CL225" s="94"/>
      <c r="CM225" s="94"/>
      <c r="CN225" s="94"/>
      <c r="CO225" s="94"/>
      <c r="CP225" s="94"/>
      <c r="CQ225" s="94"/>
      <c r="CR225" s="94"/>
      <c r="CS225" s="94"/>
      <c r="CT225" s="94"/>
      <c r="CU225" s="94"/>
      <c r="CV225" s="94"/>
      <c r="CW225" s="94"/>
      <c r="CX225" s="94"/>
      <c r="CY225" s="94"/>
      <c r="CZ225" s="94"/>
      <c r="DA225" s="94"/>
      <c r="DB225" s="94"/>
      <c r="DC225" s="94"/>
      <c r="DD225" s="94"/>
      <c r="DE225" s="94"/>
      <c r="DF225" s="94"/>
      <c r="DG225" s="94"/>
      <c r="DH225" s="94"/>
      <c r="DI225" s="94"/>
      <c r="DJ225" s="94"/>
      <c r="DK225" s="94"/>
      <c r="DL225" s="94"/>
      <c r="DM225" s="94"/>
      <c r="DN225" s="94"/>
      <c r="DO225" s="94"/>
      <c r="DP225" s="94"/>
      <c r="DQ225" s="94"/>
      <c r="DR225" s="94"/>
      <c r="DS225" s="94"/>
      <c r="DT225" s="94"/>
      <c r="DU225" s="94"/>
      <c r="DV225" s="94"/>
      <c r="DW225" s="94"/>
      <c r="DX225" s="94"/>
      <c r="DY225" s="94"/>
      <c r="DZ225" s="94"/>
      <c r="EA225" s="94"/>
      <c r="EB225" s="94"/>
      <c r="EC225" s="94"/>
      <c r="ED225" s="94"/>
      <c r="EE225" s="94"/>
      <c r="EF225" s="94"/>
      <c r="EG225" s="94"/>
      <c r="EH225" s="94"/>
      <c r="EI225" s="94"/>
      <c r="EJ225" s="94"/>
      <c r="EK225" s="94"/>
      <c r="EL225" s="94"/>
      <c r="EM225" s="94"/>
      <c r="EN225" s="94"/>
      <c r="EO225" s="94"/>
      <c r="EP225" s="94"/>
      <c r="EQ225" s="94"/>
      <c r="ER225" s="94"/>
      <c r="ES225" s="94"/>
      <c r="ET225" s="94"/>
      <c r="EU225" s="94"/>
      <c r="EV225" s="94"/>
      <c r="EW225" s="94"/>
      <c r="EX225" s="94"/>
      <c r="EY225" s="94"/>
      <c r="EZ225" s="94"/>
      <c r="FA225" s="94"/>
      <c r="FB225" s="94"/>
      <c r="FC225" s="94"/>
      <c r="FD225" s="94"/>
      <c r="FE225" s="94"/>
      <c r="FF225" s="94"/>
      <c r="FG225" s="94"/>
      <c r="FH225" s="94"/>
      <c r="FI225" s="94"/>
      <c r="FJ225" s="94"/>
      <c r="FK225" s="94"/>
      <c r="FL225" s="94"/>
      <c r="FM225" s="94"/>
      <c r="FN225" s="94"/>
      <c r="FO225" s="94"/>
      <c r="FP225" s="94"/>
      <c r="FQ225" s="94"/>
      <c r="FR225" s="94"/>
      <c r="FS225" s="94"/>
      <c r="FT225" s="94"/>
      <c r="FU225" s="94"/>
      <c r="FV225" s="94"/>
      <c r="FW225" s="94"/>
      <c r="FX225" s="94"/>
      <c r="FY225" s="94"/>
      <c r="FZ225" s="94"/>
      <c r="GA225" s="94"/>
      <c r="GB225" s="94"/>
      <c r="GC225" s="94"/>
      <c r="GD225" s="94"/>
      <c r="GE225" s="94"/>
      <c r="GF225" s="94"/>
      <c r="GG225" s="94"/>
      <c r="GH225" s="94"/>
      <c r="GI225" s="94"/>
      <c r="GJ225" s="94"/>
      <c r="GK225" s="94"/>
      <c r="GL225" s="94"/>
      <c r="GM225" s="94"/>
      <c r="GN225" s="94"/>
      <c r="GO225" s="94"/>
      <c r="GP225" s="94"/>
      <c r="GQ225" s="94"/>
      <c r="GR225" s="94"/>
      <c r="GS225" s="94"/>
      <c r="GT225" s="94"/>
      <c r="GU225" s="94"/>
      <c r="GV225" s="94"/>
      <c r="GW225" s="94"/>
      <c r="GX225" s="94"/>
      <c r="GY225" s="94"/>
      <c r="GZ225" s="94"/>
      <c r="HA225" s="94"/>
      <c r="HB225" s="94"/>
      <c r="HC225" s="94"/>
      <c r="HD225" s="94"/>
      <c r="HE225" s="94"/>
      <c r="HF225" s="94"/>
      <c r="HG225" s="94"/>
      <c r="HH225" s="94"/>
      <c r="HI225" s="94"/>
      <c r="HJ225" s="94"/>
      <c r="HK225" s="94"/>
      <c r="HL225" s="94"/>
      <c r="HM225" s="94"/>
      <c r="HN225" s="94"/>
      <c r="HO225" s="94"/>
      <c r="HP225" s="94"/>
      <c r="HQ225" s="94"/>
      <c r="HR225" s="94"/>
      <c r="HS225" s="94"/>
      <c r="HT225" s="94"/>
      <c r="HU225" s="94"/>
      <c r="HV225" s="94"/>
      <c r="HW225" s="94"/>
      <c r="HX225" s="94"/>
      <c r="HY225" s="94"/>
      <c r="HZ225" s="94"/>
      <c r="IA225" s="94"/>
      <c r="IB225" s="94"/>
      <c r="IC225" s="94"/>
      <c r="ID225" s="94"/>
      <c r="IE225" s="94"/>
      <c r="IF225" s="94"/>
      <c r="IG225" s="94"/>
      <c r="IH225" s="94"/>
      <c r="II225" s="94"/>
      <c r="IJ225" s="94"/>
      <c r="IK225" s="94"/>
      <c r="IL225" s="94"/>
      <c r="IM225" s="94"/>
      <c r="IN225" s="94"/>
      <c r="IO225" s="94"/>
      <c r="IP225" s="94"/>
      <c r="IQ225" s="94"/>
      <c r="IR225" s="94"/>
      <c r="IS225" s="94"/>
      <c r="IT225" s="94"/>
      <c r="IU225" s="94"/>
      <c r="IV225" s="94"/>
    </row>
    <row r="226" spans="1:256" s="95" customFormat="1" ht="16.95" customHeight="1">
      <c r="A226" s="132"/>
      <c r="B226" s="134"/>
      <c r="C226" s="127"/>
      <c r="D226" s="85">
        <f t="shared" si="10"/>
        <v>0.34090909090909088</v>
      </c>
      <c r="E226" s="98"/>
      <c r="F226" s="103" t="s">
        <v>460</v>
      </c>
      <c r="G226" s="88" t="s">
        <v>67</v>
      </c>
      <c r="H226" s="100">
        <f t="shared" si="11"/>
        <v>5</v>
      </c>
      <c r="I226" s="101">
        <f>IF([2]项目总工作量!B$6="交易类",H226*1.5/22,IF([2]项目总工作量!B$6="数据分析类",H226*1.5*0.9/22,IF([2]项目总工作量!B$6="流程管理类",H226*1.5*0.8/22,IF([2]项目总工作量!B$6="渠道类",H226*1.5*0.7/22,FALSE))))</f>
        <v>0.34090909090909088</v>
      </c>
      <c r="J226" s="88" t="s">
        <v>44</v>
      </c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  <c r="AI226" s="94"/>
      <c r="AJ226" s="94"/>
      <c r="AK226" s="94"/>
      <c r="AL226" s="94"/>
      <c r="AM226" s="94"/>
      <c r="AN226" s="94"/>
      <c r="AO226" s="94"/>
      <c r="AP226" s="94"/>
      <c r="AQ226" s="94"/>
      <c r="AR226" s="94"/>
      <c r="AS226" s="94"/>
      <c r="AT226" s="94"/>
      <c r="AU226" s="94"/>
      <c r="AV226" s="94"/>
      <c r="AW226" s="94"/>
      <c r="AX226" s="94"/>
      <c r="AY226" s="94"/>
      <c r="AZ226" s="94"/>
      <c r="BA226" s="94"/>
      <c r="BB226" s="94"/>
      <c r="BC226" s="94"/>
      <c r="BD226" s="94"/>
      <c r="BE226" s="94"/>
      <c r="BF226" s="94"/>
      <c r="BG226" s="94"/>
      <c r="BH226" s="94"/>
      <c r="BI226" s="94"/>
      <c r="BJ226" s="94"/>
      <c r="BK226" s="94"/>
      <c r="BL226" s="94"/>
      <c r="BM226" s="94"/>
      <c r="BN226" s="94"/>
      <c r="BO226" s="94"/>
      <c r="BP226" s="94"/>
      <c r="BQ226" s="94"/>
      <c r="BR226" s="94"/>
      <c r="BS226" s="94"/>
      <c r="BT226" s="94"/>
      <c r="BU226" s="94"/>
      <c r="BV226" s="94"/>
      <c r="BW226" s="94"/>
      <c r="BX226" s="94"/>
      <c r="BY226" s="94"/>
      <c r="BZ226" s="94"/>
      <c r="CA226" s="94"/>
      <c r="CB226" s="94"/>
      <c r="CC226" s="94"/>
      <c r="CD226" s="94"/>
      <c r="CE226" s="94"/>
      <c r="CF226" s="94"/>
      <c r="CG226" s="94"/>
      <c r="CH226" s="94"/>
      <c r="CI226" s="94"/>
      <c r="CJ226" s="94"/>
      <c r="CK226" s="94"/>
      <c r="CL226" s="94"/>
      <c r="CM226" s="94"/>
      <c r="CN226" s="94"/>
      <c r="CO226" s="94"/>
      <c r="CP226" s="94"/>
      <c r="CQ226" s="94"/>
      <c r="CR226" s="94"/>
      <c r="CS226" s="94"/>
      <c r="CT226" s="94"/>
      <c r="CU226" s="94"/>
      <c r="CV226" s="94"/>
      <c r="CW226" s="94"/>
      <c r="CX226" s="94"/>
      <c r="CY226" s="94"/>
      <c r="CZ226" s="94"/>
      <c r="DA226" s="94"/>
      <c r="DB226" s="94"/>
      <c r="DC226" s="94"/>
      <c r="DD226" s="94"/>
      <c r="DE226" s="94"/>
      <c r="DF226" s="94"/>
      <c r="DG226" s="94"/>
      <c r="DH226" s="94"/>
      <c r="DI226" s="94"/>
      <c r="DJ226" s="94"/>
      <c r="DK226" s="94"/>
      <c r="DL226" s="94"/>
      <c r="DM226" s="94"/>
      <c r="DN226" s="94"/>
      <c r="DO226" s="94"/>
      <c r="DP226" s="94"/>
      <c r="DQ226" s="94"/>
      <c r="DR226" s="94"/>
      <c r="DS226" s="94"/>
      <c r="DT226" s="94"/>
      <c r="DU226" s="94"/>
      <c r="DV226" s="94"/>
      <c r="DW226" s="94"/>
      <c r="DX226" s="94"/>
      <c r="DY226" s="94"/>
      <c r="DZ226" s="94"/>
      <c r="EA226" s="94"/>
      <c r="EB226" s="94"/>
      <c r="EC226" s="94"/>
      <c r="ED226" s="94"/>
      <c r="EE226" s="94"/>
      <c r="EF226" s="94"/>
      <c r="EG226" s="94"/>
      <c r="EH226" s="94"/>
      <c r="EI226" s="94"/>
      <c r="EJ226" s="94"/>
      <c r="EK226" s="94"/>
      <c r="EL226" s="94"/>
      <c r="EM226" s="94"/>
      <c r="EN226" s="94"/>
      <c r="EO226" s="94"/>
      <c r="EP226" s="94"/>
      <c r="EQ226" s="94"/>
      <c r="ER226" s="94"/>
      <c r="ES226" s="94"/>
      <c r="ET226" s="94"/>
      <c r="EU226" s="94"/>
      <c r="EV226" s="94"/>
      <c r="EW226" s="94"/>
      <c r="EX226" s="94"/>
      <c r="EY226" s="94"/>
      <c r="EZ226" s="94"/>
      <c r="FA226" s="94"/>
      <c r="FB226" s="94"/>
      <c r="FC226" s="94"/>
      <c r="FD226" s="94"/>
      <c r="FE226" s="94"/>
      <c r="FF226" s="94"/>
      <c r="FG226" s="94"/>
      <c r="FH226" s="94"/>
      <c r="FI226" s="94"/>
      <c r="FJ226" s="94"/>
      <c r="FK226" s="94"/>
      <c r="FL226" s="94"/>
      <c r="FM226" s="94"/>
      <c r="FN226" s="94"/>
      <c r="FO226" s="94"/>
      <c r="FP226" s="94"/>
      <c r="FQ226" s="94"/>
      <c r="FR226" s="94"/>
      <c r="FS226" s="94"/>
      <c r="FT226" s="94"/>
      <c r="FU226" s="94"/>
      <c r="FV226" s="94"/>
      <c r="FW226" s="94"/>
      <c r="FX226" s="94"/>
      <c r="FY226" s="94"/>
      <c r="FZ226" s="94"/>
      <c r="GA226" s="94"/>
      <c r="GB226" s="94"/>
      <c r="GC226" s="94"/>
      <c r="GD226" s="94"/>
      <c r="GE226" s="94"/>
      <c r="GF226" s="94"/>
      <c r="GG226" s="94"/>
      <c r="GH226" s="94"/>
      <c r="GI226" s="94"/>
      <c r="GJ226" s="94"/>
      <c r="GK226" s="94"/>
      <c r="GL226" s="94"/>
      <c r="GM226" s="94"/>
      <c r="GN226" s="94"/>
      <c r="GO226" s="94"/>
      <c r="GP226" s="94"/>
      <c r="GQ226" s="94"/>
      <c r="GR226" s="94"/>
      <c r="GS226" s="94"/>
      <c r="GT226" s="94"/>
      <c r="GU226" s="94"/>
      <c r="GV226" s="94"/>
      <c r="GW226" s="94"/>
      <c r="GX226" s="94"/>
      <c r="GY226" s="94"/>
      <c r="GZ226" s="94"/>
      <c r="HA226" s="94"/>
      <c r="HB226" s="94"/>
      <c r="HC226" s="94"/>
      <c r="HD226" s="94"/>
      <c r="HE226" s="94"/>
      <c r="HF226" s="94"/>
      <c r="HG226" s="94"/>
      <c r="HH226" s="94"/>
      <c r="HI226" s="94"/>
      <c r="HJ226" s="94"/>
      <c r="HK226" s="94"/>
      <c r="HL226" s="94"/>
      <c r="HM226" s="94"/>
      <c r="HN226" s="94"/>
      <c r="HO226" s="94"/>
      <c r="HP226" s="94"/>
      <c r="HQ226" s="94"/>
      <c r="HR226" s="94"/>
      <c r="HS226" s="94"/>
      <c r="HT226" s="94"/>
      <c r="HU226" s="94"/>
      <c r="HV226" s="94"/>
      <c r="HW226" s="94"/>
      <c r="HX226" s="94"/>
      <c r="HY226" s="94"/>
      <c r="HZ226" s="94"/>
      <c r="IA226" s="94"/>
      <c r="IB226" s="94"/>
      <c r="IC226" s="94"/>
      <c r="ID226" s="94"/>
      <c r="IE226" s="94"/>
      <c r="IF226" s="94"/>
      <c r="IG226" s="94"/>
      <c r="IH226" s="94"/>
      <c r="II226" s="94"/>
      <c r="IJ226" s="94"/>
      <c r="IK226" s="94"/>
      <c r="IL226" s="94"/>
      <c r="IM226" s="94"/>
      <c r="IN226" s="94"/>
      <c r="IO226" s="94"/>
      <c r="IP226" s="94"/>
      <c r="IQ226" s="94"/>
      <c r="IR226" s="94"/>
      <c r="IS226" s="94"/>
      <c r="IT226" s="94"/>
      <c r="IU226" s="94"/>
      <c r="IV226" s="94"/>
    </row>
    <row r="227" spans="1:256" s="95" customFormat="1" ht="16.95" customHeight="1">
      <c r="A227" s="132"/>
      <c r="B227" s="134"/>
      <c r="C227" s="127"/>
      <c r="D227" s="85">
        <f t="shared" si="10"/>
        <v>0.34090909090909088</v>
      </c>
      <c r="E227" s="98"/>
      <c r="F227" s="103" t="s">
        <v>461</v>
      </c>
      <c r="G227" s="88" t="s">
        <v>67</v>
      </c>
      <c r="H227" s="100">
        <f t="shared" si="11"/>
        <v>5</v>
      </c>
      <c r="I227" s="101">
        <f>IF([2]项目总工作量!B$6="交易类",H227*1.5/22,IF([2]项目总工作量!B$6="数据分析类",H227*1.5*0.9/22,IF([2]项目总工作量!B$6="流程管理类",H227*1.5*0.8/22,IF([2]项目总工作量!B$6="渠道类",H227*1.5*0.7/22,FALSE))))</f>
        <v>0.34090909090909088</v>
      </c>
      <c r="J227" s="88" t="s">
        <v>44</v>
      </c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  <c r="AI227" s="94"/>
      <c r="AJ227" s="94"/>
      <c r="AK227" s="94"/>
      <c r="AL227" s="94"/>
      <c r="AM227" s="94"/>
      <c r="AN227" s="94"/>
      <c r="AO227" s="94"/>
      <c r="AP227" s="94"/>
      <c r="AQ227" s="94"/>
      <c r="AR227" s="94"/>
      <c r="AS227" s="94"/>
      <c r="AT227" s="94"/>
      <c r="AU227" s="94"/>
      <c r="AV227" s="94"/>
      <c r="AW227" s="94"/>
      <c r="AX227" s="94"/>
      <c r="AY227" s="94"/>
      <c r="AZ227" s="94"/>
      <c r="BA227" s="94"/>
      <c r="BB227" s="94"/>
      <c r="BC227" s="94"/>
      <c r="BD227" s="94"/>
      <c r="BE227" s="94"/>
      <c r="BF227" s="94"/>
      <c r="BG227" s="94"/>
      <c r="BH227" s="94"/>
      <c r="BI227" s="94"/>
      <c r="BJ227" s="94"/>
      <c r="BK227" s="94"/>
      <c r="BL227" s="94"/>
      <c r="BM227" s="94"/>
      <c r="BN227" s="94"/>
      <c r="BO227" s="94"/>
      <c r="BP227" s="94"/>
      <c r="BQ227" s="94"/>
      <c r="BR227" s="94"/>
      <c r="BS227" s="94"/>
      <c r="BT227" s="94"/>
      <c r="BU227" s="94"/>
      <c r="BV227" s="94"/>
      <c r="BW227" s="94"/>
      <c r="BX227" s="94"/>
      <c r="BY227" s="94"/>
      <c r="BZ227" s="94"/>
      <c r="CA227" s="94"/>
      <c r="CB227" s="94"/>
      <c r="CC227" s="94"/>
      <c r="CD227" s="94"/>
      <c r="CE227" s="94"/>
      <c r="CF227" s="94"/>
      <c r="CG227" s="94"/>
      <c r="CH227" s="94"/>
      <c r="CI227" s="94"/>
      <c r="CJ227" s="94"/>
      <c r="CK227" s="94"/>
      <c r="CL227" s="94"/>
      <c r="CM227" s="94"/>
      <c r="CN227" s="94"/>
      <c r="CO227" s="94"/>
      <c r="CP227" s="94"/>
      <c r="CQ227" s="94"/>
      <c r="CR227" s="94"/>
      <c r="CS227" s="94"/>
      <c r="CT227" s="94"/>
      <c r="CU227" s="94"/>
      <c r="CV227" s="94"/>
      <c r="CW227" s="94"/>
      <c r="CX227" s="94"/>
      <c r="CY227" s="94"/>
      <c r="CZ227" s="94"/>
      <c r="DA227" s="94"/>
      <c r="DB227" s="94"/>
      <c r="DC227" s="94"/>
      <c r="DD227" s="94"/>
      <c r="DE227" s="94"/>
      <c r="DF227" s="94"/>
      <c r="DG227" s="94"/>
      <c r="DH227" s="94"/>
      <c r="DI227" s="94"/>
      <c r="DJ227" s="94"/>
      <c r="DK227" s="94"/>
      <c r="DL227" s="94"/>
      <c r="DM227" s="94"/>
      <c r="DN227" s="94"/>
      <c r="DO227" s="94"/>
      <c r="DP227" s="94"/>
      <c r="DQ227" s="94"/>
      <c r="DR227" s="94"/>
      <c r="DS227" s="94"/>
      <c r="DT227" s="94"/>
      <c r="DU227" s="94"/>
      <c r="DV227" s="94"/>
      <c r="DW227" s="94"/>
      <c r="DX227" s="94"/>
      <c r="DY227" s="94"/>
      <c r="DZ227" s="94"/>
      <c r="EA227" s="94"/>
      <c r="EB227" s="94"/>
      <c r="EC227" s="94"/>
      <c r="ED227" s="94"/>
      <c r="EE227" s="94"/>
      <c r="EF227" s="94"/>
      <c r="EG227" s="94"/>
      <c r="EH227" s="94"/>
      <c r="EI227" s="94"/>
      <c r="EJ227" s="94"/>
      <c r="EK227" s="94"/>
      <c r="EL227" s="94"/>
      <c r="EM227" s="94"/>
      <c r="EN227" s="94"/>
      <c r="EO227" s="94"/>
      <c r="EP227" s="94"/>
      <c r="EQ227" s="94"/>
      <c r="ER227" s="94"/>
      <c r="ES227" s="94"/>
      <c r="ET227" s="94"/>
      <c r="EU227" s="94"/>
      <c r="EV227" s="94"/>
      <c r="EW227" s="94"/>
      <c r="EX227" s="94"/>
      <c r="EY227" s="94"/>
      <c r="EZ227" s="94"/>
      <c r="FA227" s="94"/>
      <c r="FB227" s="94"/>
      <c r="FC227" s="94"/>
      <c r="FD227" s="94"/>
      <c r="FE227" s="94"/>
      <c r="FF227" s="94"/>
      <c r="FG227" s="94"/>
      <c r="FH227" s="94"/>
      <c r="FI227" s="94"/>
      <c r="FJ227" s="94"/>
      <c r="FK227" s="94"/>
      <c r="FL227" s="94"/>
      <c r="FM227" s="94"/>
      <c r="FN227" s="94"/>
      <c r="FO227" s="94"/>
      <c r="FP227" s="94"/>
      <c r="FQ227" s="94"/>
      <c r="FR227" s="94"/>
      <c r="FS227" s="94"/>
      <c r="FT227" s="94"/>
      <c r="FU227" s="94"/>
      <c r="FV227" s="94"/>
      <c r="FW227" s="94"/>
      <c r="FX227" s="94"/>
      <c r="FY227" s="94"/>
      <c r="FZ227" s="94"/>
      <c r="GA227" s="94"/>
      <c r="GB227" s="94"/>
      <c r="GC227" s="94"/>
      <c r="GD227" s="94"/>
      <c r="GE227" s="94"/>
      <c r="GF227" s="94"/>
      <c r="GG227" s="94"/>
      <c r="GH227" s="94"/>
      <c r="GI227" s="94"/>
      <c r="GJ227" s="94"/>
      <c r="GK227" s="94"/>
      <c r="GL227" s="94"/>
      <c r="GM227" s="94"/>
      <c r="GN227" s="94"/>
      <c r="GO227" s="94"/>
      <c r="GP227" s="94"/>
      <c r="GQ227" s="94"/>
      <c r="GR227" s="94"/>
      <c r="GS227" s="94"/>
      <c r="GT227" s="94"/>
      <c r="GU227" s="94"/>
      <c r="GV227" s="94"/>
      <c r="GW227" s="94"/>
      <c r="GX227" s="94"/>
      <c r="GY227" s="94"/>
      <c r="GZ227" s="94"/>
      <c r="HA227" s="94"/>
      <c r="HB227" s="94"/>
      <c r="HC227" s="94"/>
      <c r="HD227" s="94"/>
      <c r="HE227" s="94"/>
      <c r="HF227" s="94"/>
      <c r="HG227" s="94"/>
      <c r="HH227" s="94"/>
      <c r="HI227" s="94"/>
      <c r="HJ227" s="94"/>
      <c r="HK227" s="94"/>
      <c r="HL227" s="94"/>
      <c r="HM227" s="94"/>
      <c r="HN227" s="94"/>
      <c r="HO227" s="94"/>
      <c r="HP227" s="94"/>
      <c r="HQ227" s="94"/>
      <c r="HR227" s="94"/>
      <c r="HS227" s="94"/>
      <c r="HT227" s="94"/>
      <c r="HU227" s="94"/>
      <c r="HV227" s="94"/>
      <c r="HW227" s="94"/>
      <c r="HX227" s="94"/>
      <c r="HY227" s="94"/>
      <c r="HZ227" s="94"/>
      <c r="IA227" s="94"/>
      <c r="IB227" s="94"/>
      <c r="IC227" s="94"/>
      <c r="ID227" s="94"/>
      <c r="IE227" s="94"/>
      <c r="IF227" s="94"/>
      <c r="IG227" s="94"/>
      <c r="IH227" s="94"/>
      <c r="II227" s="94"/>
      <c r="IJ227" s="94"/>
      <c r="IK227" s="94"/>
      <c r="IL227" s="94"/>
      <c r="IM227" s="94"/>
      <c r="IN227" s="94"/>
      <c r="IO227" s="94"/>
      <c r="IP227" s="94"/>
      <c r="IQ227" s="94"/>
      <c r="IR227" s="94"/>
      <c r="IS227" s="94"/>
      <c r="IT227" s="94"/>
      <c r="IU227" s="94"/>
      <c r="IV227" s="94"/>
    </row>
    <row r="228" spans="1:256" s="95" customFormat="1" ht="16.95" customHeight="1">
      <c r="A228" s="132"/>
      <c r="B228" s="134"/>
      <c r="C228" s="127"/>
      <c r="D228" s="85">
        <f t="shared" si="10"/>
        <v>0.34090909090909088</v>
      </c>
      <c r="E228" s="98"/>
      <c r="F228" s="103" t="s">
        <v>462</v>
      </c>
      <c r="G228" s="88" t="s">
        <v>67</v>
      </c>
      <c r="H228" s="100">
        <f t="shared" si="11"/>
        <v>5</v>
      </c>
      <c r="I228" s="101">
        <f>IF([2]项目总工作量!B$6="交易类",H228*1.5/22,IF([2]项目总工作量!B$6="数据分析类",H228*1.5*0.9/22,IF([2]项目总工作量!B$6="流程管理类",H228*1.5*0.8/22,IF([2]项目总工作量!B$6="渠道类",H228*1.5*0.7/22,FALSE))))</f>
        <v>0.34090909090909088</v>
      </c>
      <c r="J228" s="88" t="s">
        <v>44</v>
      </c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  <c r="AI228" s="94"/>
      <c r="AJ228" s="94"/>
      <c r="AK228" s="94"/>
      <c r="AL228" s="94"/>
      <c r="AM228" s="94"/>
      <c r="AN228" s="94"/>
      <c r="AO228" s="94"/>
      <c r="AP228" s="94"/>
      <c r="AQ228" s="94"/>
      <c r="AR228" s="94"/>
      <c r="AS228" s="94"/>
      <c r="AT228" s="94"/>
      <c r="AU228" s="94"/>
      <c r="AV228" s="94"/>
      <c r="AW228" s="94"/>
      <c r="AX228" s="94"/>
      <c r="AY228" s="94"/>
      <c r="AZ228" s="94"/>
      <c r="BA228" s="94"/>
      <c r="BB228" s="94"/>
      <c r="BC228" s="94"/>
      <c r="BD228" s="94"/>
      <c r="BE228" s="94"/>
      <c r="BF228" s="94"/>
      <c r="BG228" s="94"/>
      <c r="BH228" s="94"/>
      <c r="BI228" s="94"/>
      <c r="BJ228" s="94"/>
      <c r="BK228" s="94"/>
      <c r="BL228" s="94"/>
      <c r="BM228" s="94"/>
      <c r="BN228" s="94"/>
      <c r="BO228" s="94"/>
      <c r="BP228" s="94"/>
      <c r="BQ228" s="94"/>
      <c r="BR228" s="94"/>
      <c r="BS228" s="94"/>
      <c r="BT228" s="94"/>
      <c r="BU228" s="94"/>
      <c r="BV228" s="94"/>
      <c r="BW228" s="94"/>
      <c r="BX228" s="94"/>
      <c r="BY228" s="94"/>
      <c r="BZ228" s="94"/>
      <c r="CA228" s="94"/>
      <c r="CB228" s="94"/>
      <c r="CC228" s="94"/>
      <c r="CD228" s="94"/>
      <c r="CE228" s="94"/>
      <c r="CF228" s="94"/>
      <c r="CG228" s="94"/>
      <c r="CH228" s="94"/>
      <c r="CI228" s="94"/>
      <c r="CJ228" s="94"/>
      <c r="CK228" s="94"/>
      <c r="CL228" s="94"/>
      <c r="CM228" s="94"/>
      <c r="CN228" s="94"/>
      <c r="CO228" s="94"/>
      <c r="CP228" s="94"/>
      <c r="CQ228" s="94"/>
      <c r="CR228" s="94"/>
      <c r="CS228" s="94"/>
      <c r="CT228" s="94"/>
      <c r="CU228" s="94"/>
      <c r="CV228" s="94"/>
      <c r="CW228" s="94"/>
      <c r="CX228" s="94"/>
      <c r="CY228" s="94"/>
      <c r="CZ228" s="94"/>
      <c r="DA228" s="94"/>
      <c r="DB228" s="94"/>
      <c r="DC228" s="94"/>
      <c r="DD228" s="94"/>
      <c r="DE228" s="94"/>
      <c r="DF228" s="94"/>
      <c r="DG228" s="94"/>
      <c r="DH228" s="94"/>
      <c r="DI228" s="94"/>
      <c r="DJ228" s="94"/>
      <c r="DK228" s="94"/>
      <c r="DL228" s="94"/>
      <c r="DM228" s="94"/>
      <c r="DN228" s="94"/>
      <c r="DO228" s="94"/>
      <c r="DP228" s="94"/>
      <c r="DQ228" s="94"/>
      <c r="DR228" s="94"/>
      <c r="DS228" s="94"/>
      <c r="DT228" s="94"/>
      <c r="DU228" s="94"/>
      <c r="DV228" s="94"/>
      <c r="DW228" s="94"/>
      <c r="DX228" s="94"/>
      <c r="DY228" s="94"/>
      <c r="DZ228" s="94"/>
      <c r="EA228" s="94"/>
      <c r="EB228" s="94"/>
      <c r="EC228" s="94"/>
      <c r="ED228" s="94"/>
      <c r="EE228" s="94"/>
      <c r="EF228" s="94"/>
      <c r="EG228" s="94"/>
      <c r="EH228" s="94"/>
      <c r="EI228" s="94"/>
      <c r="EJ228" s="94"/>
      <c r="EK228" s="94"/>
      <c r="EL228" s="94"/>
      <c r="EM228" s="94"/>
      <c r="EN228" s="94"/>
      <c r="EO228" s="94"/>
      <c r="EP228" s="94"/>
      <c r="EQ228" s="94"/>
      <c r="ER228" s="94"/>
      <c r="ES228" s="94"/>
      <c r="ET228" s="94"/>
      <c r="EU228" s="94"/>
      <c r="EV228" s="94"/>
      <c r="EW228" s="94"/>
      <c r="EX228" s="94"/>
      <c r="EY228" s="94"/>
      <c r="EZ228" s="94"/>
      <c r="FA228" s="94"/>
      <c r="FB228" s="94"/>
      <c r="FC228" s="94"/>
      <c r="FD228" s="94"/>
      <c r="FE228" s="94"/>
      <c r="FF228" s="94"/>
      <c r="FG228" s="94"/>
      <c r="FH228" s="94"/>
      <c r="FI228" s="94"/>
      <c r="FJ228" s="94"/>
      <c r="FK228" s="94"/>
      <c r="FL228" s="94"/>
      <c r="FM228" s="94"/>
      <c r="FN228" s="94"/>
      <c r="FO228" s="94"/>
      <c r="FP228" s="94"/>
      <c r="FQ228" s="94"/>
      <c r="FR228" s="94"/>
      <c r="FS228" s="94"/>
      <c r="FT228" s="94"/>
      <c r="FU228" s="94"/>
      <c r="FV228" s="94"/>
      <c r="FW228" s="94"/>
      <c r="FX228" s="94"/>
      <c r="FY228" s="94"/>
      <c r="FZ228" s="94"/>
      <c r="GA228" s="94"/>
      <c r="GB228" s="94"/>
      <c r="GC228" s="94"/>
      <c r="GD228" s="94"/>
      <c r="GE228" s="94"/>
      <c r="GF228" s="94"/>
      <c r="GG228" s="94"/>
      <c r="GH228" s="94"/>
      <c r="GI228" s="94"/>
      <c r="GJ228" s="94"/>
      <c r="GK228" s="94"/>
      <c r="GL228" s="94"/>
      <c r="GM228" s="94"/>
      <c r="GN228" s="94"/>
      <c r="GO228" s="94"/>
      <c r="GP228" s="94"/>
      <c r="GQ228" s="94"/>
      <c r="GR228" s="94"/>
      <c r="GS228" s="94"/>
      <c r="GT228" s="94"/>
      <c r="GU228" s="94"/>
      <c r="GV228" s="94"/>
      <c r="GW228" s="94"/>
      <c r="GX228" s="94"/>
      <c r="GY228" s="94"/>
      <c r="GZ228" s="94"/>
      <c r="HA228" s="94"/>
      <c r="HB228" s="94"/>
      <c r="HC228" s="94"/>
      <c r="HD228" s="94"/>
      <c r="HE228" s="94"/>
      <c r="HF228" s="94"/>
      <c r="HG228" s="94"/>
      <c r="HH228" s="94"/>
      <c r="HI228" s="94"/>
      <c r="HJ228" s="94"/>
      <c r="HK228" s="94"/>
      <c r="HL228" s="94"/>
      <c r="HM228" s="94"/>
      <c r="HN228" s="94"/>
      <c r="HO228" s="94"/>
      <c r="HP228" s="94"/>
      <c r="HQ228" s="94"/>
      <c r="HR228" s="94"/>
      <c r="HS228" s="94"/>
      <c r="HT228" s="94"/>
      <c r="HU228" s="94"/>
      <c r="HV228" s="94"/>
      <c r="HW228" s="94"/>
      <c r="HX228" s="94"/>
      <c r="HY228" s="94"/>
      <c r="HZ228" s="94"/>
      <c r="IA228" s="94"/>
      <c r="IB228" s="94"/>
      <c r="IC228" s="94"/>
      <c r="ID228" s="94"/>
      <c r="IE228" s="94"/>
      <c r="IF228" s="94"/>
      <c r="IG228" s="94"/>
      <c r="IH228" s="94"/>
      <c r="II228" s="94"/>
      <c r="IJ228" s="94"/>
      <c r="IK228" s="94"/>
      <c r="IL228" s="94"/>
      <c r="IM228" s="94"/>
      <c r="IN228" s="94"/>
      <c r="IO228" s="94"/>
      <c r="IP228" s="94"/>
      <c r="IQ228" s="94"/>
      <c r="IR228" s="94"/>
      <c r="IS228" s="94"/>
      <c r="IT228" s="94"/>
      <c r="IU228" s="94"/>
      <c r="IV228" s="94"/>
    </row>
    <row r="229" spans="1:256" s="95" customFormat="1" ht="16.95" customHeight="1">
      <c r="A229" s="132"/>
      <c r="B229" s="134"/>
      <c r="C229" s="127"/>
      <c r="D229" s="85">
        <f t="shared" si="10"/>
        <v>0.34090909090909088</v>
      </c>
      <c r="E229" s="98"/>
      <c r="F229" s="103" t="s">
        <v>463</v>
      </c>
      <c r="G229" s="88" t="s">
        <v>67</v>
      </c>
      <c r="H229" s="100">
        <f t="shared" si="11"/>
        <v>5</v>
      </c>
      <c r="I229" s="101">
        <f>IF([2]项目总工作量!B$6="交易类",H229*1.5/22,IF([2]项目总工作量!B$6="数据分析类",H229*1.5*0.9/22,IF([2]项目总工作量!B$6="流程管理类",H229*1.5*0.8/22,IF([2]项目总工作量!B$6="渠道类",H229*1.5*0.7/22,FALSE))))</f>
        <v>0.34090909090909088</v>
      </c>
      <c r="J229" s="88" t="s">
        <v>44</v>
      </c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  <c r="AI229" s="94"/>
      <c r="AJ229" s="94"/>
      <c r="AK229" s="94"/>
      <c r="AL229" s="94"/>
      <c r="AM229" s="94"/>
      <c r="AN229" s="94"/>
      <c r="AO229" s="94"/>
      <c r="AP229" s="94"/>
      <c r="AQ229" s="94"/>
      <c r="AR229" s="94"/>
      <c r="AS229" s="94"/>
      <c r="AT229" s="94"/>
      <c r="AU229" s="94"/>
      <c r="AV229" s="94"/>
      <c r="AW229" s="94"/>
      <c r="AX229" s="94"/>
      <c r="AY229" s="94"/>
      <c r="AZ229" s="94"/>
      <c r="BA229" s="94"/>
      <c r="BB229" s="94"/>
      <c r="BC229" s="94"/>
      <c r="BD229" s="94"/>
      <c r="BE229" s="94"/>
      <c r="BF229" s="94"/>
      <c r="BG229" s="94"/>
      <c r="BH229" s="94"/>
      <c r="BI229" s="94"/>
      <c r="BJ229" s="94"/>
      <c r="BK229" s="94"/>
      <c r="BL229" s="94"/>
      <c r="BM229" s="94"/>
      <c r="BN229" s="94"/>
      <c r="BO229" s="94"/>
      <c r="BP229" s="94"/>
      <c r="BQ229" s="94"/>
      <c r="BR229" s="94"/>
      <c r="BS229" s="94"/>
      <c r="BT229" s="94"/>
      <c r="BU229" s="94"/>
      <c r="BV229" s="94"/>
      <c r="BW229" s="94"/>
      <c r="BX229" s="94"/>
      <c r="BY229" s="94"/>
      <c r="BZ229" s="94"/>
      <c r="CA229" s="94"/>
      <c r="CB229" s="94"/>
      <c r="CC229" s="94"/>
      <c r="CD229" s="94"/>
      <c r="CE229" s="94"/>
      <c r="CF229" s="94"/>
      <c r="CG229" s="94"/>
      <c r="CH229" s="94"/>
      <c r="CI229" s="94"/>
      <c r="CJ229" s="94"/>
      <c r="CK229" s="94"/>
      <c r="CL229" s="94"/>
      <c r="CM229" s="94"/>
      <c r="CN229" s="94"/>
      <c r="CO229" s="94"/>
      <c r="CP229" s="94"/>
      <c r="CQ229" s="94"/>
      <c r="CR229" s="94"/>
      <c r="CS229" s="94"/>
      <c r="CT229" s="94"/>
      <c r="CU229" s="94"/>
      <c r="CV229" s="94"/>
      <c r="CW229" s="94"/>
      <c r="CX229" s="94"/>
      <c r="CY229" s="94"/>
      <c r="CZ229" s="94"/>
      <c r="DA229" s="94"/>
      <c r="DB229" s="94"/>
      <c r="DC229" s="94"/>
      <c r="DD229" s="94"/>
      <c r="DE229" s="94"/>
      <c r="DF229" s="94"/>
      <c r="DG229" s="94"/>
      <c r="DH229" s="94"/>
      <c r="DI229" s="94"/>
      <c r="DJ229" s="94"/>
      <c r="DK229" s="94"/>
      <c r="DL229" s="94"/>
      <c r="DM229" s="94"/>
      <c r="DN229" s="94"/>
      <c r="DO229" s="94"/>
      <c r="DP229" s="94"/>
      <c r="DQ229" s="94"/>
      <c r="DR229" s="94"/>
      <c r="DS229" s="94"/>
      <c r="DT229" s="94"/>
      <c r="DU229" s="94"/>
      <c r="DV229" s="94"/>
      <c r="DW229" s="94"/>
      <c r="DX229" s="94"/>
      <c r="DY229" s="94"/>
      <c r="DZ229" s="94"/>
      <c r="EA229" s="94"/>
      <c r="EB229" s="94"/>
      <c r="EC229" s="94"/>
      <c r="ED229" s="94"/>
      <c r="EE229" s="94"/>
      <c r="EF229" s="94"/>
      <c r="EG229" s="94"/>
      <c r="EH229" s="94"/>
      <c r="EI229" s="94"/>
      <c r="EJ229" s="94"/>
      <c r="EK229" s="94"/>
      <c r="EL229" s="94"/>
      <c r="EM229" s="94"/>
      <c r="EN229" s="94"/>
      <c r="EO229" s="94"/>
      <c r="EP229" s="94"/>
      <c r="EQ229" s="94"/>
      <c r="ER229" s="94"/>
      <c r="ES229" s="94"/>
      <c r="ET229" s="94"/>
      <c r="EU229" s="94"/>
      <c r="EV229" s="94"/>
      <c r="EW229" s="94"/>
      <c r="EX229" s="94"/>
      <c r="EY229" s="94"/>
      <c r="EZ229" s="94"/>
      <c r="FA229" s="94"/>
      <c r="FB229" s="94"/>
      <c r="FC229" s="94"/>
      <c r="FD229" s="94"/>
      <c r="FE229" s="94"/>
      <c r="FF229" s="94"/>
      <c r="FG229" s="94"/>
      <c r="FH229" s="94"/>
      <c r="FI229" s="94"/>
      <c r="FJ229" s="94"/>
      <c r="FK229" s="94"/>
      <c r="FL229" s="94"/>
      <c r="FM229" s="94"/>
      <c r="FN229" s="94"/>
      <c r="FO229" s="94"/>
      <c r="FP229" s="94"/>
      <c r="FQ229" s="94"/>
      <c r="FR229" s="94"/>
      <c r="FS229" s="94"/>
      <c r="FT229" s="94"/>
      <c r="FU229" s="94"/>
      <c r="FV229" s="94"/>
      <c r="FW229" s="94"/>
      <c r="FX229" s="94"/>
      <c r="FY229" s="94"/>
      <c r="FZ229" s="94"/>
      <c r="GA229" s="94"/>
      <c r="GB229" s="94"/>
      <c r="GC229" s="94"/>
      <c r="GD229" s="94"/>
      <c r="GE229" s="94"/>
      <c r="GF229" s="94"/>
      <c r="GG229" s="94"/>
      <c r="GH229" s="94"/>
      <c r="GI229" s="94"/>
      <c r="GJ229" s="94"/>
      <c r="GK229" s="94"/>
      <c r="GL229" s="94"/>
      <c r="GM229" s="94"/>
      <c r="GN229" s="94"/>
      <c r="GO229" s="94"/>
      <c r="GP229" s="94"/>
      <c r="GQ229" s="94"/>
      <c r="GR229" s="94"/>
      <c r="GS229" s="94"/>
      <c r="GT229" s="94"/>
      <c r="GU229" s="94"/>
      <c r="GV229" s="94"/>
      <c r="GW229" s="94"/>
      <c r="GX229" s="94"/>
      <c r="GY229" s="94"/>
      <c r="GZ229" s="94"/>
      <c r="HA229" s="94"/>
      <c r="HB229" s="94"/>
      <c r="HC229" s="94"/>
      <c r="HD229" s="94"/>
      <c r="HE229" s="94"/>
      <c r="HF229" s="94"/>
      <c r="HG229" s="94"/>
      <c r="HH229" s="94"/>
      <c r="HI229" s="94"/>
      <c r="HJ229" s="94"/>
      <c r="HK229" s="94"/>
      <c r="HL229" s="94"/>
      <c r="HM229" s="94"/>
      <c r="HN229" s="94"/>
      <c r="HO229" s="94"/>
      <c r="HP229" s="94"/>
      <c r="HQ229" s="94"/>
      <c r="HR229" s="94"/>
      <c r="HS229" s="94"/>
      <c r="HT229" s="94"/>
      <c r="HU229" s="94"/>
      <c r="HV229" s="94"/>
      <c r="HW229" s="94"/>
      <c r="HX229" s="94"/>
      <c r="HY229" s="94"/>
      <c r="HZ229" s="94"/>
      <c r="IA229" s="94"/>
      <c r="IB229" s="94"/>
      <c r="IC229" s="94"/>
      <c r="ID229" s="94"/>
      <c r="IE229" s="94"/>
      <c r="IF229" s="94"/>
      <c r="IG229" s="94"/>
      <c r="IH229" s="94"/>
      <c r="II229" s="94"/>
      <c r="IJ229" s="94"/>
      <c r="IK229" s="94"/>
      <c r="IL229" s="94"/>
      <c r="IM229" s="94"/>
      <c r="IN229" s="94"/>
      <c r="IO229" s="94"/>
      <c r="IP229" s="94"/>
      <c r="IQ229" s="94"/>
      <c r="IR229" s="94"/>
      <c r="IS229" s="94"/>
      <c r="IT229" s="94"/>
      <c r="IU229" s="94"/>
      <c r="IV229" s="94"/>
    </row>
    <row r="230" spans="1:256" s="95" customFormat="1" ht="16.95" customHeight="1">
      <c r="A230" s="132"/>
      <c r="B230" s="134"/>
      <c r="C230" s="127"/>
      <c r="D230" s="85">
        <f t="shared" si="10"/>
        <v>0.34090909090909088</v>
      </c>
      <c r="E230" s="98"/>
      <c r="F230" s="103" t="s">
        <v>464</v>
      </c>
      <c r="G230" s="88" t="s">
        <v>67</v>
      </c>
      <c r="H230" s="100">
        <f t="shared" si="11"/>
        <v>5</v>
      </c>
      <c r="I230" s="101">
        <f>IF([2]项目总工作量!B$6="交易类",H230*1.5/22,IF([2]项目总工作量!B$6="数据分析类",H230*1.5*0.9/22,IF([2]项目总工作量!B$6="流程管理类",H230*1.5*0.8/22,IF([2]项目总工作量!B$6="渠道类",H230*1.5*0.7/22,FALSE))))</f>
        <v>0.34090909090909088</v>
      </c>
      <c r="J230" s="88" t="s">
        <v>44</v>
      </c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  <c r="AI230" s="94"/>
      <c r="AJ230" s="94"/>
      <c r="AK230" s="94"/>
      <c r="AL230" s="94"/>
      <c r="AM230" s="94"/>
      <c r="AN230" s="94"/>
      <c r="AO230" s="94"/>
      <c r="AP230" s="94"/>
      <c r="AQ230" s="94"/>
      <c r="AR230" s="94"/>
      <c r="AS230" s="94"/>
      <c r="AT230" s="94"/>
      <c r="AU230" s="94"/>
      <c r="AV230" s="94"/>
      <c r="AW230" s="94"/>
      <c r="AX230" s="94"/>
      <c r="AY230" s="94"/>
      <c r="AZ230" s="94"/>
      <c r="BA230" s="94"/>
      <c r="BB230" s="94"/>
      <c r="BC230" s="94"/>
      <c r="BD230" s="94"/>
      <c r="BE230" s="94"/>
      <c r="BF230" s="94"/>
      <c r="BG230" s="94"/>
      <c r="BH230" s="94"/>
      <c r="BI230" s="94"/>
      <c r="BJ230" s="94"/>
      <c r="BK230" s="94"/>
      <c r="BL230" s="94"/>
      <c r="BM230" s="94"/>
      <c r="BN230" s="94"/>
      <c r="BO230" s="94"/>
      <c r="BP230" s="94"/>
      <c r="BQ230" s="94"/>
      <c r="BR230" s="94"/>
      <c r="BS230" s="94"/>
      <c r="BT230" s="94"/>
      <c r="BU230" s="94"/>
      <c r="BV230" s="94"/>
      <c r="BW230" s="94"/>
      <c r="BX230" s="94"/>
      <c r="BY230" s="94"/>
      <c r="BZ230" s="94"/>
      <c r="CA230" s="94"/>
      <c r="CB230" s="94"/>
      <c r="CC230" s="94"/>
      <c r="CD230" s="94"/>
      <c r="CE230" s="94"/>
      <c r="CF230" s="94"/>
      <c r="CG230" s="94"/>
      <c r="CH230" s="94"/>
      <c r="CI230" s="94"/>
      <c r="CJ230" s="94"/>
      <c r="CK230" s="94"/>
      <c r="CL230" s="94"/>
      <c r="CM230" s="94"/>
      <c r="CN230" s="94"/>
      <c r="CO230" s="94"/>
      <c r="CP230" s="94"/>
      <c r="CQ230" s="94"/>
      <c r="CR230" s="94"/>
      <c r="CS230" s="94"/>
      <c r="CT230" s="94"/>
      <c r="CU230" s="94"/>
      <c r="CV230" s="94"/>
      <c r="CW230" s="94"/>
      <c r="CX230" s="94"/>
      <c r="CY230" s="94"/>
      <c r="CZ230" s="94"/>
      <c r="DA230" s="94"/>
      <c r="DB230" s="94"/>
      <c r="DC230" s="94"/>
      <c r="DD230" s="94"/>
      <c r="DE230" s="94"/>
      <c r="DF230" s="94"/>
      <c r="DG230" s="94"/>
      <c r="DH230" s="94"/>
      <c r="DI230" s="94"/>
      <c r="DJ230" s="94"/>
      <c r="DK230" s="94"/>
      <c r="DL230" s="94"/>
      <c r="DM230" s="94"/>
      <c r="DN230" s="94"/>
      <c r="DO230" s="94"/>
      <c r="DP230" s="94"/>
      <c r="DQ230" s="94"/>
      <c r="DR230" s="94"/>
      <c r="DS230" s="94"/>
      <c r="DT230" s="94"/>
      <c r="DU230" s="94"/>
      <c r="DV230" s="94"/>
      <c r="DW230" s="94"/>
      <c r="DX230" s="94"/>
      <c r="DY230" s="94"/>
      <c r="DZ230" s="94"/>
      <c r="EA230" s="94"/>
      <c r="EB230" s="94"/>
      <c r="EC230" s="94"/>
      <c r="ED230" s="94"/>
      <c r="EE230" s="94"/>
      <c r="EF230" s="94"/>
      <c r="EG230" s="94"/>
      <c r="EH230" s="94"/>
      <c r="EI230" s="94"/>
      <c r="EJ230" s="94"/>
      <c r="EK230" s="94"/>
      <c r="EL230" s="94"/>
      <c r="EM230" s="94"/>
      <c r="EN230" s="94"/>
      <c r="EO230" s="94"/>
      <c r="EP230" s="94"/>
      <c r="EQ230" s="94"/>
      <c r="ER230" s="94"/>
      <c r="ES230" s="94"/>
      <c r="ET230" s="94"/>
      <c r="EU230" s="94"/>
      <c r="EV230" s="94"/>
      <c r="EW230" s="94"/>
      <c r="EX230" s="94"/>
      <c r="EY230" s="94"/>
      <c r="EZ230" s="94"/>
      <c r="FA230" s="94"/>
      <c r="FB230" s="94"/>
      <c r="FC230" s="94"/>
      <c r="FD230" s="94"/>
      <c r="FE230" s="94"/>
      <c r="FF230" s="94"/>
      <c r="FG230" s="94"/>
      <c r="FH230" s="94"/>
      <c r="FI230" s="94"/>
      <c r="FJ230" s="94"/>
      <c r="FK230" s="94"/>
      <c r="FL230" s="94"/>
      <c r="FM230" s="94"/>
      <c r="FN230" s="94"/>
      <c r="FO230" s="94"/>
      <c r="FP230" s="94"/>
      <c r="FQ230" s="94"/>
      <c r="FR230" s="94"/>
      <c r="FS230" s="94"/>
      <c r="FT230" s="94"/>
      <c r="FU230" s="94"/>
      <c r="FV230" s="94"/>
      <c r="FW230" s="94"/>
      <c r="FX230" s="94"/>
      <c r="FY230" s="94"/>
      <c r="FZ230" s="94"/>
      <c r="GA230" s="94"/>
      <c r="GB230" s="94"/>
      <c r="GC230" s="94"/>
      <c r="GD230" s="94"/>
      <c r="GE230" s="94"/>
      <c r="GF230" s="94"/>
      <c r="GG230" s="94"/>
      <c r="GH230" s="94"/>
      <c r="GI230" s="94"/>
      <c r="GJ230" s="94"/>
      <c r="GK230" s="94"/>
      <c r="GL230" s="94"/>
      <c r="GM230" s="94"/>
      <c r="GN230" s="94"/>
      <c r="GO230" s="94"/>
      <c r="GP230" s="94"/>
      <c r="GQ230" s="94"/>
      <c r="GR230" s="94"/>
      <c r="GS230" s="94"/>
      <c r="GT230" s="94"/>
      <c r="GU230" s="94"/>
      <c r="GV230" s="94"/>
      <c r="GW230" s="94"/>
      <c r="GX230" s="94"/>
      <c r="GY230" s="94"/>
      <c r="GZ230" s="94"/>
      <c r="HA230" s="94"/>
      <c r="HB230" s="94"/>
      <c r="HC230" s="94"/>
      <c r="HD230" s="94"/>
      <c r="HE230" s="94"/>
      <c r="HF230" s="94"/>
      <c r="HG230" s="94"/>
      <c r="HH230" s="94"/>
      <c r="HI230" s="94"/>
      <c r="HJ230" s="94"/>
      <c r="HK230" s="94"/>
      <c r="HL230" s="94"/>
      <c r="HM230" s="94"/>
      <c r="HN230" s="94"/>
      <c r="HO230" s="94"/>
      <c r="HP230" s="94"/>
      <c r="HQ230" s="94"/>
      <c r="HR230" s="94"/>
      <c r="HS230" s="94"/>
      <c r="HT230" s="94"/>
      <c r="HU230" s="94"/>
      <c r="HV230" s="94"/>
      <c r="HW230" s="94"/>
      <c r="HX230" s="94"/>
      <c r="HY230" s="94"/>
      <c r="HZ230" s="94"/>
      <c r="IA230" s="94"/>
      <c r="IB230" s="94"/>
      <c r="IC230" s="94"/>
      <c r="ID230" s="94"/>
      <c r="IE230" s="94"/>
      <c r="IF230" s="94"/>
      <c r="IG230" s="94"/>
      <c r="IH230" s="94"/>
      <c r="II230" s="94"/>
      <c r="IJ230" s="94"/>
      <c r="IK230" s="94"/>
      <c r="IL230" s="94"/>
      <c r="IM230" s="94"/>
      <c r="IN230" s="94"/>
      <c r="IO230" s="94"/>
      <c r="IP230" s="94"/>
      <c r="IQ230" s="94"/>
      <c r="IR230" s="94"/>
      <c r="IS230" s="94"/>
      <c r="IT230" s="94"/>
      <c r="IU230" s="94"/>
      <c r="IV230" s="94"/>
    </row>
    <row r="231" spans="1:256" s="95" customFormat="1" ht="16.95" customHeight="1">
      <c r="A231" s="132"/>
      <c r="B231" s="134"/>
      <c r="C231" s="127"/>
      <c r="D231" s="85">
        <f t="shared" si="10"/>
        <v>0.34090909090909088</v>
      </c>
      <c r="E231" s="98"/>
      <c r="F231" s="99" t="s">
        <v>465</v>
      </c>
      <c r="G231" s="88" t="s">
        <v>67</v>
      </c>
      <c r="H231" s="100">
        <f t="shared" si="11"/>
        <v>5</v>
      </c>
      <c r="I231" s="101">
        <f>IF([2]项目总工作量!B$6="交易类",H231*1.5/22,IF([2]项目总工作量!B$6="数据分析类",H231*1.5*0.9/22,IF([2]项目总工作量!B$6="流程管理类",H231*1.5*0.8/22,IF([2]项目总工作量!B$6="渠道类",H231*1.5*0.7/22,FALSE))))</f>
        <v>0.34090909090909088</v>
      </c>
      <c r="J231" s="88" t="s">
        <v>44</v>
      </c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  <c r="AI231" s="94"/>
      <c r="AJ231" s="94"/>
      <c r="AK231" s="94"/>
      <c r="AL231" s="94"/>
      <c r="AM231" s="94"/>
      <c r="AN231" s="94"/>
      <c r="AO231" s="94"/>
      <c r="AP231" s="94"/>
      <c r="AQ231" s="94"/>
      <c r="AR231" s="94"/>
      <c r="AS231" s="94"/>
      <c r="AT231" s="94"/>
      <c r="AU231" s="94"/>
      <c r="AV231" s="94"/>
      <c r="AW231" s="94"/>
      <c r="AX231" s="94"/>
      <c r="AY231" s="94"/>
      <c r="AZ231" s="94"/>
      <c r="BA231" s="94"/>
      <c r="BB231" s="94"/>
      <c r="BC231" s="94"/>
      <c r="BD231" s="94"/>
      <c r="BE231" s="94"/>
      <c r="BF231" s="94"/>
      <c r="BG231" s="94"/>
      <c r="BH231" s="94"/>
      <c r="BI231" s="94"/>
      <c r="BJ231" s="94"/>
      <c r="BK231" s="94"/>
      <c r="BL231" s="94"/>
      <c r="BM231" s="94"/>
      <c r="BN231" s="94"/>
      <c r="BO231" s="94"/>
      <c r="BP231" s="94"/>
      <c r="BQ231" s="94"/>
      <c r="BR231" s="94"/>
      <c r="BS231" s="94"/>
      <c r="BT231" s="94"/>
      <c r="BU231" s="94"/>
      <c r="BV231" s="94"/>
      <c r="BW231" s="94"/>
      <c r="BX231" s="94"/>
      <c r="BY231" s="94"/>
      <c r="BZ231" s="94"/>
      <c r="CA231" s="94"/>
      <c r="CB231" s="94"/>
      <c r="CC231" s="94"/>
      <c r="CD231" s="94"/>
      <c r="CE231" s="94"/>
      <c r="CF231" s="94"/>
      <c r="CG231" s="94"/>
      <c r="CH231" s="94"/>
      <c r="CI231" s="94"/>
      <c r="CJ231" s="94"/>
      <c r="CK231" s="94"/>
      <c r="CL231" s="94"/>
      <c r="CM231" s="94"/>
      <c r="CN231" s="94"/>
      <c r="CO231" s="94"/>
      <c r="CP231" s="94"/>
      <c r="CQ231" s="94"/>
      <c r="CR231" s="94"/>
      <c r="CS231" s="94"/>
      <c r="CT231" s="94"/>
      <c r="CU231" s="94"/>
      <c r="CV231" s="94"/>
      <c r="CW231" s="94"/>
      <c r="CX231" s="94"/>
      <c r="CY231" s="94"/>
      <c r="CZ231" s="94"/>
      <c r="DA231" s="94"/>
      <c r="DB231" s="94"/>
      <c r="DC231" s="94"/>
      <c r="DD231" s="94"/>
      <c r="DE231" s="94"/>
      <c r="DF231" s="94"/>
      <c r="DG231" s="94"/>
      <c r="DH231" s="94"/>
      <c r="DI231" s="94"/>
      <c r="DJ231" s="94"/>
      <c r="DK231" s="94"/>
      <c r="DL231" s="94"/>
      <c r="DM231" s="94"/>
      <c r="DN231" s="94"/>
      <c r="DO231" s="94"/>
      <c r="DP231" s="94"/>
      <c r="DQ231" s="94"/>
      <c r="DR231" s="94"/>
      <c r="DS231" s="94"/>
      <c r="DT231" s="94"/>
      <c r="DU231" s="94"/>
      <c r="DV231" s="94"/>
      <c r="DW231" s="94"/>
      <c r="DX231" s="94"/>
      <c r="DY231" s="94"/>
      <c r="DZ231" s="94"/>
      <c r="EA231" s="94"/>
      <c r="EB231" s="94"/>
      <c r="EC231" s="94"/>
      <c r="ED231" s="94"/>
      <c r="EE231" s="94"/>
      <c r="EF231" s="94"/>
      <c r="EG231" s="94"/>
      <c r="EH231" s="94"/>
      <c r="EI231" s="94"/>
      <c r="EJ231" s="94"/>
      <c r="EK231" s="94"/>
      <c r="EL231" s="94"/>
      <c r="EM231" s="94"/>
      <c r="EN231" s="94"/>
      <c r="EO231" s="94"/>
      <c r="EP231" s="94"/>
      <c r="EQ231" s="94"/>
      <c r="ER231" s="94"/>
      <c r="ES231" s="94"/>
      <c r="ET231" s="94"/>
      <c r="EU231" s="94"/>
      <c r="EV231" s="94"/>
      <c r="EW231" s="94"/>
      <c r="EX231" s="94"/>
      <c r="EY231" s="94"/>
      <c r="EZ231" s="94"/>
      <c r="FA231" s="94"/>
      <c r="FB231" s="94"/>
      <c r="FC231" s="94"/>
      <c r="FD231" s="94"/>
      <c r="FE231" s="94"/>
      <c r="FF231" s="94"/>
      <c r="FG231" s="94"/>
      <c r="FH231" s="94"/>
      <c r="FI231" s="94"/>
      <c r="FJ231" s="94"/>
      <c r="FK231" s="94"/>
      <c r="FL231" s="94"/>
      <c r="FM231" s="94"/>
      <c r="FN231" s="94"/>
      <c r="FO231" s="94"/>
      <c r="FP231" s="94"/>
      <c r="FQ231" s="94"/>
      <c r="FR231" s="94"/>
      <c r="FS231" s="94"/>
      <c r="FT231" s="94"/>
      <c r="FU231" s="94"/>
      <c r="FV231" s="94"/>
      <c r="FW231" s="94"/>
      <c r="FX231" s="94"/>
      <c r="FY231" s="94"/>
      <c r="FZ231" s="94"/>
      <c r="GA231" s="94"/>
      <c r="GB231" s="94"/>
      <c r="GC231" s="94"/>
      <c r="GD231" s="94"/>
      <c r="GE231" s="94"/>
      <c r="GF231" s="94"/>
      <c r="GG231" s="94"/>
      <c r="GH231" s="94"/>
      <c r="GI231" s="94"/>
      <c r="GJ231" s="94"/>
      <c r="GK231" s="94"/>
      <c r="GL231" s="94"/>
      <c r="GM231" s="94"/>
      <c r="GN231" s="94"/>
      <c r="GO231" s="94"/>
      <c r="GP231" s="94"/>
      <c r="GQ231" s="94"/>
      <c r="GR231" s="94"/>
      <c r="GS231" s="94"/>
      <c r="GT231" s="94"/>
      <c r="GU231" s="94"/>
      <c r="GV231" s="94"/>
      <c r="GW231" s="94"/>
      <c r="GX231" s="94"/>
      <c r="GY231" s="94"/>
      <c r="GZ231" s="94"/>
      <c r="HA231" s="94"/>
      <c r="HB231" s="94"/>
      <c r="HC231" s="94"/>
      <c r="HD231" s="94"/>
      <c r="HE231" s="94"/>
      <c r="HF231" s="94"/>
      <c r="HG231" s="94"/>
      <c r="HH231" s="94"/>
      <c r="HI231" s="94"/>
      <c r="HJ231" s="94"/>
      <c r="HK231" s="94"/>
      <c r="HL231" s="94"/>
      <c r="HM231" s="94"/>
      <c r="HN231" s="94"/>
      <c r="HO231" s="94"/>
      <c r="HP231" s="94"/>
      <c r="HQ231" s="94"/>
      <c r="HR231" s="94"/>
      <c r="HS231" s="94"/>
      <c r="HT231" s="94"/>
      <c r="HU231" s="94"/>
      <c r="HV231" s="94"/>
      <c r="HW231" s="94"/>
      <c r="HX231" s="94"/>
      <c r="HY231" s="94"/>
      <c r="HZ231" s="94"/>
      <c r="IA231" s="94"/>
      <c r="IB231" s="94"/>
      <c r="IC231" s="94"/>
      <c r="ID231" s="94"/>
      <c r="IE231" s="94"/>
      <c r="IF231" s="94"/>
      <c r="IG231" s="94"/>
      <c r="IH231" s="94"/>
      <c r="II231" s="94"/>
      <c r="IJ231" s="94"/>
      <c r="IK231" s="94"/>
      <c r="IL231" s="94"/>
      <c r="IM231" s="94"/>
      <c r="IN231" s="94"/>
      <c r="IO231" s="94"/>
      <c r="IP231" s="94"/>
      <c r="IQ231" s="94"/>
      <c r="IR231" s="94"/>
      <c r="IS231" s="94"/>
      <c r="IT231" s="94"/>
      <c r="IU231" s="94"/>
      <c r="IV231" s="94"/>
    </row>
    <row r="232" spans="1:256" s="95" customFormat="1" ht="16.95" customHeight="1">
      <c r="A232" s="132"/>
      <c r="B232" s="134"/>
      <c r="C232" s="127"/>
      <c r="D232" s="85">
        <f t="shared" si="10"/>
        <v>0.34090909090909088</v>
      </c>
      <c r="E232" s="98"/>
      <c r="F232" s="103" t="s">
        <v>466</v>
      </c>
      <c r="G232" s="88" t="s">
        <v>67</v>
      </c>
      <c r="H232" s="100">
        <f t="shared" si="11"/>
        <v>5</v>
      </c>
      <c r="I232" s="101">
        <f>IF([2]项目总工作量!B$6="交易类",H232*1.5/22,IF([2]项目总工作量!B$6="数据分析类",H232*1.5*0.9/22,IF([2]项目总工作量!B$6="流程管理类",H232*1.5*0.8/22,IF([2]项目总工作量!B$6="渠道类",H232*1.5*0.7/22,FALSE))))</f>
        <v>0.34090909090909088</v>
      </c>
      <c r="J232" s="88" t="s">
        <v>44</v>
      </c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  <c r="AI232" s="94"/>
      <c r="AJ232" s="94"/>
      <c r="AK232" s="94"/>
      <c r="AL232" s="94"/>
      <c r="AM232" s="94"/>
      <c r="AN232" s="94"/>
      <c r="AO232" s="94"/>
      <c r="AP232" s="94"/>
      <c r="AQ232" s="94"/>
      <c r="AR232" s="94"/>
      <c r="AS232" s="94"/>
      <c r="AT232" s="94"/>
      <c r="AU232" s="94"/>
      <c r="AV232" s="94"/>
      <c r="AW232" s="94"/>
      <c r="AX232" s="94"/>
      <c r="AY232" s="94"/>
      <c r="AZ232" s="94"/>
      <c r="BA232" s="94"/>
      <c r="BB232" s="94"/>
      <c r="BC232" s="94"/>
      <c r="BD232" s="94"/>
      <c r="BE232" s="94"/>
      <c r="BF232" s="94"/>
      <c r="BG232" s="94"/>
      <c r="BH232" s="94"/>
      <c r="BI232" s="94"/>
      <c r="BJ232" s="94"/>
      <c r="BK232" s="94"/>
      <c r="BL232" s="94"/>
      <c r="BM232" s="94"/>
      <c r="BN232" s="94"/>
      <c r="BO232" s="94"/>
      <c r="BP232" s="94"/>
      <c r="BQ232" s="94"/>
      <c r="BR232" s="94"/>
      <c r="BS232" s="94"/>
      <c r="BT232" s="94"/>
      <c r="BU232" s="94"/>
      <c r="BV232" s="94"/>
      <c r="BW232" s="94"/>
      <c r="BX232" s="94"/>
      <c r="BY232" s="94"/>
      <c r="BZ232" s="94"/>
      <c r="CA232" s="94"/>
      <c r="CB232" s="94"/>
      <c r="CC232" s="94"/>
      <c r="CD232" s="94"/>
      <c r="CE232" s="94"/>
      <c r="CF232" s="94"/>
      <c r="CG232" s="94"/>
      <c r="CH232" s="94"/>
      <c r="CI232" s="94"/>
      <c r="CJ232" s="94"/>
      <c r="CK232" s="94"/>
      <c r="CL232" s="94"/>
      <c r="CM232" s="94"/>
      <c r="CN232" s="94"/>
      <c r="CO232" s="94"/>
      <c r="CP232" s="94"/>
      <c r="CQ232" s="94"/>
      <c r="CR232" s="94"/>
      <c r="CS232" s="94"/>
      <c r="CT232" s="94"/>
      <c r="CU232" s="94"/>
      <c r="CV232" s="94"/>
      <c r="CW232" s="94"/>
      <c r="CX232" s="94"/>
      <c r="CY232" s="94"/>
      <c r="CZ232" s="94"/>
      <c r="DA232" s="94"/>
      <c r="DB232" s="94"/>
      <c r="DC232" s="94"/>
      <c r="DD232" s="94"/>
      <c r="DE232" s="94"/>
      <c r="DF232" s="94"/>
      <c r="DG232" s="94"/>
      <c r="DH232" s="94"/>
      <c r="DI232" s="94"/>
      <c r="DJ232" s="94"/>
      <c r="DK232" s="94"/>
      <c r="DL232" s="94"/>
      <c r="DM232" s="94"/>
      <c r="DN232" s="94"/>
      <c r="DO232" s="94"/>
      <c r="DP232" s="94"/>
      <c r="DQ232" s="94"/>
      <c r="DR232" s="94"/>
      <c r="DS232" s="94"/>
      <c r="DT232" s="94"/>
      <c r="DU232" s="94"/>
      <c r="DV232" s="94"/>
      <c r="DW232" s="94"/>
      <c r="DX232" s="94"/>
      <c r="DY232" s="94"/>
      <c r="DZ232" s="94"/>
      <c r="EA232" s="94"/>
      <c r="EB232" s="94"/>
      <c r="EC232" s="94"/>
      <c r="ED232" s="94"/>
      <c r="EE232" s="94"/>
      <c r="EF232" s="94"/>
      <c r="EG232" s="94"/>
      <c r="EH232" s="94"/>
      <c r="EI232" s="94"/>
      <c r="EJ232" s="94"/>
      <c r="EK232" s="94"/>
      <c r="EL232" s="94"/>
      <c r="EM232" s="94"/>
      <c r="EN232" s="94"/>
      <c r="EO232" s="94"/>
      <c r="EP232" s="94"/>
      <c r="EQ232" s="94"/>
      <c r="ER232" s="94"/>
      <c r="ES232" s="94"/>
      <c r="ET232" s="94"/>
      <c r="EU232" s="94"/>
      <c r="EV232" s="94"/>
      <c r="EW232" s="94"/>
      <c r="EX232" s="94"/>
      <c r="EY232" s="94"/>
      <c r="EZ232" s="94"/>
      <c r="FA232" s="94"/>
      <c r="FB232" s="94"/>
      <c r="FC232" s="94"/>
      <c r="FD232" s="94"/>
      <c r="FE232" s="94"/>
      <c r="FF232" s="94"/>
      <c r="FG232" s="94"/>
      <c r="FH232" s="94"/>
      <c r="FI232" s="94"/>
      <c r="FJ232" s="94"/>
      <c r="FK232" s="94"/>
      <c r="FL232" s="94"/>
      <c r="FM232" s="94"/>
      <c r="FN232" s="94"/>
      <c r="FO232" s="94"/>
      <c r="FP232" s="94"/>
      <c r="FQ232" s="94"/>
      <c r="FR232" s="94"/>
      <c r="FS232" s="94"/>
      <c r="FT232" s="94"/>
      <c r="FU232" s="94"/>
      <c r="FV232" s="94"/>
      <c r="FW232" s="94"/>
      <c r="FX232" s="94"/>
      <c r="FY232" s="94"/>
      <c r="FZ232" s="94"/>
      <c r="GA232" s="94"/>
      <c r="GB232" s="94"/>
      <c r="GC232" s="94"/>
      <c r="GD232" s="94"/>
      <c r="GE232" s="94"/>
      <c r="GF232" s="94"/>
      <c r="GG232" s="94"/>
      <c r="GH232" s="94"/>
      <c r="GI232" s="94"/>
      <c r="GJ232" s="94"/>
      <c r="GK232" s="94"/>
      <c r="GL232" s="94"/>
      <c r="GM232" s="94"/>
      <c r="GN232" s="94"/>
      <c r="GO232" s="94"/>
      <c r="GP232" s="94"/>
      <c r="GQ232" s="94"/>
      <c r="GR232" s="94"/>
      <c r="GS232" s="94"/>
      <c r="GT232" s="94"/>
      <c r="GU232" s="94"/>
      <c r="GV232" s="94"/>
      <c r="GW232" s="94"/>
      <c r="GX232" s="94"/>
      <c r="GY232" s="94"/>
      <c r="GZ232" s="94"/>
      <c r="HA232" s="94"/>
      <c r="HB232" s="94"/>
      <c r="HC232" s="94"/>
      <c r="HD232" s="94"/>
      <c r="HE232" s="94"/>
      <c r="HF232" s="94"/>
      <c r="HG232" s="94"/>
      <c r="HH232" s="94"/>
      <c r="HI232" s="94"/>
      <c r="HJ232" s="94"/>
      <c r="HK232" s="94"/>
      <c r="HL232" s="94"/>
      <c r="HM232" s="94"/>
      <c r="HN232" s="94"/>
      <c r="HO232" s="94"/>
      <c r="HP232" s="94"/>
      <c r="HQ232" s="94"/>
      <c r="HR232" s="94"/>
      <c r="HS232" s="94"/>
      <c r="HT232" s="94"/>
      <c r="HU232" s="94"/>
      <c r="HV232" s="94"/>
      <c r="HW232" s="94"/>
      <c r="HX232" s="94"/>
      <c r="HY232" s="94"/>
      <c r="HZ232" s="94"/>
      <c r="IA232" s="94"/>
      <c r="IB232" s="94"/>
      <c r="IC232" s="94"/>
      <c r="ID232" s="94"/>
      <c r="IE232" s="94"/>
      <c r="IF232" s="94"/>
      <c r="IG232" s="94"/>
      <c r="IH232" s="94"/>
      <c r="II232" s="94"/>
      <c r="IJ232" s="94"/>
      <c r="IK232" s="94"/>
      <c r="IL232" s="94"/>
      <c r="IM232" s="94"/>
      <c r="IN232" s="94"/>
      <c r="IO232" s="94"/>
      <c r="IP232" s="94"/>
      <c r="IQ232" s="94"/>
      <c r="IR232" s="94"/>
      <c r="IS232" s="94"/>
      <c r="IT232" s="94"/>
      <c r="IU232" s="94"/>
      <c r="IV232" s="94"/>
    </row>
    <row r="233" spans="1:256" s="95" customFormat="1" ht="16.95" customHeight="1">
      <c r="A233" s="132"/>
      <c r="B233" s="134"/>
      <c r="C233" s="127"/>
      <c r="D233" s="85">
        <f t="shared" si="10"/>
        <v>0.34090909090909088</v>
      </c>
      <c r="E233" s="98"/>
      <c r="F233" s="99" t="s">
        <v>467</v>
      </c>
      <c r="G233" s="88" t="s">
        <v>67</v>
      </c>
      <c r="H233" s="100">
        <f t="shared" si="11"/>
        <v>5</v>
      </c>
      <c r="I233" s="101">
        <f>IF([2]项目总工作量!B$6="交易类",H233*1.5/22,IF([2]项目总工作量!B$6="数据分析类",H233*1.5*0.9/22,IF([2]项目总工作量!B$6="流程管理类",H233*1.5*0.8/22,IF([2]项目总工作量!B$6="渠道类",H233*1.5*0.7/22,FALSE))))</f>
        <v>0.34090909090909088</v>
      </c>
      <c r="J233" s="88" t="s">
        <v>44</v>
      </c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  <c r="AI233" s="94"/>
      <c r="AJ233" s="94"/>
      <c r="AK233" s="94"/>
      <c r="AL233" s="94"/>
      <c r="AM233" s="94"/>
      <c r="AN233" s="94"/>
      <c r="AO233" s="94"/>
      <c r="AP233" s="94"/>
      <c r="AQ233" s="94"/>
      <c r="AR233" s="94"/>
      <c r="AS233" s="94"/>
      <c r="AT233" s="94"/>
      <c r="AU233" s="94"/>
      <c r="AV233" s="94"/>
      <c r="AW233" s="94"/>
      <c r="AX233" s="94"/>
      <c r="AY233" s="94"/>
      <c r="AZ233" s="94"/>
      <c r="BA233" s="94"/>
      <c r="BB233" s="94"/>
      <c r="BC233" s="94"/>
      <c r="BD233" s="94"/>
      <c r="BE233" s="94"/>
      <c r="BF233" s="94"/>
      <c r="BG233" s="94"/>
      <c r="BH233" s="94"/>
      <c r="BI233" s="94"/>
      <c r="BJ233" s="94"/>
      <c r="BK233" s="94"/>
      <c r="BL233" s="94"/>
      <c r="BM233" s="94"/>
      <c r="BN233" s="94"/>
      <c r="BO233" s="94"/>
      <c r="BP233" s="94"/>
      <c r="BQ233" s="94"/>
      <c r="BR233" s="94"/>
      <c r="BS233" s="94"/>
      <c r="BT233" s="94"/>
      <c r="BU233" s="94"/>
      <c r="BV233" s="94"/>
      <c r="BW233" s="94"/>
      <c r="BX233" s="94"/>
      <c r="BY233" s="94"/>
      <c r="BZ233" s="94"/>
      <c r="CA233" s="94"/>
      <c r="CB233" s="94"/>
      <c r="CC233" s="94"/>
      <c r="CD233" s="94"/>
      <c r="CE233" s="94"/>
      <c r="CF233" s="94"/>
      <c r="CG233" s="94"/>
      <c r="CH233" s="94"/>
      <c r="CI233" s="94"/>
      <c r="CJ233" s="94"/>
      <c r="CK233" s="94"/>
      <c r="CL233" s="94"/>
      <c r="CM233" s="94"/>
      <c r="CN233" s="94"/>
      <c r="CO233" s="94"/>
      <c r="CP233" s="94"/>
      <c r="CQ233" s="94"/>
      <c r="CR233" s="94"/>
      <c r="CS233" s="94"/>
      <c r="CT233" s="94"/>
      <c r="CU233" s="94"/>
      <c r="CV233" s="94"/>
      <c r="CW233" s="94"/>
      <c r="CX233" s="94"/>
      <c r="CY233" s="94"/>
      <c r="CZ233" s="94"/>
      <c r="DA233" s="94"/>
      <c r="DB233" s="94"/>
      <c r="DC233" s="94"/>
      <c r="DD233" s="94"/>
      <c r="DE233" s="94"/>
      <c r="DF233" s="94"/>
      <c r="DG233" s="94"/>
      <c r="DH233" s="94"/>
      <c r="DI233" s="94"/>
      <c r="DJ233" s="94"/>
      <c r="DK233" s="94"/>
      <c r="DL233" s="94"/>
      <c r="DM233" s="94"/>
      <c r="DN233" s="94"/>
      <c r="DO233" s="94"/>
      <c r="DP233" s="94"/>
      <c r="DQ233" s="94"/>
      <c r="DR233" s="94"/>
      <c r="DS233" s="94"/>
      <c r="DT233" s="94"/>
      <c r="DU233" s="94"/>
      <c r="DV233" s="94"/>
      <c r="DW233" s="94"/>
      <c r="DX233" s="94"/>
      <c r="DY233" s="94"/>
      <c r="DZ233" s="94"/>
      <c r="EA233" s="94"/>
      <c r="EB233" s="94"/>
      <c r="EC233" s="94"/>
      <c r="ED233" s="94"/>
      <c r="EE233" s="94"/>
      <c r="EF233" s="94"/>
      <c r="EG233" s="94"/>
      <c r="EH233" s="94"/>
      <c r="EI233" s="94"/>
      <c r="EJ233" s="94"/>
      <c r="EK233" s="94"/>
      <c r="EL233" s="94"/>
      <c r="EM233" s="94"/>
      <c r="EN233" s="94"/>
      <c r="EO233" s="94"/>
      <c r="EP233" s="94"/>
      <c r="EQ233" s="94"/>
      <c r="ER233" s="94"/>
      <c r="ES233" s="94"/>
      <c r="ET233" s="94"/>
      <c r="EU233" s="94"/>
      <c r="EV233" s="94"/>
      <c r="EW233" s="94"/>
      <c r="EX233" s="94"/>
      <c r="EY233" s="94"/>
      <c r="EZ233" s="94"/>
      <c r="FA233" s="94"/>
      <c r="FB233" s="94"/>
      <c r="FC233" s="94"/>
      <c r="FD233" s="94"/>
      <c r="FE233" s="94"/>
      <c r="FF233" s="94"/>
      <c r="FG233" s="94"/>
      <c r="FH233" s="94"/>
      <c r="FI233" s="94"/>
      <c r="FJ233" s="94"/>
      <c r="FK233" s="94"/>
      <c r="FL233" s="94"/>
      <c r="FM233" s="94"/>
      <c r="FN233" s="94"/>
      <c r="FO233" s="94"/>
      <c r="FP233" s="94"/>
      <c r="FQ233" s="94"/>
      <c r="FR233" s="94"/>
      <c r="FS233" s="94"/>
      <c r="FT233" s="94"/>
      <c r="FU233" s="94"/>
      <c r="FV233" s="94"/>
      <c r="FW233" s="94"/>
      <c r="FX233" s="94"/>
      <c r="FY233" s="94"/>
      <c r="FZ233" s="94"/>
      <c r="GA233" s="94"/>
      <c r="GB233" s="94"/>
      <c r="GC233" s="94"/>
      <c r="GD233" s="94"/>
      <c r="GE233" s="94"/>
      <c r="GF233" s="94"/>
      <c r="GG233" s="94"/>
      <c r="GH233" s="94"/>
      <c r="GI233" s="94"/>
      <c r="GJ233" s="94"/>
      <c r="GK233" s="94"/>
      <c r="GL233" s="94"/>
      <c r="GM233" s="94"/>
      <c r="GN233" s="94"/>
      <c r="GO233" s="94"/>
      <c r="GP233" s="94"/>
      <c r="GQ233" s="94"/>
      <c r="GR233" s="94"/>
      <c r="GS233" s="94"/>
      <c r="GT233" s="94"/>
      <c r="GU233" s="94"/>
      <c r="GV233" s="94"/>
      <c r="GW233" s="94"/>
      <c r="GX233" s="94"/>
      <c r="GY233" s="94"/>
      <c r="GZ233" s="94"/>
      <c r="HA233" s="94"/>
      <c r="HB233" s="94"/>
      <c r="HC233" s="94"/>
      <c r="HD233" s="94"/>
      <c r="HE233" s="94"/>
      <c r="HF233" s="94"/>
      <c r="HG233" s="94"/>
      <c r="HH233" s="94"/>
      <c r="HI233" s="94"/>
      <c r="HJ233" s="94"/>
      <c r="HK233" s="94"/>
      <c r="HL233" s="94"/>
      <c r="HM233" s="94"/>
      <c r="HN233" s="94"/>
      <c r="HO233" s="94"/>
      <c r="HP233" s="94"/>
      <c r="HQ233" s="94"/>
      <c r="HR233" s="94"/>
      <c r="HS233" s="94"/>
      <c r="HT233" s="94"/>
      <c r="HU233" s="94"/>
      <c r="HV233" s="94"/>
      <c r="HW233" s="94"/>
      <c r="HX233" s="94"/>
      <c r="HY233" s="94"/>
      <c r="HZ233" s="94"/>
      <c r="IA233" s="94"/>
      <c r="IB233" s="94"/>
      <c r="IC233" s="94"/>
      <c r="ID233" s="94"/>
      <c r="IE233" s="94"/>
      <c r="IF233" s="94"/>
      <c r="IG233" s="94"/>
      <c r="IH233" s="94"/>
      <c r="II233" s="94"/>
      <c r="IJ233" s="94"/>
      <c r="IK233" s="94"/>
      <c r="IL233" s="94"/>
      <c r="IM233" s="94"/>
      <c r="IN233" s="94"/>
      <c r="IO233" s="94"/>
      <c r="IP233" s="94"/>
      <c r="IQ233" s="94"/>
      <c r="IR233" s="94"/>
      <c r="IS233" s="94"/>
      <c r="IT233" s="94"/>
      <c r="IU233" s="94"/>
      <c r="IV233" s="94"/>
    </row>
    <row r="234" spans="1:256" s="90" customFormat="1" ht="15" customHeight="1">
      <c r="A234" s="138">
        <v>5</v>
      </c>
      <c r="B234" s="127" t="s">
        <v>203</v>
      </c>
      <c r="C234" s="127" t="s">
        <v>204</v>
      </c>
      <c r="D234" s="85">
        <f t="shared" si="10"/>
        <v>0.27272727272727271</v>
      </c>
      <c r="E234" s="86"/>
      <c r="F234" s="87" t="s">
        <v>202</v>
      </c>
      <c r="G234" s="88" t="s">
        <v>66</v>
      </c>
      <c r="H234" s="89">
        <f t="shared" ref="H234:H265" si="12">IF(G234="EI",4,IF(G234="EO",5,IF(G234="EQ",4,0)))</f>
        <v>4</v>
      </c>
      <c r="I234" s="88">
        <f>IF([3]项目总工作量!B$6="交易类",H234*1.5/22,IF([3]项目总工作量!B$6="数据分析类",H234*1.5*0.9/22,IF([3]项目总工作量!B$6="流程管理类",H234*1.5*0.8/22,IF([3]项目总工作量!B$6="渠道类",H234*1.5*0.7/22,FALSE))))</f>
        <v>0.27272727272727271</v>
      </c>
      <c r="J234" s="88" t="s">
        <v>44</v>
      </c>
    </row>
    <row r="235" spans="1:256" s="90" customFormat="1" ht="12">
      <c r="A235" s="138"/>
      <c r="B235" s="127"/>
      <c r="C235" s="127"/>
      <c r="D235" s="85">
        <f t="shared" si="10"/>
        <v>0.27272727272727271</v>
      </c>
      <c r="E235" s="86"/>
      <c r="F235" s="87" t="s">
        <v>205</v>
      </c>
      <c r="G235" s="88" t="s">
        <v>66</v>
      </c>
      <c r="H235" s="89">
        <f t="shared" si="12"/>
        <v>4</v>
      </c>
      <c r="I235" s="88">
        <f>IF([3]项目总工作量!B$6="交易类",H235*1.5/22,IF([3]项目总工作量!B$6="数据分析类",H235*1.5*0.9/22,IF([3]项目总工作量!B$6="流程管理类",H235*1.5*0.8/22,IF([3]项目总工作量!B$6="渠道类",H235*1.5*0.7/22,FALSE))))</f>
        <v>0.27272727272727271</v>
      </c>
      <c r="J235" s="88" t="s">
        <v>44</v>
      </c>
    </row>
    <row r="236" spans="1:256" s="90" customFormat="1" ht="12">
      <c r="A236" s="138"/>
      <c r="B236" s="127"/>
      <c r="C236" s="127"/>
      <c r="D236" s="85">
        <f t="shared" si="10"/>
        <v>0.27272727272727271</v>
      </c>
      <c r="E236" s="86"/>
      <c r="F236" s="87" t="s">
        <v>206</v>
      </c>
      <c r="G236" s="88" t="s">
        <v>66</v>
      </c>
      <c r="H236" s="89">
        <f t="shared" si="12"/>
        <v>4</v>
      </c>
      <c r="I236" s="88">
        <f>IF([3]项目总工作量!B$6="交易类",H236*1.5/22,IF([3]项目总工作量!B$6="数据分析类",H236*1.5*0.9/22,IF([3]项目总工作量!B$6="流程管理类",H236*1.5*0.8/22,IF([3]项目总工作量!B$6="渠道类",H236*1.5*0.7/22,FALSE))))</f>
        <v>0.27272727272727271</v>
      </c>
      <c r="J236" s="88" t="s">
        <v>44</v>
      </c>
    </row>
    <row r="237" spans="1:256" s="90" customFormat="1" ht="12">
      <c r="A237" s="138"/>
      <c r="B237" s="127"/>
      <c r="C237" s="127"/>
      <c r="D237" s="85">
        <f t="shared" si="10"/>
        <v>0.27272727272727271</v>
      </c>
      <c r="E237" s="86"/>
      <c r="F237" s="87" t="s">
        <v>207</v>
      </c>
      <c r="G237" s="88" t="s">
        <v>69</v>
      </c>
      <c r="H237" s="89">
        <f t="shared" si="12"/>
        <v>4</v>
      </c>
      <c r="I237" s="88">
        <f>IF([3]项目总工作量!B$6="交易类",H237*1.5/22,IF([3]项目总工作量!B$6="数据分析类",H237*1.5*0.9/22,IF([3]项目总工作量!B$6="流程管理类",H237*1.5*0.8/22,IF([3]项目总工作量!B$6="渠道类",H237*1.5*0.7/22,FALSE))))</f>
        <v>0.27272727272727271</v>
      </c>
      <c r="J237" s="88" t="s">
        <v>44</v>
      </c>
    </row>
    <row r="238" spans="1:256" s="90" customFormat="1" ht="12">
      <c r="A238" s="138"/>
      <c r="B238" s="127"/>
      <c r="C238" s="127"/>
      <c r="D238" s="85">
        <f t="shared" si="10"/>
        <v>0.27272727272727271</v>
      </c>
      <c r="E238" s="86"/>
      <c r="F238" s="87" t="s">
        <v>207</v>
      </c>
      <c r="G238" s="88" t="s">
        <v>66</v>
      </c>
      <c r="H238" s="89">
        <f t="shared" si="12"/>
        <v>4</v>
      </c>
      <c r="I238" s="88">
        <f>IF([3]项目总工作量!B$6="交易类",H238*1.5/22,IF([3]项目总工作量!B$6="数据分析类",H238*1.5*0.9/22,IF([3]项目总工作量!B$6="流程管理类",H238*1.5*0.8/22,IF([3]项目总工作量!B$6="渠道类",H238*1.5*0.7/22,FALSE))))</f>
        <v>0.27272727272727271</v>
      </c>
      <c r="J238" s="88" t="s">
        <v>44</v>
      </c>
    </row>
    <row r="239" spans="1:256" s="90" customFormat="1" ht="12">
      <c r="A239" s="138">
        <v>5</v>
      </c>
      <c r="B239" s="127" t="s">
        <v>203</v>
      </c>
      <c r="C239" s="127" t="s">
        <v>204</v>
      </c>
      <c r="D239" s="85">
        <f t="shared" si="10"/>
        <v>0.27272727272727271</v>
      </c>
      <c r="E239" s="86"/>
      <c r="F239" s="87" t="s">
        <v>208</v>
      </c>
      <c r="G239" s="88" t="s">
        <v>66</v>
      </c>
      <c r="H239" s="89">
        <f t="shared" si="12"/>
        <v>4</v>
      </c>
      <c r="I239" s="88">
        <f>IF([3]项目总工作量!B$6="交易类",H239*1.5/22,IF([3]项目总工作量!B$6="数据分析类",H239*1.5*0.9/22,IF([3]项目总工作量!B$6="流程管理类",H239*1.5*0.8/22,IF([3]项目总工作量!B$6="渠道类",H239*1.5*0.7/22,FALSE))))</f>
        <v>0.27272727272727271</v>
      </c>
      <c r="J239" s="88" t="s">
        <v>44</v>
      </c>
    </row>
    <row r="240" spans="1:256" s="90" customFormat="1" ht="12">
      <c r="A240" s="138"/>
      <c r="B240" s="127"/>
      <c r="C240" s="127"/>
      <c r="D240" s="85">
        <f t="shared" si="10"/>
        <v>0.27272727272727271</v>
      </c>
      <c r="E240" s="86"/>
      <c r="F240" s="87" t="s">
        <v>209</v>
      </c>
      <c r="G240" s="88" t="s">
        <v>66</v>
      </c>
      <c r="H240" s="89">
        <f t="shared" si="12"/>
        <v>4</v>
      </c>
      <c r="I240" s="88">
        <f>IF([3]项目总工作量!B$6="交易类",H240*1.5/22,IF([3]项目总工作量!B$6="数据分析类",H240*1.5*0.9/22,IF([3]项目总工作量!B$6="流程管理类",H240*1.5*0.8/22,IF([3]项目总工作量!B$6="渠道类",H240*1.5*0.7/22,FALSE))))</f>
        <v>0.27272727272727271</v>
      </c>
      <c r="J240" s="88" t="s">
        <v>44</v>
      </c>
    </row>
    <row r="241" spans="1:10" s="90" customFormat="1" ht="12">
      <c r="A241" s="138"/>
      <c r="B241" s="127"/>
      <c r="C241" s="127"/>
      <c r="D241" s="85">
        <f t="shared" si="10"/>
        <v>0.27272727272727271</v>
      </c>
      <c r="E241" s="86"/>
      <c r="F241" s="87" t="s">
        <v>210</v>
      </c>
      <c r="G241" s="88" t="s">
        <v>66</v>
      </c>
      <c r="H241" s="89">
        <f t="shared" si="12"/>
        <v>4</v>
      </c>
      <c r="I241" s="88">
        <f>IF([3]项目总工作量!B$6="交易类",H241*1.5/22,IF([3]项目总工作量!B$6="数据分析类",H241*1.5*0.9/22,IF([3]项目总工作量!B$6="流程管理类",H241*1.5*0.8/22,IF([3]项目总工作量!B$6="渠道类",H241*1.5*0.7/22,FALSE))))</f>
        <v>0.27272727272727271</v>
      </c>
      <c r="J241" s="88" t="s">
        <v>44</v>
      </c>
    </row>
    <row r="242" spans="1:10" s="90" customFormat="1" ht="12">
      <c r="A242" s="138"/>
      <c r="B242" s="127"/>
      <c r="C242" s="127"/>
      <c r="D242" s="85">
        <f t="shared" si="10"/>
        <v>0.27272727272727271</v>
      </c>
      <c r="E242" s="86"/>
      <c r="F242" s="87" t="s">
        <v>211</v>
      </c>
      <c r="G242" s="88" t="s">
        <v>69</v>
      </c>
      <c r="H242" s="89">
        <f t="shared" si="12"/>
        <v>4</v>
      </c>
      <c r="I242" s="88">
        <f>IF([3]项目总工作量!B$6="交易类",H242*1.5/22,IF([3]项目总工作量!B$6="数据分析类",H242*1.5*0.9/22,IF([3]项目总工作量!B$6="流程管理类",H242*1.5*0.8/22,IF([3]项目总工作量!B$6="渠道类",H242*1.5*0.7/22,FALSE))))</f>
        <v>0.27272727272727271</v>
      </c>
      <c r="J242" s="88" t="s">
        <v>44</v>
      </c>
    </row>
    <row r="243" spans="1:10" s="90" customFormat="1" ht="12">
      <c r="A243" s="138"/>
      <c r="B243" s="127"/>
      <c r="C243" s="127"/>
      <c r="D243" s="85">
        <f t="shared" si="10"/>
        <v>0.27272727272727271</v>
      </c>
      <c r="E243" s="86"/>
      <c r="F243" s="87" t="s">
        <v>212</v>
      </c>
      <c r="G243" s="88" t="s">
        <v>66</v>
      </c>
      <c r="H243" s="89">
        <f t="shared" si="12"/>
        <v>4</v>
      </c>
      <c r="I243" s="88">
        <f>IF([3]项目总工作量!B$6="交易类",H243*1.5/22,IF([3]项目总工作量!B$6="数据分析类",H243*1.5*0.9/22,IF([3]项目总工作量!B$6="流程管理类",H243*1.5*0.8/22,IF([3]项目总工作量!B$6="渠道类",H243*1.5*0.7/22,FALSE))))</f>
        <v>0.27272727272727271</v>
      </c>
      <c r="J243" s="88" t="s">
        <v>44</v>
      </c>
    </row>
    <row r="244" spans="1:10" s="90" customFormat="1" ht="12">
      <c r="A244" s="138"/>
      <c r="B244" s="127"/>
      <c r="C244" s="127"/>
      <c r="D244" s="85">
        <f t="shared" si="10"/>
        <v>0.27272727272727271</v>
      </c>
      <c r="E244" s="86"/>
      <c r="F244" s="87" t="s">
        <v>213</v>
      </c>
      <c r="G244" s="88" t="s">
        <v>66</v>
      </c>
      <c r="H244" s="89">
        <f t="shared" si="12"/>
        <v>4</v>
      </c>
      <c r="I244" s="88">
        <f>IF([3]项目总工作量!B$6="交易类",H244*1.5/22,IF([3]项目总工作量!B$6="数据分析类",H244*1.5*0.9/22,IF([3]项目总工作量!B$6="流程管理类",H244*1.5*0.8/22,IF([3]项目总工作量!B$6="渠道类",H244*1.5*0.7/22,FALSE))))</f>
        <v>0.27272727272727271</v>
      </c>
      <c r="J244" s="88" t="s">
        <v>44</v>
      </c>
    </row>
    <row r="245" spans="1:10" s="90" customFormat="1" ht="12">
      <c r="A245" s="138"/>
      <c r="B245" s="127"/>
      <c r="C245" s="127"/>
      <c r="D245" s="85">
        <f t="shared" si="10"/>
        <v>0.27272727272727271</v>
      </c>
      <c r="E245" s="86"/>
      <c r="F245" s="87" t="s">
        <v>214</v>
      </c>
      <c r="G245" s="88" t="s">
        <v>66</v>
      </c>
      <c r="H245" s="89">
        <f t="shared" si="12"/>
        <v>4</v>
      </c>
      <c r="I245" s="88">
        <f>IF([3]项目总工作量!B$6="交易类",H245*1.5/22,IF([3]项目总工作量!B$6="数据分析类",H245*1.5*0.9/22,IF([3]项目总工作量!B$6="流程管理类",H245*1.5*0.8/22,IF([3]项目总工作量!B$6="渠道类",H245*1.5*0.7/22,FALSE))))</f>
        <v>0.27272727272727271</v>
      </c>
      <c r="J245" s="88" t="s">
        <v>44</v>
      </c>
    </row>
    <row r="246" spans="1:10" s="90" customFormat="1" ht="12">
      <c r="A246" s="138"/>
      <c r="B246" s="127"/>
      <c r="C246" s="127"/>
      <c r="D246" s="85">
        <f t="shared" si="10"/>
        <v>0.27272727272727271</v>
      </c>
      <c r="E246" s="86"/>
      <c r="F246" s="87" t="s">
        <v>215</v>
      </c>
      <c r="G246" s="88" t="s">
        <v>69</v>
      </c>
      <c r="H246" s="89">
        <f t="shared" si="12"/>
        <v>4</v>
      </c>
      <c r="I246" s="88">
        <f>IF([3]项目总工作量!B$6="交易类",H246*1.5/22,IF([3]项目总工作量!B$6="数据分析类",H246*1.5*0.9/22,IF([3]项目总工作量!B$6="流程管理类",H246*1.5*0.8/22,IF([3]项目总工作量!B$6="渠道类",H246*1.5*0.7/22,FALSE))))</f>
        <v>0.27272727272727271</v>
      </c>
      <c r="J246" s="88" t="s">
        <v>44</v>
      </c>
    </row>
    <row r="247" spans="1:10" s="90" customFormat="1" ht="12">
      <c r="A247" s="138">
        <v>6</v>
      </c>
      <c r="B247" s="127" t="s">
        <v>390</v>
      </c>
      <c r="C247" s="127" t="s">
        <v>389</v>
      </c>
      <c r="D247" s="85">
        <f t="shared" si="10"/>
        <v>0.27272727272727271</v>
      </c>
      <c r="E247" s="86"/>
      <c r="F247" s="52" t="s">
        <v>388</v>
      </c>
      <c r="G247" s="88" t="s">
        <v>66</v>
      </c>
      <c r="H247" s="89">
        <f t="shared" si="12"/>
        <v>4</v>
      </c>
      <c r="I247" s="88">
        <f>IF([3]项目总工作量!B$6="交易类",H247*1.5/22,IF([3]项目总工作量!B$6="数据分析类",H247*1.5*0.9/22,IF([3]项目总工作量!B$6="流程管理类",H247*1.5*0.8/22,IF([3]项目总工作量!B$6="渠道类",H247*1.5*0.7/22,FALSE))))</f>
        <v>0.27272727272727271</v>
      </c>
      <c r="J247" s="88" t="s">
        <v>44</v>
      </c>
    </row>
    <row r="248" spans="1:10" s="90" customFormat="1" ht="12">
      <c r="A248" s="138"/>
      <c r="B248" s="127"/>
      <c r="C248" s="127"/>
      <c r="D248" s="85">
        <f t="shared" si="10"/>
        <v>0.27272727272727271</v>
      </c>
      <c r="E248" s="86"/>
      <c r="F248" s="52" t="s">
        <v>387</v>
      </c>
      <c r="G248" s="88" t="s">
        <v>66</v>
      </c>
      <c r="H248" s="89">
        <f t="shared" si="12"/>
        <v>4</v>
      </c>
      <c r="I248" s="88">
        <f>IF([3]项目总工作量!B$6="交易类",H248*1.5/22,IF([3]项目总工作量!B$6="数据分析类",H248*1.5*0.9/22,IF([3]项目总工作量!B$6="流程管理类",H248*1.5*0.8/22,IF([3]项目总工作量!B$6="渠道类",H248*1.5*0.7/22,FALSE))))</f>
        <v>0.27272727272727271</v>
      </c>
      <c r="J248" s="88" t="s">
        <v>44</v>
      </c>
    </row>
    <row r="249" spans="1:10" s="90" customFormat="1" ht="12">
      <c r="A249" s="138"/>
      <c r="B249" s="127"/>
      <c r="C249" s="127"/>
      <c r="D249" s="85">
        <f t="shared" si="10"/>
        <v>0.27272727272727271</v>
      </c>
      <c r="E249" s="86"/>
      <c r="F249" s="52" t="s">
        <v>386</v>
      </c>
      <c r="G249" s="88" t="s">
        <v>66</v>
      </c>
      <c r="H249" s="89">
        <f t="shared" si="12"/>
        <v>4</v>
      </c>
      <c r="I249" s="88">
        <f>IF([3]项目总工作量!B$6="交易类",H249*1.5/22,IF([3]项目总工作量!B$6="数据分析类",H249*1.5*0.9/22,IF([3]项目总工作量!B$6="流程管理类",H249*1.5*0.8/22,IF([3]项目总工作量!B$6="渠道类",H249*1.5*0.7/22,FALSE))))</f>
        <v>0.27272727272727271</v>
      </c>
      <c r="J249" s="88" t="s">
        <v>44</v>
      </c>
    </row>
    <row r="250" spans="1:10" s="90" customFormat="1" ht="12">
      <c r="A250" s="138"/>
      <c r="B250" s="127"/>
      <c r="C250" s="127"/>
      <c r="D250" s="85">
        <f t="shared" si="10"/>
        <v>0.27272727272727271</v>
      </c>
      <c r="E250" s="86"/>
      <c r="F250" s="52" t="s">
        <v>385</v>
      </c>
      <c r="G250" s="88" t="s">
        <v>66</v>
      </c>
      <c r="H250" s="89">
        <f t="shared" si="12"/>
        <v>4</v>
      </c>
      <c r="I250" s="88">
        <f>IF([3]项目总工作量!B$6="交易类",H250*1.5/22,IF([3]项目总工作量!B$6="数据分析类",H250*1.5*0.9/22,IF([3]项目总工作量!B$6="流程管理类",H250*1.5*0.8/22,IF([3]项目总工作量!B$6="渠道类",H250*1.5*0.7/22,FALSE))))</f>
        <v>0.27272727272727271</v>
      </c>
      <c r="J250" s="88" t="s">
        <v>44</v>
      </c>
    </row>
    <row r="251" spans="1:10" s="90" customFormat="1" ht="12">
      <c r="A251" s="138"/>
      <c r="B251" s="127"/>
      <c r="C251" s="127"/>
      <c r="D251" s="85">
        <f t="shared" si="10"/>
        <v>0.27272727272727271</v>
      </c>
      <c r="E251" s="86"/>
      <c r="F251" s="52" t="s">
        <v>384</v>
      </c>
      <c r="G251" s="88" t="s">
        <v>66</v>
      </c>
      <c r="H251" s="89">
        <f t="shared" si="12"/>
        <v>4</v>
      </c>
      <c r="I251" s="88">
        <f>IF([3]项目总工作量!B$6="交易类",H251*1.5/22,IF([3]项目总工作量!B$6="数据分析类",H251*1.5*0.9/22,IF([3]项目总工作量!B$6="流程管理类",H251*1.5*0.8/22,IF([3]项目总工作量!B$6="渠道类",H251*1.5*0.7/22,FALSE))))</f>
        <v>0.27272727272727271</v>
      </c>
      <c r="J251" s="88" t="s">
        <v>44</v>
      </c>
    </row>
    <row r="252" spans="1:10" s="90" customFormat="1" ht="12">
      <c r="A252" s="138"/>
      <c r="B252" s="127"/>
      <c r="C252" s="127"/>
      <c r="D252" s="85">
        <f t="shared" si="10"/>
        <v>0.27272727272727271</v>
      </c>
      <c r="E252" s="86"/>
      <c r="F252" s="52" t="s">
        <v>383</v>
      </c>
      <c r="G252" s="88" t="s">
        <v>66</v>
      </c>
      <c r="H252" s="89">
        <f t="shared" si="12"/>
        <v>4</v>
      </c>
      <c r="I252" s="88">
        <f>IF([3]项目总工作量!B$6="交易类",H252*1.5/22,IF([3]项目总工作量!B$6="数据分析类",H252*1.5*0.9/22,IF([3]项目总工作量!B$6="流程管理类",H252*1.5*0.8/22,IF([3]项目总工作量!B$6="渠道类",H252*1.5*0.7/22,FALSE))))</f>
        <v>0.27272727272727271</v>
      </c>
      <c r="J252" s="88" t="s">
        <v>44</v>
      </c>
    </row>
    <row r="253" spans="1:10" s="90" customFormat="1" ht="12">
      <c r="A253" s="138"/>
      <c r="B253" s="127"/>
      <c r="C253" s="127"/>
      <c r="D253" s="85">
        <f t="shared" si="10"/>
        <v>0.27272727272727271</v>
      </c>
      <c r="E253" s="86"/>
      <c r="F253" s="52" t="s">
        <v>382</v>
      </c>
      <c r="G253" s="88" t="s">
        <v>66</v>
      </c>
      <c r="H253" s="89">
        <f t="shared" si="12"/>
        <v>4</v>
      </c>
      <c r="I253" s="88">
        <f>IF([3]项目总工作量!B$6="交易类",H253*1.5/22,IF([3]项目总工作量!B$6="数据分析类",H253*1.5*0.9/22,IF([3]项目总工作量!B$6="流程管理类",H253*1.5*0.8/22,IF([3]项目总工作量!B$6="渠道类",H253*1.5*0.7/22,FALSE))))</f>
        <v>0.27272727272727271</v>
      </c>
      <c r="J253" s="88" t="s">
        <v>44</v>
      </c>
    </row>
    <row r="254" spans="1:10" s="90" customFormat="1" ht="12">
      <c r="A254" s="138"/>
      <c r="B254" s="127"/>
      <c r="C254" s="127"/>
      <c r="D254" s="85">
        <f t="shared" si="10"/>
        <v>0.27272727272727271</v>
      </c>
      <c r="E254" s="86"/>
      <c r="F254" s="52" t="s">
        <v>381</v>
      </c>
      <c r="G254" s="88" t="s">
        <v>66</v>
      </c>
      <c r="H254" s="89">
        <f t="shared" si="12"/>
        <v>4</v>
      </c>
      <c r="I254" s="88">
        <f>IF([3]项目总工作量!B$6="交易类",H254*1.5/22,IF([3]项目总工作量!B$6="数据分析类",H254*1.5*0.9/22,IF([3]项目总工作量!B$6="流程管理类",H254*1.5*0.8/22,IF([3]项目总工作量!B$6="渠道类",H254*1.5*0.7/22,FALSE))))</f>
        <v>0.27272727272727271</v>
      </c>
      <c r="J254" s="88" t="s">
        <v>44</v>
      </c>
    </row>
    <row r="255" spans="1:10" s="90" customFormat="1" ht="12">
      <c r="A255" s="138"/>
      <c r="B255" s="127"/>
      <c r="C255" s="127"/>
      <c r="D255" s="85">
        <f t="shared" ref="D255:D318" si="13">I255</f>
        <v>0.27272727272727271</v>
      </c>
      <c r="E255" s="86"/>
      <c r="F255" s="52" t="s">
        <v>380</v>
      </c>
      <c r="G255" s="88" t="s">
        <v>66</v>
      </c>
      <c r="H255" s="89">
        <f t="shared" si="12"/>
        <v>4</v>
      </c>
      <c r="I255" s="88">
        <f>IF([3]项目总工作量!B$6="交易类",H255*1.5/22,IF([3]项目总工作量!B$6="数据分析类",H255*1.5*0.9/22,IF([3]项目总工作量!B$6="流程管理类",H255*1.5*0.8/22,IF([3]项目总工作量!B$6="渠道类",H255*1.5*0.7/22,FALSE))))</f>
        <v>0.27272727272727271</v>
      </c>
      <c r="J255" s="88" t="s">
        <v>44</v>
      </c>
    </row>
    <row r="256" spans="1:10" s="90" customFormat="1" ht="12">
      <c r="A256" s="138"/>
      <c r="B256" s="127"/>
      <c r="C256" s="127"/>
      <c r="D256" s="85">
        <f t="shared" si="13"/>
        <v>0.27272727272727271</v>
      </c>
      <c r="E256" s="86"/>
      <c r="F256" s="52" t="s">
        <v>379</v>
      </c>
      <c r="G256" s="88" t="s">
        <v>66</v>
      </c>
      <c r="H256" s="89">
        <f t="shared" si="12"/>
        <v>4</v>
      </c>
      <c r="I256" s="88">
        <f>IF([3]项目总工作量!B$6="交易类",H256*1.5/22,IF([3]项目总工作量!B$6="数据分析类",H256*1.5*0.9/22,IF([3]项目总工作量!B$6="流程管理类",H256*1.5*0.8/22,IF([3]项目总工作量!B$6="渠道类",H256*1.5*0.7/22,FALSE))))</f>
        <v>0.27272727272727271</v>
      </c>
      <c r="J256" s="88" t="s">
        <v>44</v>
      </c>
    </row>
    <row r="257" spans="1:10" s="90" customFormat="1" ht="12">
      <c r="A257" s="138"/>
      <c r="B257" s="127"/>
      <c r="C257" s="127"/>
      <c r="D257" s="85">
        <f t="shared" si="13"/>
        <v>0.27272727272727271</v>
      </c>
      <c r="E257" s="86"/>
      <c r="F257" s="52" t="s">
        <v>378</v>
      </c>
      <c r="G257" s="88" t="s">
        <v>66</v>
      </c>
      <c r="H257" s="89">
        <f t="shared" si="12"/>
        <v>4</v>
      </c>
      <c r="I257" s="88">
        <f>IF([3]项目总工作量!B$6="交易类",H257*1.5/22,IF([3]项目总工作量!B$6="数据分析类",H257*1.5*0.9/22,IF([3]项目总工作量!B$6="流程管理类",H257*1.5*0.8/22,IF([3]项目总工作量!B$6="渠道类",H257*1.5*0.7/22,FALSE))))</f>
        <v>0.27272727272727271</v>
      </c>
      <c r="J257" s="88" t="s">
        <v>44</v>
      </c>
    </row>
    <row r="258" spans="1:10" s="90" customFormat="1" ht="12">
      <c r="A258" s="138"/>
      <c r="B258" s="127"/>
      <c r="C258" s="127"/>
      <c r="D258" s="85">
        <f t="shared" si="13"/>
        <v>0.27272727272727271</v>
      </c>
      <c r="E258" s="86"/>
      <c r="F258" s="52" t="s">
        <v>377</v>
      </c>
      <c r="G258" s="88" t="s">
        <v>66</v>
      </c>
      <c r="H258" s="89">
        <f t="shared" si="12"/>
        <v>4</v>
      </c>
      <c r="I258" s="88">
        <f>IF([3]项目总工作量!B$6="交易类",H258*1.5/22,IF([3]项目总工作量!B$6="数据分析类",H258*1.5*0.9/22,IF([3]项目总工作量!B$6="流程管理类",H258*1.5*0.8/22,IF([3]项目总工作量!B$6="渠道类",H258*1.5*0.7/22,FALSE))))</f>
        <v>0.27272727272727271</v>
      </c>
      <c r="J258" s="88" t="s">
        <v>44</v>
      </c>
    </row>
    <row r="259" spans="1:10" s="90" customFormat="1" ht="12">
      <c r="A259" s="138"/>
      <c r="B259" s="127"/>
      <c r="C259" s="127"/>
      <c r="D259" s="85">
        <f t="shared" si="13"/>
        <v>0.27272727272727271</v>
      </c>
      <c r="E259" s="86"/>
      <c r="F259" s="52" t="s">
        <v>376</v>
      </c>
      <c r="G259" s="88" t="s">
        <v>66</v>
      </c>
      <c r="H259" s="89">
        <f t="shared" si="12"/>
        <v>4</v>
      </c>
      <c r="I259" s="88">
        <f>IF([3]项目总工作量!B$6="交易类",H259*1.5/22,IF([3]项目总工作量!B$6="数据分析类",H259*1.5*0.9/22,IF([3]项目总工作量!B$6="流程管理类",H259*1.5*0.8/22,IF([3]项目总工作量!B$6="渠道类",H259*1.5*0.7/22,FALSE))))</f>
        <v>0.27272727272727271</v>
      </c>
      <c r="J259" s="88" t="s">
        <v>44</v>
      </c>
    </row>
    <row r="260" spans="1:10" s="90" customFormat="1" ht="12">
      <c r="A260" s="138"/>
      <c r="B260" s="127"/>
      <c r="C260" s="127"/>
      <c r="D260" s="85">
        <f t="shared" si="13"/>
        <v>0.27272727272727271</v>
      </c>
      <c r="E260" s="86"/>
      <c r="F260" s="52" t="s">
        <v>375</v>
      </c>
      <c r="G260" s="88" t="s">
        <v>66</v>
      </c>
      <c r="H260" s="89">
        <f t="shared" si="12"/>
        <v>4</v>
      </c>
      <c r="I260" s="88">
        <f>IF([3]项目总工作量!B$6="交易类",H260*1.5/22,IF([3]项目总工作量!B$6="数据分析类",H260*1.5*0.9/22,IF([3]项目总工作量!B$6="流程管理类",H260*1.5*0.8/22,IF([3]项目总工作量!B$6="渠道类",H260*1.5*0.7/22,FALSE))))</f>
        <v>0.27272727272727271</v>
      </c>
      <c r="J260" s="88" t="s">
        <v>44</v>
      </c>
    </row>
    <row r="261" spans="1:10" s="90" customFormat="1" ht="12">
      <c r="A261" s="138"/>
      <c r="B261" s="127"/>
      <c r="C261" s="127"/>
      <c r="D261" s="85">
        <f t="shared" si="13"/>
        <v>0.27272727272727271</v>
      </c>
      <c r="E261" s="86"/>
      <c r="F261" s="52" t="s">
        <v>374</v>
      </c>
      <c r="G261" s="88" t="s">
        <v>66</v>
      </c>
      <c r="H261" s="89">
        <f t="shared" si="12"/>
        <v>4</v>
      </c>
      <c r="I261" s="88">
        <f>IF([3]项目总工作量!B$6="交易类",H261*1.5/22,IF([3]项目总工作量!B$6="数据分析类",H261*1.5*0.9/22,IF([3]项目总工作量!B$6="流程管理类",H261*1.5*0.8/22,IF([3]项目总工作量!B$6="渠道类",H261*1.5*0.7/22,FALSE))))</f>
        <v>0.27272727272727271</v>
      </c>
      <c r="J261" s="88" t="s">
        <v>44</v>
      </c>
    </row>
    <row r="262" spans="1:10" s="90" customFormat="1" ht="12">
      <c r="A262" s="138"/>
      <c r="B262" s="127"/>
      <c r="C262" s="127"/>
      <c r="D262" s="85">
        <f t="shared" si="13"/>
        <v>0.27272727272727271</v>
      </c>
      <c r="E262" s="86"/>
      <c r="F262" s="52" t="s">
        <v>373</v>
      </c>
      <c r="G262" s="88" t="s">
        <v>66</v>
      </c>
      <c r="H262" s="89">
        <f t="shared" si="12"/>
        <v>4</v>
      </c>
      <c r="I262" s="88">
        <f>IF([3]项目总工作量!B$6="交易类",H262*1.5/22,IF([3]项目总工作量!B$6="数据分析类",H262*1.5*0.9/22,IF([3]项目总工作量!B$6="流程管理类",H262*1.5*0.8/22,IF([3]项目总工作量!B$6="渠道类",H262*1.5*0.7/22,FALSE))))</f>
        <v>0.27272727272727271</v>
      </c>
      <c r="J262" s="88" t="s">
        <v>44</v>
      </c>
    </row>
    <row r="263" spans="1:10" s="90" customFormat="1" ht="12">
      <c r="A263" s="138"/>
      <c r="B263" s="127"/>
      <c r="C263" s="127"/>
      <c r="D263" s="85">
        <f t="shared" si="13"/>
        <v>0.27272727272727271</v>
      </c>
      <c r="E263" s="86"/>
      <c r="F263" s="52" t="s">
        <v>372</v>
      </c>
      <c r="G263" s="88" t="s">
        <v>66</v>
      </c>
      <c r="H263" s="89">
        <f t="shared" si="12"/>
        <v>4</v>
      </c>
      <c r="I263" s="88">
        <f>IF([3]项目总工作量!B$6="交易类",H263*1.5/22,IF([3]项目总工作量!B$6="数据分析类",H263*1.5*0.9/22,IF([3]项目总工作量!B$6="流程管理类",H263*1.5*0.8/22,IF([3]项目总工作量!B$6="渠道类",H263*1.5*0.7/22,FALSE))))</f>
        <v>0.27272727272727271</v>
      </c>
      <c r="J263" s="88" t="s">
        <v>44</v>
      </c>
    </row>
    <row r="264" spans="1:10" s="90" customFormat="1" ht="12">
      <c r="A264" s="138"/>
      <c r="B264" s="127"/>
      <c r="C264" s="127"/>
      <c r="D264" s="85">
        <f t="shared" si="13"/>
        <v>0.27272727272727271</v>
      </c>
      <c r="E264" s="86"/>
      <c r="F264" s="52" t="s">
        <v>371</v>
      </c>
      <c r="G264" s="88" t="s">
        <v>66</v>
      </c>
      <c r="H264" s="89">
        <f t="shared" si="12"/>
        <v>4</v>
      </c>
      <c r="I264" s="88">
        <f>IF([3]项目总工作量!B$6="交易类",H264*1.5/22,IF([3]项目总工作量!B$6="数据分析类",H264*1.5*0.9/22,IF([3]项目总工作量!B$6="流程管理类",H264*1.5*0.8/22,IF([3]项目总工作量!B$6="渠道类",H264*1.5*0.7/22,FALSE))))</f>
        <v>0.27272727272727271</v>
      </c>
      <c r="J264" s="88" t="s">
        <v>44</v>
      </c>
    </row>
    <row r="265" spans="1:10" s="90" customFormat="1" ht="12">
      <c r="A265" s="138"/>
      <c r="B265" s="127"/>
      <c r="C265" s="127"/>
      <c r="D265" s="85">
        <f t="shared" si="13"/>
        <v>0.27272727272727271</v>
      </c>
      <c r="E265" s="86"/>
      <c r="F265" s="52" t="s">
        <v>370</v>
      </c>
      <c r="G265" s="88" t="s">
        <v>66</v>
      </c>
      <c r="H265" s="89">
        <f t="shared" si="12"/>
        <v>4</v>
      </c>
      <c r="I265" s="88">
        <f>IF([3]项目总工作量!B$6="交易类",H265*1.5/22,IF([3]项目总工作量!B$6="数据分析类",H265*1.5*0.9/22,IF([3]项目总工作量!B$6="流程管理类",H265*1.5*0.8/22,IF([3]项目总工作量!B$6="渠道类",H265*1.5*0.7/22,FALSE))))</f>
        <v>0.27272727272727271</v>
      </c>
      <c r="J265" s="88" t="s">
        <v>44</v>
      </c>
    </row>
    <row r="266" spans="1:10" s="90" customFormat="1" ht="12">
      <c r="A266" s="138"/>
      <c r="B266" s="127"/>
      <c r="C266" s="127"/>
      <c r="D266" s="85">
        <f t="shared" si="13"/>
        <v>0.27272727272727271</v>
      </c>
      <c r="E266" s="86"/>
      <c r="F266" s="52" t="s">
        <v>369</v>
      </c>
      <c r="G266" s="88" t="s">
        <v>66</v>
      </c>
      <c r="H266" s="89">
        <f t="shared" ref="H266:H297" si="14">IF(G266="EI",4,IF(G266="EO",5,IF(G266="EQ",4,0)))</f>
        <v>4</v>
      </c>
      <c r="I266" s="88">
        <f>IF([3]项目总工作量!B$6="交易类",H266*1.5/22,IF([3]项目总工作量!B$6="数据分析类",H266*1.5*0.9/22,IF([3]项目总工作量!B$6="流程管理类",H266*1.5*0.8/22,IF([3]项目总工作量!B$6="渠道类",H266*1.5*0.7/22,FALSE))))</f>
        <v>0.27272727272727271</v>
      </c>
      <c r="J266" s="88" t="s">
        <v>44</v>
      </c>
    </row>
    <row r="267" spans="1:10" s="90" customFormat="1" ht="12">
      <c r="A267" s="138"/>
      <c r="B267" s="127"/>
      <c r="C267" s="127"/>
      <c r="D267" s="85">
        <f t="shared" si="13"/>
        <v>0.27272727272727271</v>
      </c>
      <c r="E267" s="86"/>
      <c r="F267" s="52" t="s">
        <v>368</v>
      </c>
      <c r="G267" s="88" t="s">
        <v>66</v>
      </c>
      <c r="H267" s="89">
        <f t="shared" si="14"/>
        <v>4</v>
      </c>
      <c r="I267" s="88">
        <f>IF([3]项目总工作量!B$6="交易类",H267*1.5/22,IF([3]项目总工作量!B$6="数据分析类",H267*1.5*0.9/22,IF([3]项目总工作量!B$6="流程管理类",H267*1.5*0.8/22,IF([3]项目总工作量!B$6="渠道类",H267*1.5*0.7/22,FALSE))))</f>
        <v>0.27272727272727271</v>
      </c>
      <c r="J267" s="88" t="s">
        <v>44</v>
      </c>
    </row>
    <row r="268" spans="1:10" s="90" customFormat="1" ht="12">
      <c r="A268" s="138"/>
      <c r="B268" s="127"/>
      <c r="C268" s="127"/>
      <c r="D268" s="85">
        <f t="shared" si="13"/>
        <v>0.27272727272727271</v>
      </c>
      <c r="E268" s="86"/>
      <c r="F268" s="52" t="s">
        <v>367</v>
      </c>
      <c r="G268" s="88" t="s">
        <v>66</v>
      </c>
      <c r="H268" s="89">
        <f t="shared" si="14"/>
        <v>4</v>
      </c>
      <c r="I268" s="88">
        <f>IF([3]项目总工作量!B$6="交易类",H268*1.5/22,IF([3]项目总工作量!B$6="数据分析类",H268*1.5*0.9/22,IF([3]项目总工作量!B$6="流程管理类",H268*1.5*0.8/22,IF([3]项目总工作量!B$6="渠道类",H268*1.5*0.7/22,FALSE))))</f>
        <v>0.27272727272727271</v>
      </c>
      <c r="J268" s="88" t="s">
        <v>44</v>
      </c>
    </row>
    <row r="269" spans="1:10" s="90" customFormat="1" ht="12">
      <c r="A269" s="138"/>
      <c r="B269" s="127"/>
      <c r="C269" s="127"/>
      <c r="D269" s="85">
        <f t="shared" si="13"/>
        <v>0.27272727272727271</v>
      </c>
      <c r="E269" s="86"/>
      <c r="F269" s="52" t="s">
        <v>366</v>
      </c>
      <c r="G269" s="88" t="s">
        <v>66</v>
      </c>
      <c r="H269" s="89">
        <f t="shared" si="14"/>
        <v>4</v>
      </c>
      <c r="I269" s="88">
        <f>IF([3]项目总工作量!B$6="交易类",H269*1.5/22,IF([3]项目总工作量!B$6="数据分析类",H269*1.5*0.9/22,IF([3]项目总工作量!B$6="流程管理类",H269*1.5*0.8/22,IF([3]项目总工作量!B$6="渠道类",H269*1.5*0.7/22,FALSE))))</f>
        <v>0.27272727272727271</v>
      </c>
      <c r="J269" s="88" t="s">
        <v>44</v>
      </c>
    </row>
    <row r="270" spans="1:10" s="90" customFormat="1" ht="12">
      <c r="A270" s="138"/>
      <c r="B270" s="127"/>
      <c r="C270" s="127"/>
      <c r="D270" s="85">
        <f t="shared" si="13"/>
        <v>0.27272727272727271</v>
      </c>
      <c r="E270" s="86"/>
      <c r="F270" s="52" t="s">
        <v>365</v>
      </c>
      <c r="G270" s="88" t="s">
        <v>66</v>
      </c>
      <c r="H270" s="89">
        <f t="shared" si="14"/>
        <v>4</v>
      </c>
      <c r="I270" s="88">
        <f>IF([3]项目总工作量!B$6="交易类",H270*1.5/22,IF([3]项目总工作量!B$6="数据分析类",H270*1.5*0.9/22,IF([3]项目总工作量!B$6="流程管理类",H270*1.5*0.8/22,IF([3]项目总工作量!B$6="渠道类",H270*1.5*0.7/22,FALSE))))</f>
        <v>0.27272727272727271</v>
      </c>
      <c r="J270" s="88" t="s">
        <v>44</v>
      </c>
    </row>
    <row r="271" spans="1:10" s="90" customFormat="1" ht="12">
      <c r="A271" s="138"/>
      <c r="B271" s="127"/>
      <c r="C271" s="127"/>
      <c r="D271" s="85">
        <f t="shared" si="13"/>
        <v>0.27272727272727271</v>
      </c>
      <c r="E271" s="86"/>
      <c r="F271" s="52" t="s">
        <v>364</v>
      </c>
      <c r="G271" s="88" t="s">
        <v>66</v>
      </c>
      <c r="H271" s="89">
        <f t="shared" si="14"/>
        <v>4</v>
      </c>
      <c r="I271" s="88">
        <f>IF([3]项目总工作量!B$6="交易类",H271*1.5/22,IF([3]项目总工作量!B$6="数据分析类",H271*1.5*0.9/22,IF([3]项目总工作量!B$6="流程管理类",H271*1.5*0.8/22,IF([3]项目总工作量!B$6="渠道类",H271*1.5*0.7/22,FALSE))))</f>
        <v>0.27272727272727271</v>
      </c>
      <c r="J271" s="88" t="s">
        <v>44</v>
      </c>
    </row>
    <row r="272" spans="1:10" s="90" customFormat="1" ht="12">
      <c r="A272" s="138"/>
      <c r="B272" s="127"/>
      <c r="C272" s="127"/>
      <c r="D272" s="85">
        <f t="shared" si="13"/>
        <v>0.27272727272727271</v>
      </c>
      <c r="E272" s="86"/>
      <c r="F272" s="52" t="s">
        <v>363</v>
      </c>
      <c r="G272" s="88" t="s">
        <v>66</v>
      </c>
      <c r="H272" s="89">
        <f t="shared" si="14"/>
        <v>4</v>
      </c>
      <c r="I272" s="88">
        <f>IF([3]项目总工作量!B$6="交易类",H272*1.5/22,IF([3]项目总工作量!B$6="数据分析类",H272*1.5*0.9/22,IF([3]项目总工作量!B$6="流程管理类",H272*1.5*0.8/22,IF([3]项目总工作量!B$6="渠道类",H272*1.5*0.7/22,FALSE))))</f>
        <v>0.27272727272727271</v>
      </c>
      <c r="J272" s="88" t="s">
        <v>44</v>
      </c>
    </row>
    <row r="273" spans="1:10" s="90" customFormat="1" ht="12">
      <c r="A273" s="138"/>
      <c r="B273" s="127"/>
      <c r="C273" s="127"/>
      <c r="D273" s="85">
        <f t="shared" si="13"/>
        <v>0.27272727272727271</v>
      </c>
      <c r="E273" s="86"/>
      <c r="F273" s="52" t="s">
        <v>362</v>
      </c>
      <c r="G273" s="88" t="s">
        <v>66</v>
      </c>
      <c r="H273" s="89">
        <f t="shared" si="14"/>
        <v>4</v>
      </c>
      <c r="I273" s="88">
        <f>IF([3]项目总工作量!B$6="交易类",H273*1.5/22,IF([3]项目总工作量!B$6="数据分析类",H273*1.5*0.9/22,IF([3]项目总工作量!B$6="流程管理类",H273*1.5*0.8/22,IF([3]项目总工作量!B$6="渠道类",H273*1.5*0.7/22,FALSE))))</f>
        <v>0.27272727272727271</v>
      </c>
      <c r="J273" s="88" t="s">
        <v>44</v>
      </c>
    </row>
    <row r="274" spans="1:10" s="90" customFormat="1" ht="12">
      <c r="A274" s="138"/>
      <c r="B274" s="127"/>
      <c r="C274" s="127"/>
      <c r="D274" s="85">
        <f t="shared" si="13"/>
        <v>0.27272727272727271</v>
      </c>
      <c r="E274" s="86"/>
      <c r="F274" s="52" t="s">
        <v>361</v>
      </c>
      <c r="G274" s="88" t="s">
        <v>66</v>
      </c>
      <c r="H274" s="89">
        <f t="shared" si="14"/>
        <v>4</v>
      </c>
      <c r="I274" s="88">
        <f>IF([3]项目总工作量!B$6="交易类",H274*1.5/22,IF([3]项目总工作量!B$6="数据分析类",H274*1.5*0.9/22,IF([3]项目总工作量!B$6="流程管理类",H274*1.5*0.8/22,IF([3]项目总工作量!B$6="渠道类",H274*1.5*0.7/22,FALSE))))</f>
        <v>0.27272727272727271</v>
      </c>
      <c r="J274" s="88" t="s">
        <v>44</v>
      </c>
    </row>
    <row r="275" spans="1:10" s="90" customFormat="1" ht="12">
      <c r="A275" s="138"/>
      <c r="B275" s="127"/>
      <c r="C275" s="127"/>
      <c r="D275" s="85">
        <f t="shared" si="13"/>
        <v>0.27272727272727271</v>
      </c>
      <c r="E275" s="86"/>
      <c r="F275" s="52" t="s">
        <v>360</v>
      </c>
      <c r="G275" s="88" t="s">
        <v>66</v>
      </c>
      <c r="H275" s="89">
        <f t="shared" si="14"/>
        <v>4</v>
      </c>
      <c r="I275" s="88">
        <f>IF([3]项目总工作量!B$6="交易类",H275*1.5/22,IF([3]项目总工作量!B$6="数据分析类",H275*1.5*0.9/22,IF([3]项目总工作量!B$6="流程管理类",H275*1.5*0.8/22,IF([3]项目总工作量!B$6="渠道类",H275*1.5*0.7/22,FALSE))))</f>
        <v>0.27272727272727271</v>
      </c>
      <c r="J275" s="88" t="s">
        <v>44</v>
      </c>
    </row>
    <row r="276" spans="1:10" s="90" customFormat="1" ht="12">
      <c r="A276" s="138"/>
      <c r="B276" s="127"/>
      <c r="C276" s="127"/>
      <c r="D276" s="85">
        <f t="shared" si="13"/>
        <v>0.27272727272727271</v>
      </c>
      <c r="E276" s="86"/>
      <c r="F276" s="52" t="s">
        <v>359</v>
      </c>
      <c r="G276" s="88" t="s">
        <v>66</v>
      </c>
      <c r="H276" s="89">
        <f t="shared" si="14"/>
        <v>4</v>
      </c>
      <c r="I276" s="88">
        <f>IF([3]项目总工作量!B$6="交易类",H276*1.5/22,IF([3]项目总工作量!B$6="数据分析类",H276*1.5*0.9/22,IF([3]项目总工作量!B$6="流程管理类",H276*1.5*0.8/22,IF([3]项目总工作量!B$6="渠道类",H276*1.5*0.7/22,FALSE))))</f>
        <v>0.27272727272727271</v>
      </c>
      <c r="J276" s="88" t="s">
        <v>44</v>
      </c>
    </row>
    <row r="277" spans="1:10" s="90" customFormat="1" ht="12">
      <c r="A277" s="138"/>
      <c r="B277" s="127"/>
      <c r="C277" s="127"/>
      <c r="D277" s="85">
        <f t="shared" si="13"/>
        <v>0.27272727272727271</v>
      </c>
      <c r="E277" s="86"/>
      <c r="F277" s="52" t="s">
        <v>358</v>
      </c>
      <c r="G277" s="88" t="s">
        <v>66</v>
      </c>
      <c r="H277" s="89">
        <f t="shared" si="14"/>
        <v>4</v>
      </c>
      <c r="I277" s="88">
        <f>IF([3]项目总工作量!B$6="交易类",H277*1.5/22,IF([3]项目总工作量!B$6="数据分析类",H277*1.5*0.9/22,IF([3]项目总工作量!B$6="流程管理类",H277*1.5*0.8/22,IF([3]项目总工作量!B$6="渠道类",H277*1.5*0.7/22,FALSE))))</f>
        <v>0.27272727272727271</v>
      </c>
      <c r="J277" s="88" t="s">
        <v>44</v>
      </c>
    </row>
    <row r="278" spans="1:10" s="90" customFormat="1" ht="12">
      <c r="A278" s="138"/>
      <c r="B278" s="127"/>
      <c r="C278" s="127"/>
      <c r="D278" s="85">
        <f t="shared" si="13"/>
        <v>0.27272727272727271</v>
      </c>
      <c r="E278" s="86"/>
      <c r="F278" s="52" t="s">
        <v>357</v>
      </c>
      <c r="G278" s="88" t="s">
        <v>66</v>
      </c>
      <c r="H278" s="89">
        <f t="shared" si="14"/>
        <v>4</v>
      </c>
      <c r="I278" s="88">
        <f>IF([3]项目总工作量!B$6="交易类",H278*1.5/22,IF([3]项目总工作量!B$6="数据分析类",H278*1.5*0.9/22,IF([3]项目总工作量!B$6="流程管理类",H278*1.5*0.8/22,IF([3]项目总工作量!B$6="渠道类",H278*1.5*0.7/22,FALSE))))</f>
        <v>0.27272727272727271</v>
      </c>
      <c r="J278" s="88" t="s">
        <v>44</v>
      </c>
    </row>
    <row r="279" spans="1:10" s="90" customFormat="1" ht="12">
      <c r="A279" s="138"/>
      <c r="B279" s="127"/>
      <c r="C279" s="127"/>
      <c r="D279" s="85">
        <f t="shared" si="13"/>
        <v>0.27272727272727271</v>
      </c>
      <c r="E279" s="86"/>
      <c r="F279" s="52" t="s">
        <v>356</v>
      </c>
      <c r="G279" s="88" t="s">
        <v>66</v>
      </c>
      <c r="H279" s="89">
        <f t="shared" si="14"/>
        <v>4</v>
      </c>
      <c r="I279" s="88">
        <f>IF([3]项目总工作量!B$6="交易类",H279*1.5/22,IF([3]项目总工作量!B$6="数据分析类",H279*1.5*0.9/22,IF([3]项目总工作量!B$6="流程管理类",H279*1.5*0.8/22,IF([3]项目总工作量!B$6="渠道类",H279*1.5*0.7/22,FALSE))))</f>
        <v>0.27272727272727271</v>
      </c>
      <c r="J279" s="88" t="s">
        <v>44</v>
      </c>
    </row>
    <row r="280" spans="1:10" s="90" customFormat="1" ht="12">
      <c r="A280" s="138"/>
      <c r="B280" s="127"/>
      <c r="C280" s="127"/>
      <c r="D280" s="85">
        <f t="shared" si="13"/>
        <v>0.27272727272727271</v>
      </c>
      <c r="E280" s="86"/>
      <c r="F280" s="52" t="s">
        <v>355</v>
      </c>
      <c r="G280" s="88" t="s">
        <v>66</v>
      </c>
      <c r="H280" s="89">
        <f t="shared" si="14"/>
        <v>4</v>
      </c>
      <c r="I280" s="88">
        <f>IF([3]项目总工作量!B$6="交易类",H280*1.5/22,IF([3]项目总工作量!B$6="数据分析类",H280*1.5*0.9/22,IF([3]项目总工作量!B$6="流程管理类",H280*1.5*0.8/22,IF([3]项目总工作量!B$6="渠道类",H280*1.5*0.7/22,FALSE))))</f>
        <v>0.27272727272727271</v>
      </c>
      <c r="J280" s="88" t="s">
        <v>44</v>
      </c>
    </row>
    <row r="281" spans="1:10" s="90" customFormat="1" ht="12">
      <c r="A281" s="138"/>
      <c r="B281" s="127"/>
      <c r="C281" s="127"/>
      <c r="D281" s="85">
        <f t="shared" si="13"/>
        <v>0.27272727272727271</v>
      </c>
      <c r="E281" s="86"/>
      <c r="F281" s="52" t="s">
        <v>354</v>
      </c>
      <c r="G281" s="88" t="s">
        <v>66</v>
      </c>
      <c r="H281" s="89">
        <f t="shared" si="14"/>
        <v>4</v>
      </c>
      <c r="I281" s="88">
        <f>IF([3]项目总工作量!B$6="交易类",H281*1.5/22,IF([3]项目总工作量!B$6="数据分析类",H281*1.5*0.9/22,IF([3]项目总工作量!B$6="流程管理类",H281*1.5*0.8/22,IF([3]项目总工作量!B$6="渠道类",H281*1.5*0.7/22,FALSE))))</f>
        <v>0.27272727272727271</v>
      </c>
      <c r="J281" s="88" t="s">
        <v>44</v>
      </c>
    </row>
    <row r="282" spans="1:10" s="90" customFormat="1" ht="12">
      <c r="A282" s="138"/>
      <c r="B282" s="127"/>
      <c r="C282" s="127"/>
      <c r="D282" s="85">
        <f t="shared" si="13"/>
        <v>0.27272727272727271</v>
      </c>
      <c r="E282" s="86"/>
      <c r="F282" s="52" t="s">
        <v>353</v>
      </c>
      <c r="G282" s="88" t="s">
        <v>66</v>
      </c>
      <c r="H282" s="89">
        <f t="shared" si="14"/>
        <v>4</v>
      </c>
      <c r="I282" s="88">
        <f>IF([3]项目总工作量!B$6="交易类",H282*1.5/22,IF([3]项目总工作量!B$6="数据分析类",H282*1.5*0.9/22,IF([3]项目总工作量!B$6="流程管理类",H282*1.5*0.8/22,IF([3]项目总工作量!B$6="渠道类",H282*1.5*0.7/22,FALSE))))</f>
        <v>0.27272727272727271</v>
      </c>
      <c r="J282" s="88" t="s">
        <v>44</v>
      </c>
    </row>
    <row r="283" spans="1:10" s="90" customFormat="1" ht="12">
      <c r="A283" s="138"/>
      <c r="B283" s="127"/>
      <c r="C283" s="127"/>
      <c r="D283" s="85">
        <f t="shared" si="13"/>
        <v>0.27272727272727271</v>
      </c>
      <c r="E283" s="86"/>
      <c r="F283" s="52" t="s">
        <v>352</v>
      </c>
      <c r="G283" s="88" t="s">
        <v>66</v>
      </c>
      <c r="H283" s="89">
        <f t="shared" si="14"/>
        <v>4</v>
      </c>
      <c r="I283" s="88">
        <f>IF([3]项目总工作量!B$6="交易类",H283*1.5/22,IF([3]项目总工作量!B$6="数据分析类",H283*1.5*0.9/22,IF([3]项目总工作量!B$6="流程管理类",H283*1.5*0.8/22,IF([3]项目总工作量!B$6="渠道类",H283*1.5*0.7/22,FALSE))))</f>
        <v>0.27272727272727271</v>
      </c>
      <c r="J283" s="88" t="s">
        <v>44</v>
      </c>
    </row>
    <row r="284" spans="1:10" s="90" customFormat="1" ht="12">
      <c r="A284" s="138"/>
      <c r="B284" s="127"/>
      <c r="C284" s="127"/>
      <c r="D284" s="85">
        <f t="shared" si="13"/>
        <v>0.27272727272727271</v>
      </c>
      <c r="E284" s="86"/>
      <c r="F284" s="52" t="s">
        <v>351</v>
      </c>
      <c r="G284" s="88" t="s">
        <v>66</v>
      </c>
      <c r="H284" s="89">
        <f t="shared" si="14"/>
        <v>4</v>
      </c>
      <c r="I284" s="88">
        <f>IF([3]项目总工作量!B$6="交易类",H284*1.5/22,IF([3]项目总工作量!B$6="数据分析类",H284*1.5*0.9/22,IF([3]项目总工作量!B$6="流程管理类",H284*1.5*0.8/22,IF([3]项目总工作量!B$6="渠道类",H284*1.5*0.7/22,FALSE))))</f>
        <v>0.27272727272727271</v>
      </c>
      <c r="J284" s="88" t="s">
        <v>44</v>
      </c>
    </row>
    <row r="285" spans="1:10" s="90" customFormat="1" ht="12">
      <c r="A285" s="138"/>
      <c r="B285" s="127"/>
      <c r="C285" s="127"/>
      <c r="D285" s="85">
        <f t="shared" si="13"/>
        <v>0.27272727272727271</v>
      </c>
      <c r="E285" s="86"/>
      <c r="F285" s="52" t="s">
        <v>350</v>
      </c>
      <c r="G285" s="88" t="s">
        <v>66</v>
      </c>
      <c r="H285" s="89">
        <f t="shared" si="14"/>
        <v>4</v>
      </c>
      <c r="I285" s="88">
        <f>IF([3]项目总工作量!B$6="交易类",H285*1.5/22,IF([3]项目总工作量!B$6="数据分析类",H285*1.5*0.9/22,IF([3]项目总工作量!B$6="流程管理类",H285*1.5*0.8/22,IF([3]项目总工作量!B$6="渠道类",H285*1.5*0.7/22,FALSE))))</f>
        <v>0.27272727272727271</v>
      </c>
      <c r="J285" s="88" t="s">
        <v>44</v>
      </c>
    </row>
    <row r="286" spans="1:10" s="90" customFormat="1" ht="12">
      <c r="A286" s="138"/>
      <c r="B286" s="127"/>
      <c r="C286" s="127"/>
      <c r="D286" s="85">
        <f t="shared" si="13"/>
        <v>0.27272727272727271</v>
      </c>
      <c r="E286" s="86"/>
      <c r="F286" s="52" t="s">
        <v>349</v>
      </c>
      <c r="G286" s="88" t="s">
        <v>66</v>
      </c>
      <c r="H286" s="89">
        <f t="shared" si="14"/>
        <v>4</v>
      </c>
      <c r="I286" s="88">
        <f>IF([3]项目总工作量!B$6="交易类",H286*1.5/22,IF([3]项目总工作量!B$6="数据分析类",H286*1.5*0.9/22,IF([3]项目总工作量!B$6="流程管理类",H286*1.5*0.8/22,IF([3]项目总工作量!B$6="渠道类",H286*1.5*0.7/22,FALSE))))</f>
        <v>0.27272727272727271</v>
      </c>
      <c r="J286" s="88" t="s">
        <v>44</v>
      </c>
    </row>
    <row r="287" spans="1:10" s="90" customFormat="1" ht="12">
      <c r="A287" s="138"/>
      <c r="B287" s="127"/>
      <c r="C287" s="127"/>
      <c r="D287" s="85">
        <f t="shared" si="13"/>
        <v>0.27272727272727271</v>
      </c>
      <c r="E287" s="86"/>
      <c r="F287" s="52" t="s">
        <v>348</v>
      </c>
      <c r="G287" s="88" t="s">
        <v>66</v>
      </c>
      <c r="H287" s="89">
        <f t="shared" si="14"/>
        <v>4</v>
      </c>
      <c r="I287" s="88">
        <f>IF([3]项目总工作量!B$6="交易类",H287*1.5/22,IF([3]项目总工作量!B$6="数据分析类",H287*1.5*0.9/22,IF([3]项目总工作量!B$6="流程管理类",H287*1.5*0.8/22,IF([3]项目总工作量!B$6="渠道类",H287*1.5*0.7/22,FALSE))))</f>
        <v>0.27272727272727271</v>
      </c>
      <c r="J287" s="88" t="s">
        <v>44</v>
      </c>
    </row>
    <row r="288" spans="1:10" s="90" customFormat="1" ht="12">
      <c r="A288" s="138"/>
      <c r="B288" s="127"/>
      <c r="C288" s="127"/>
      <c r="D288" s="85">
        <f t="shared" si="13"/>
        <v>0.27272727272727271</v>
      </c>
      <c r="E288" s="86"/>
      <c r="F288" s="52" t="s">
        <v>347</v>
      </c>
      <c r="G288" s="88" t="s">
        <v>66</v>
      </c>
      <c r="H288" s="89">
        <f t="shared" si="14"/>
        <v>4</v>
      </c>
      <c r="I288" s="88">
        <f>IF([3]项目总工作量!B$6="交易类",H288*1.5/22,IF([3]项目总工作量!B$6="数据分析类",H288*1.5*0.9/22,IF([3]项目总工作量!B$6="流程管理类",H288*1.5*0.8/22,IF([3]项目总工作量!B$6="渠道类",H288*1.5*0.7/22,FALSE))))</f>
        <v>0.27272727272727271</v>
      </c>
      <c r="J288" s="88" t="s">
        <v>44</v>
      </c>
    </row>
    <row r="289" spans="1:10" s="90" customFormat="1" ht="12">
      <c r="A289" s="138"/>
      <c r="B289" s="127"/>
      <c r="C289" s="127"/>
      <c r="D289" s="85">
        <f t="shared" si="13"/>
        <v>0.27272727272727271</v>
      </c>
      <c r="E289" s="86"/>
      <c r="F289" s="52" t="s">
        <v>346</v>
      </c>
      <c r="G289" s="88" t="s">
        <v>66</v>
      </c>
      <c r="H289" s="89">
        <f t="shared" si="14"/>
        <v>4</v>
      </c>
      <c r="I289" s="88">
        <f>IF([3]项目总工作量!B$6="交易类",H289*1.5/22,IF([3]项目总工作量!B$6="数据分析类",H289*1.5*0.9/22,IF([3]项目总工作量!B$6="流程管理类",H289*1.5*0.8/22,IF([3]项目总工作量!B$6="渠道类",H289*1.5*0.7/22,FALSE))))</f>
        <v>0.27272727272727271</v>
      </c>
      <c r="J289" s="88" t="s">
        <v>44</v>
      </c>
    </row>
    <row r="290" spans="1:10" s="90" customFormat="1" ht="12">
      <c r="A290" s="138"/>
      <c r="B290" s="127"/>
      <c r="C290" s="127"/>
      <c r="D290" s="85">
        <f t="shared" si="13"/>
        <v>0.27272727272727271</v>
      </c>
      <c r="E290" s="86"/>
      <c r="F290" s="52" t="s">
        <v>345</v>
      </c>
      <c r="G290" s="88" t="s">
        <v>66</v>
      </c>
      <c r="H290" s="89">
        <f t="shared" si="14"/>
        <v>4</v>
      </c>
      <c r="I290" s="88">
        <f>IF([3]项目总工作量!B$6="交易类",H290*1.5/22,IF([3]项目总工作量!B$6="数据分析类",H290*1.5*0.9/22,IF([3]项目总工作量!B$6="流程管理类",H290*1.5*0.8/22,IF([3]项目总工作量!B$6="渠道类",H290*1.5*0.7/22,FALSE))))</f>
        <v>0.27272727272727271</v>
      </c>
      <c r="J290" s="88" t="s">
        <v>44</v>
      </c>
    </row>
    <row r="291" spans="1:10" s="90" customFormat="1" ht="12">
      <c r="A291" s="138"/>
      <c r="B291" s="127"/>
      <c r="C291" s="127"/>
      <c r="D291" s="85">
        <f t="shared" si="13"/>
        <v>0.27272727272727271</v>
      </c>
      <c r="E291" s="86"/>
      <c r="F291" s="52" t="s">
        <v>344</v>
      </c>
      <c r="G291" s="88" t="s">
        <v>66</v>
      </c>
      <c r="H291" s="89">
        <f t="shared" si="14"/>
        <v>4</v>
      </c>
      <c r="I291" s="88">
        <f>IF([3]项目总工作量!B$6="交易类",H291*1.5/22,IF([3]项目总工作量!B$6="数据分析类",H291*1.5*0.9/22,IF([3]项目总工作量!B$6="流程管理类",H291*1.5*0.8/22,IF([3]项目总工作量!B$6="渠道类",H291*1.5*0.7/22,FALSE))))</f>
        <v>0.27272727272727271</v>
      </c>
      <c r="J291" s="88" t="s">
        <v>44</v>
      </c>
    </row>
    <row r="292" spans="1:10" s="90" customFormat="1" ht="12">
      <c r="A292" s="138"/>
      <c r="B292" s="127"/>
      <c r="C292" s="127"/>
      <c r="D292" s="85">
        <f t="shared" si="13"/>
        <v>0.27272727272727271</v>
      </c>
      <c r="E292" s="86"/>
      <c r="F292" s="52" t="s">
        <v>343</v>
      </c>
      <c r="G292" s="88" t="s">
        <v>66</v>
      </c>
      <c r="H292" s="89">
        <f t="shared" si="14"/>
        <v>4</v>
      </c>
      <c r="I292" s="88">
        <f>IF([3]项目总工作量!B$6="交易类",H292*1.5/22,IF([3]项目总工作量!B$6="数据分析类",H292*1.5*0.9/22,IF([3]项目总工作量!B$6="流程管理类",H292*1.5*0.8/22,IF([3]项目总工作量!B$6="渠道类",H292*1.5*0.7/22,FALSE))))</f>
        <v>0.27272727272727271</v>
      </c>
      <c r="J292" s="88" t="s">
        <v>44</v>
      </c>
    </row>
    <row r="293" spans="1:10" s="90" customFormat="1" ht="12">
      <c r="A293" s="138"/>
      <c r="B293" s="127"/>
      <c r="C293" s="127"/>
      <c r="D293" s="85">
        <f t="shared" si="13"/>
        <v>0.27272727272727271</v>
      </c>
      <c r="E293" s="86"/>
      <c r="F293" s="52" t="s">
        <v>342</v>
      </c>
      <c r="G293" s="88" t="s">
        <v>66</v>
      </c>
      <c r="H293" s="89">
        <f t="shared" si="14"/>
        <v>4</v>
      </c>
      <c r="I293" s="88">
        <f>IF([3]项目总工作量!B$6="交易类",H293*1.5/22,IF([3]项目总工作量!B$6="数据分析类",H293*1.5*0.9/22,IF([3]项目总工作量!B$6="流程管理类",H293*1.5*0.8/22,IF([3]项目总工作量!B$6="渠道类",H293*1.5*0.7/22,FALSE))))</f>
        <v>0.27272727272727271</v>
      </c>
      <c r="J293" s="88" t="s">
        <v>44</v>
      </c>
    </row>
    <row r="294" spans="1:10" s="90" customFormat="1" ht="12">
      <c r="A294" s="138"/>
      <c r="B294" s="127"/>
      <c r="C294" s="127"/>
      <c r="D294" s="85">
        <f t="shared" si="13"/>
        <v>0.27272727272727271</v>
      </c>
      <c r="E294" s="86"/>
      <c r="F294" s="52" t="s">
        <v>341</v>
      </c>
      <c r="G294" s="88" t="s">
        <v>66</v>
      </c>
      <c r="H294" s="89">
        <f t="shared" si="14"/>
        <v>4</v>
      </c>
      <c r="I294" s="88">
        <f>IF([3]项目总工作量!B$6="交易类",H294*1.5/22,IF([3]项目总工作量!B$6="数据分析类",H294*1.5*0.9/22,IF([3]项目总工作量!B$6="流程管理类",H294*1.5*0.8/22,IF([3]项目总工作量!B$6="渠道类",H294*1.5*0.7/22,FALSE))))</f>
        <v>0.27272727272727271</v>
      </c>
      <c r="J294" s="88" t="s">
        <v>44</v>
      </c>
    </row>
    <row r="295" spans="1:10" s="97" customFormat="1" ht="12">
      <c r="A295" s="138"/>
      <c r="B295" s="127"/>
      <c r="C295" s="127"/>
      <c r="D295" s="85">
        <f t="shared" si="13"/>
        <v>0.27272727272727271</v>
      </c>
      <c r="E295" s="96"/>
      <c r="F295" s="52" t="s">
        <v>340</v>
      </c>
      <c r="G295" s="88" t="s">
        <v>66</v>
      </c>
      <c r="H295" s="89">
        <f t="shared" si="14"/>
        <v>4</v>
      </c>
      <c r="I295" s="88">
        <f>IF([3]项目总工作量!B$6="交易类",H295*1.5/22,IF([3]项目总工作量!B$6="数据分析类",H295*1.5*0.9/22,IF([3]项目总工作量!B$6="流程管理类",H295*1.5*0.8/22,IF([3]项目总工作量!B$6="渠道类",H295*1.5*0.7/22,FALSE))))</f>
        <v>0.27272727272727271</v>
      </c>
      <c r="J295" s="88" t="s">
        <v>44</v>
      </c>
    </row>
    <row r="296" spans="1:10" s="90" customFormat="1" ht="12">
      <c r="A296" s="138"/>
      <c r="B296" s="127"/>
      <c r="C296" s="127"/>
      <c r="D296" s="85">
        <f t="shared" si="13"/>
        <v>0.27272727272727271</v>
      </c>
      <c r="E296" s="86"/>
      <c r="F296" s="52" t="s">
        <v>339</v>
      </c>
      <c r="G296" s="88" t="s">
        <v>66</v>
      </c>
      <c r="H296" s="89">
        <f t="shared" si="14"/>
        <v>4</v>
      </c>
      <c r="I296" s="88">
        <f>IF([3]项目总工作量!B$6="交易类",H296*1.5/22,IF([3]项目总工作量!B$6="数据分析类",H296*1.5*0.9/22,IF([3]项目总工作量!B$6="流程管理类",H296*1.5*0.8/22,IF([3]项目总工作量!B$6="渠道类",H296*1.5*0.7/22,FALSE))))</f>
        <v>0.27272727272727271</v>
      </c>
      <c r="J296" s="88" t="s">
        <v>44</v>
      </c>
    </row>
    <row r="297" spans="1:10" s="90" customFormat="1" ht="12">
      <c r="A297" s="138"/>
      <c r="B297" s="127"/>
      <c r="C297" s="127"/>
      <c r="D297" s="85">
        <f t="shared" si="13"/>
        <v>0.27272727272727271</v>
      </c>
      <c r="E297" s="86"/>
      <c r="F297" s="52" t="s">
        <v>338</v>
      </c>
      <c r="G297" s="88" t="s">
        <v>66</v>
      </c>
      <c r="H297" s="89">
        <f t="shared" si="14"/>
        <v>4</v>
      </c>
      <c r="I297" s="88">
        <f>IF([3]项目总工作量!B$6="交易类",H297*1.5/22,IF([3]项目总工作量!B$6="数据分析类",H297*1.5*0.9/22,IF([3]项目总工作量!B$6="流程管理类",H297*1.5*0.8/22,IF([3]项目总工作量!B$6="渠道类",H297*1.5*0.7/22,FALSE))))</f>
        <v>0.27272727272727271</v>
      </c>
      <c r="J297" s="88" t="s">
        <v>44</v>
      </c>
    </row>
    <row r="298" spans="1:10" s="90" customFormat="1" ht="12">
      <c r="A298" s="138"/>
      <c r="B298" s="127"/>
      <c r="C298" s="127"/>
      <c r="D298" s="85">
        <f t="shared" si="13"/>
        <v>0.27272727272727271</v>
      </c>
      <c r="E298" s="86"/>
      <c r="F298" s="52" t="s">
        <v>337</v>
      </c>
      <c r="G298" s="88" t="s">
        <v>66</v>
      </c>
      <c r="H298" s="89">
        <f t="shared" ref="H298:H329" si="15">IF(G298="EI",4,IF(G298="EO",5,IF(G298="EQ",4,0)))</f>
        <v>4</v>
      </c>
      <c r="I298" s="88">
        <f>IF([3]项目总工作量!B$6="交易类",H298*1.5/22,IF([3]项目总工作量!B$6="数据分析类",H298*1.5*0.9/22,IF([3]项目总工作量!B$6="流程管理类",H298*1.5*0.8/22,IF([3]项目总工作量!B$6="渠道类",H298*1.5*0.7/22,FALSE))))</f>
        <v>0.27272727272727271</v>
      </c>
      <c r="J298" s="88" t="s">
        <v>44</v>
      </c>
    </row>
    <row r="299" spans="1:10" s="90" customFormat="1" ht="12">
      <c r="A299" s="138"/>
      <c r="B299" s="127"/>
      <c r="C299" s="127"/>
      <c r="D299" s="85">
        <f t="shared" si="13"/>
        <v>0.27272727272727271</v>
      </c>
      <c r="E299" s="86"/>
      <c r="F299" s="52" t="s">
        <v>336</v>
      </c>
      <c r="G299" s="88" t="s">
        <v>66</v>
      </c>
      <c r="H299" s="89">
        <f t="shared" si="15"/>
        <v>4</v>
      </c>
      <c r="I299" s="88">
        <f>IF([3]项目总工作量!B$6="交易类",H299*1.5/22,IF([3]项目总工作量!B$6="数据分析类",H299*1.5*0.9/22,IF([3]项目总工作量!B$6="流程管理类",H299*1.5*0.8/22,IF([3]项目总工作量!B$6="渠道类",H299*1.5*0.7/22,FALSE))))</f>
        <v>0.27272727272727271</v>
      </c>
      <c r="J299" s="88" t="s">
        <v>44</v>
      </c>
    </row>
    <row r="300" spans="1:10" s="90" customFormat="1" ht="12">
      <c r="A300" s="138"/>
      <c r="B300" s="127"/>
      <c r="C300" s="127"/>
      <c r="D300" s="85">
        <f t="shared" si="13"/>
        <v>0.27272727272727271</v>
      </c>
      <c r="E300" s="86"/>
      <c r="F300" s="52" t="s">
        <v>335</v>
      </c>
      <c r="G300" s="88" t="s">
        <v>66</v>
      </c>
      <c r="H300" s="89">
        <f t="shared" si="15"/>
        <v>4</v>
      </c>
      <c r="I300" s="88">
        <f>IF([3]项目总工作量!B$6="交易类",H300*1.5/22,IF([3]项目总工作量!B$6="数据分析类",H300*1.5*0.9/22,IF([3]项目总工作量!B$6="流程管理类",H300*1.5*0.8/22,IF([3]项目总工作量!B$6="渠道类",H300*1.5*0.7/22,FALSE))))</f>
        <v>0.27272727272727271</v>
      </c>
      <c r="J300" s="88" t="s">
        <v>44</v>
      </c>
    </row>
    <row r="301" spans="1:10" s="90" customFormat="1" ht="12">
      <c r="A301" s="138"/>
      <c r="B301" s="127"/>
      <c r="C301" s="127"/>
      <c r="D301" s="85">
        <f t="shared" si="13"/>
        <v>0.27272727272727271</v>
      </c>
      <c r="E301" s="86"/>
      <c r="F301" s="52" t="s">
        <v>334</v>
      </c>
      <c r="G301" s="88" t="s">
        <v>66</v>
      </c>
      <c r="H301" s="89">
        <f t="shared" si="15"/>
        <v>4</v>
      </c>
      <c r="I301" s="88">
        <f>IF([3]项目总工作量!B$6="交易类",H301*1.5/22,IF([3]项目总工作量!B$6="数据分析类",H301*1.5*0.9/22,IF([3]项目总工作量!B$6="流程管理类",H301*1.5*0.8/22,IF([3]项目总工作量!B$6="渠道类",H301*1.5*0.7/22,FALSE))))</f>
        <v>0.27272727272727271</v>
      </c>
      <c r="J301" s="88" t="s">
        <v>44</v>
      </c>
    </row>
    <row r="302" spans="1:10" s="90" customFormat="1" ht="12">
      <c r="A302" s="138"/>
      <c r="B302" s="127"/>
      <c r="C302" s="127"/>
      <c r="D302" s="85">
        <f t="shared" si="13"/>
        <v>0.27272727272727271</v>
      </c>
      <c r="E302" s="86"/>
      <c r="F302" s="52" t="s">
        <v>333</v>
      </c>
      <c r="G302" s="88" t="s">
        <v>66</v>
      </c>
      <c r="H302" s="89">
        <f t="shared" si="15"/>
        <v>4</v>
      </c>
      <c r="I302" s="88">
        <f>IF([3]项目总工作量!B$6="交易类",H302*1.5/22,IF([3]项目总工作量!B$6="数据分析类",H302*1.5*0.9/22,IF([3]项目总工作量!B$6="流程管理类",H302*1.5*0.8/22,IF([3]项目总工作量!B$6="渠道类",H302*1.5*0.7/22,FALSE))))</f>
        <v>0.27272727272727271</v>
      </c>
      <c r="J302" s="88" t="s">
        <v>44</v>
      </c>
    </row>
    <row r="303" spans="1:10" s="90" customFormat="1" ht="12">
      <c r="A303" s="138"/>
      <c r="B303" s="127"/>
      <c r="C303" s="127"/>
      <c r="D303" s="85">
        <f t="shared" si="13"/>
        <v>0.27272727272727271</v>
      </c>
      <c r="E303" s="86"/>
      <c r="F303" s="52" t="s">
        <v>332</v>
      </c>
      <c r="G303" s="88" t="s">
        <v>66</v>
      </c>
      <c r="H303" s="89">
        <f t="shared" si="15"/>
        <v>4</v>
      </c>
      <c r="I303" s="88">
        <f>IF([3]项目总工作量!B$6="交易类",H303*1.5/22,IF([3]项目总工作量!B$6="数据分析类",H303*1.5*0.9/22,IF([3]项目总工作量!B$6="流程管理类",H303*1.5*0.8/22,IF([3]项目总工作量!B$6="渠道类",H303*1.5*0.7/22,FALSE))))</f>
        <v>0.27272727272727271</v>
      </c>
      <c r="J303" s="88" t="s">
        <v>44</v>
      </c>
    </row>
    <row r="304" spans="1:10" s="90" customFormat="1" ht="12">
      <c r="A304" s="138"/>
      <c r="B304" s="127"/>
      <c r="C304" s="127"/>
      <c r="D304" s="85">
        <f t="shared" si="13"/>
        <v>0.27272727272727271</v>
      </c>
      <c r="E304" s="86"/>
      <c r="F304" s="52" t="s">
        <v>331</v>
      </c>
      <c r="G304" s="88" t="s">
        <v>66</v>
      </c>
      <c r="H304" s="89">
        <f t="shared" si="15"/>
        <v>4</v>
      </c>
      <c r="I304" s="88">
        <f>IF([3]项目总工作量!B$6="交易类",H304*1.5/22,IF([3]项目总工作量!B$6="数据分析类",H304*1.5*0.9/22,IF([3]项目总工作量!B$6="流程管理类",H304*1.5*0.8/22,IF([3]项目总工作量!B$6="渠道类",H304*1.5*0.7/22,FALSE))))</f>
        <v>0.27272727272727271</v>
      </c>
      <c r="J304" s="88" t="s">
        <v>44</v>
      </c>
    </row>
    <row r="305" spans="1:10" s="90" customFormat="1" ht="12">
      <c r="A305" s="138"/>
      <c r="B305" s="127"/>
      <c r="C305" s="127"/>
      <c r="D305" s="85">
        <f t="shared" si="13"/>
        <v>0.27272727272727271</v>
      </c>
      <c r="E305" s="86"/>
      <c r="F305" s="52" t="s">
        <v>330</v>
      </c>
      <c r="G305" s="88" t="s">
        <v>66</v>
      </c>
      <c r="H305" s="89">
        <f t="shared" si="15"/>
        <v>4</v>
      </c>
      <c r="I305" s="88">
        <f>IF([3]项目总工作量!B$6="交易类",H305*1.5/22,IF([3]项目总工作量!B$6="数据分析类",H305*1.5*0.9/22,IF([3]项目总工作量!B$6="流程管理类",H305*1.5*0.8/22,IF([3]项目总工作量!B$6="渠道类",H305*1.5*0.7/22,FALSE))))</f>
        <v>0.27272727272727271</v>
      </c>
      <c r="J305" s="88" t="s">
        <v>44</v>
      </c>
    </row>
    <row r="306" spans="1:10" s="90" customFormat="1" ht="12">
      <c r="A306" s="138"/>
      <c r="B306" s="127"/>
      <c r="C306" s="127"/>
      <c r="D306" s="85">
        <f t="shared" si="13"/>
        <v>0.27272727272727271</v>
      </c>
      <c r="E306" s="86"/>
      <c r="F306" s="52" t="s">
        <v>329</v>
      </c>
      <c r="G306" s="88" t="s">
        <v>66</v>
      </c>
      <c r="H306" s="89">
        <f t="shared" si="15"/>
        <v>4</v>
      </c>
      <c r="I306" s="88">
        <f>IF([3]项目总工作量!B$6="交易类",H306*1.5/22,IF([3]项目总工作量!B$6="数据分析类",H306*1.5*0.9/22,IF([3]项目总工作量!B$6="流程管理类",H306*1.5*0.8/22,IF([3]项目总工作量!B$6="渠道类",H306*1.5*0.7/22,FALSE))))</f>
        <v>0.27272727272727271</v>
      </c>
      <c r="J306" s="88" t="s">
        <v>44</v>
      </c>
    </row>
    <row r="307" spans="1:10" s="90" customFormat="1" ht="12">
      <c r="A307" s="138"/>
      <c r="B307" s="127"/>
      <c r="C307" s="127"/>
      <c r="D307" s="85">
        <f t="shared" si="13"/>
        <v>0.27272727272727271</v>
      </c>
      <c r="E307" s="86"/>
      <c r="F307" s="52" t="s">
        <v>328</v>
      </c>
      <c r="G307" s="88" t="s">
        <v>66</v>
      </c>
      <c r="H307" s="89">
        <f t="shared" si="15"/>
        <v>4</v>
      </c>
      <c r="I307" s="88">
        <f>IF([3]项目总工作量!B$6="交易类",H307*1.5/22,IF([3]项目总工作量!B$6="数据分析类",H307*1.5*0.9/22,IF([3]项目总工作量!B$6="流程管理类",H307*1.5*0.8/22,IF([3]项目总工作量!B$6="渠道类",H307*1.5*0.7/22,FALSE))))</f>
        <v>0.27272727272727271</v>
      </c>
      <c r="J307" s="88" t="s">
        <v>44</v>
      </c>
    </row>
    <row r="308" spans="1:10" s="90" customFormat="1" ht="12">
      <c r="A308" s="138"/>
      <c r="B308" s="127"/>
      <c r="C308" s="127"/>
      <c r="D308" s="85">
        <f t="shared" si="13"/>
        <v>0.27272727272727271</v>
      </c>
      <c r="E308" s="86"/>
      <c r="F308" s="52" t="s">
        <v>327</v>
      </c>
      <c r="G308" s="88" t="s">
        <v>66</v>
      </c>
      <c r="H308" s="89">
        <f t="shared" si="15"/>
        <v>4</v>
      </c>
      <c r="I308" s="88">
        <f>IF([3]项目总工作量!B$6="交易类",H308*1.5/22,IF([3]项目总工作量!B$6="数据分析类",H308*1.5*0.9/22,IF([3]项目总工作量!B$6="流程管理类",H308*1.5*0.8/22,IF([3]项目总工作量!B$6="渠道类",H308*1.5*0.7/22,FALSE))))</f>
        <v>0.27272727272727271</v>
      </c>
      <c r="J308" s="88" t="s">
        <v>44</v>
      </c>
    </row>
    <row r="309" spans="1:10" s="90" customFormat="1" ht="12">
      <c r="A309" s="138"/>
      <c r="B309" s="127"/>
      <c r="C309" s="127"/>
      <c r="D309" s="85">
        <f t="shared" si="13"/>
        <v>0.27272727272727271</v>
      </c>
      <c r="E309" s="86"/>
      <c r="F309" s="52" t="s">
        <v>326</v>
      </c>
      <c r="G309" s="88" t="s">
        <v>66</v>
      </c>
      <c r="H309" s="89">
        <f t="shared" si="15"/>
        <v>4</v>
      </c>
      <c r="I309" s="88">
        <f>IF([3]项目总工作量!B$6="交易类",H309*1.5/22,IF([3]项目总工作量!B$6="数据分析类",H309*1.5*0.9/22,IF([3]项目总工作量!B$6="流程管理类",H309*1.5*0.8/22,IF([3]项目总工作量!B$6="渠道类",H309*1.5*0.7/22,FALSE))))</f>
        <v>0.27272727272727271</v>
      </c>
      <c r="J309" s="88" t="s">
        <v>44</v>
      </c>
    </row>
    <row r="310" spans="1:10" s="90" customFormat="1" ht="12">
      <c r="A310" s="138"/>
      <c r="B310" s="127"/>
      <c r="C310" s="127"/>
      <c r="D310" s="85">
        <f t="shared" si="13"/>
        <v>0.27272727272727271</v>
      </c>
      <c r="E310" s="86"/>
      <c r="F310" s="52" t="s">
        <v>325</v>
      </c>
      <c r="G310" s="88" t="s">
        <v>66</v>
      </c>
      <c r="H310" s="89">
        <f t="shared" si="15"/>
        <v>4</v>
      </c>
      <c r="I310" s="88">
        <f>IF([3]项目总工作量!B$6="交易类",H310*1.5/22,IF([3]项目总工作量!B$6="数据分析类",H310*1.5*0.9/22,IF([3]项目总工作量!B$6="流程管理类",H310*1.5*0.8/22,IF([3]项目总工作量!B$6="渠道类",H310*1.5*0.7/22,FALSE))))</f>
        <v>0.27272727272727271</v>
      </c>
      <c r="J310" s="88" t="s">
        <v>44</v>
      </c>
    </row>
    <row r="311" spans="1:10" s="90" customFormat="1" ht="12">
      <c r="A311" s="138"/>
      <c r="B311" s="127"/>
      <c r="C311" s="127"/>
      <c r="D311" s="85">
        <f t="shared" si="13"/>
        <v>0.27272727272727271</v>
      </c>
      <c r="E311" s="86"/>
      <c r="F311" s="52" t="s">
        <v>324</v>
      </c>
      <c r="G311" s="88" t="s">
        <v>66</v>
      </c>
      <c r="H311" s="89">
        <f t="shared" si="15"/>
        <v>4</v>
      </c>
      <c r="I311" s="88">
        <f>IF([3]项目总工作量!B$6="交易类",H311*1.5/22,IF([3]项目总工作量!B$6="数据分析类",H311*1.5*0.9/22,IF([3]项目总工作量!B$6="流程管理类",H311*1.5*0.8/22,IF([3]项目总工作量!B$6="渠道类",H311*1.5*0.7/22,FALSE))))</f>
        <v>0.27272727272727271</v>
      </c>
      <c r="J311" s="88" t="s">
        <v>44</v>
      </c>
    </row>
    <row r="312" spans="1:10" s="90" customFormat="1" ht="12">
      <c r="A312" s="138"/>
      <c r="B312" s="127"/>
      <c r="C312" s="127"/>
      <c r="D312" s="85">
        <f t="shared" si="13"/>
        <v>0.27272727272727271</v>
      </c>
      <c r="E312" s="86"/>
      <c r="F312" s="52" t="s">
        <v>323</v>
      </c>
      <c r="G312" s="88" t="s">
        <v>66</v>
      </c>
      <c r="H312" s="89">
        <f t="shared" si="15"/>
        <v>4</v>
      </c>
      <c r="I312" s="88">
        <f>IF([3]项目总工作量!B$6="交易类",H312*1.5/22,IF([3]项目总工作量!B$6="数据分析类",H312*1.5*0.9/22,IF([3]项目总工作量!B$6="流程管理类",H312*1.5*0.8/22,IF([3]项目总工作量!B$6="渠道类",H312*1.5*0.7/22,FALSE))))</f>
        <v>0.27272727272727271</v>
      </c>
      <c r="J312" s="88" t="s">
        <v>44</v>
      </c>
    </row>
    <row r="313" spans="1:10" s="90" customFormat="1" ht="12">
      <c r="A313" s="138"/>
      <c r="B313" s="127"/>
      <c r="C313" s="127"/>
      <c r="D313" s="85">
        <f t="shared" si="13"/>
        <v>0.27272727272727271</v>
      </c>
      <c r="E313" s="86"/>
      <c r="F313" s="52" t="s">
        <v>322</v>
      </c>
      <c r="G313" s="88" t="s">
        <v>66</v>
      </c>
      <c r="H313" s="89">
        <f t="shared" si="15"/>
        <v>4</v>
      </c>
      <c r="I313" s="88">
        <f>IF([3]项目总工作量!B$6="交易类",H313*1.5/22,IF([3]项目总工作量!B$6="数据分析类",H313*1.5*0.9/22,IF([3]项目总工作量!B$6="流程管理类",H313*1.5*0.8/22,IF([3]项目总工作量!B$6="渠道类",H313*1.5*0.7/22,FALSE))))</f>
        <v>0.27272727272727271</v>
      </c>
      <c r="J313" s="88" t="s">
        <v>44</v>
      </c>
    </row>
    <row r="314" spans="1:10" s="90" customFormat="1" ht="12">
      <c r="A314" s="138"/>
      <c r="B314" s="127"/>
      <c r="C314" s="127"/>
      <c r="D314" s="85">
        <f t="shared" si="13"/>
        <v>0.27272727272727271</v>
      </c>
      <c r="E314" s="86"/>
      <c r="F314" s="52" t="s">
        <v>321</v>
      </c>
      <c r="G314" s="88" t="s">
        <v>66</v>
      </c>
      <c r="H314" s="89">
        <f t="shared" si="15"/>
        <v>4</v>
      </c>
      <c r="I314" s="88">
        <f>IF([3]项目总工作量!B$6="交易类",H314*1.5/22,IF([3]项目总工作量!B$6="数据分析类",H314*1.5*0.9/22,IF([3]项目总工作量!B$6="流程管理类",H314*1.5*0.8/22,IF([3]项目总工作量!B$6="渠道类",H314*1.5*0.7/22,FALSE))))</f>
        <v>0.27272727272727271</v>
      </c>
      <c r="J314" s="88" t="s">
        <v>44</v>
      </c>
    </row>
    <row r="315" spans="1:10" s="90" customFormat="1" ht="12">
      <c r="A315" s="138"/>
      <c r="B315" s="127"/>
      <c r="C315" s="127"/>
      <c r="D315" s="85">
        <f t="shared" si="13"/>
        <v>0.27272727272727271</v>
      </c>
      <c r="E315" s="86"/>
      <c r="F315" s="52" t="s">
        <v>320</v>
      </c>
      <c r="G315" s="88" t="s">
        <v>66</v>
      </c>
      <c r="H315" s="89">
        <f t="shared" si="15"/>
        <v>4</v>
      </c>
      <c r="I315" s="88">
        <f>IF([3]项目总工作量!B$6="交易类",H315*1.5/22,IF([3]项目总工作量!B$6="数据分析类",H315*1.5*0.9/22,IF([3]项目总工作量!B$6="流程管理类",H315*1.5*0.8/22,IF([3]项目总工作量!B$6="渠道类",H315*1.5*0.7/22,FALSE))))</f>
        <v>0.27272727272727271</v>
      </c>
      <c r="J315" s="88" t="s">
        <v>44</v>
      </c>
    </row>
    <row r="316" spans="1:10" s="90" customFormat="1" ht="12">
      <c r="A316" s="138"/>
      <c r="B316" s="127"/>
      <c r="C316" s="127"/>
      <c r="D316" s="85">
        <f t="shared" si="13"/>
        <v>0.27272727272727271</v>
      </c>
      <c r="E316" s="86"/>
      <c r="F316" s="52" t="s">
        <v>319</v>
      </c>
      <c r="G316" s="88" t="s">
        <v>66</v>
      </c>
      <c r="H316" s="89">
        <f t="shared" si="15"/>
        <v>4</v>
      </c>
      <c r="I316" s="88">
        <f>IF([3]项目总工作量!B$6="交易类",H316*1.5/22,IF([3]项目总工作量!B$6="数据分析类",H316*1.5*0.9/22,IF([3]项目总工作量!B$6="流程管理类",H316*1.5*0.8/22,IF([3]项目总工作量!B$6="渠道类",H316*1.5*0.7/22,FALSE))))</f>
        <v>0.27272727272727271</v>
      </c>
      <c r="J316" s="88" t="s">
        <v>44</v>
      </c>
    </row>
    <row r="317" spans="1:10" s="90" customFormat="1" ht="12">
      <c r="A317" s="138"/>
      <c r="B317" s="127"/>
      <c r="C317" s="127"/>
      <c r="D317" s="85">
        <f t="shared" si="13"/>
        <v>0.27272727272727271</v>
      </c>
      <c r="E317" s="86"/>
      <c r="F317" s="52" t="s">
        <v>318</v>
      </c>
      <c r="G317" s="88" t="s">
        <v>66</v>
      </c>
      <c r="H317" s="89">
        <f t="shared" si="15"/>
        <v>4</v>
      </c>
      <c r="I317" s="88">
        <f>IF([3]项目总工作量!B$6="交易类",H317*1.5/22,IF([3]项目总工作量!B$6="数据分析类",H317*1.5*0.9/22,IF([3]项目总工作量!B$6="流程管理类",H317*1.5*0.8/22,IF([3]项目总工作量!B$6="渠道类",H317*1.5*0.7/22,FALSE))))</f>
        <v>0.27272727272727271</v>
      </c>
      <c r="J317" s="88" t="s">
        <v>44</v>
      </c>
    </row>
    <row r="318" spans="1:10" s="90" customFormat="1" ht="12">
      <c r="A318" s="138"/>
      <c r="B318" s="127"/>
      <c r="C318" s="127"/>
      <c r="D318" s="85">
        <f t="shared" si="13"/>
        <v>0.27272727272727271</v>
      </c>
      <c r="E318" s="86"/>
      <c r="F318" s="52" t="s">
        <v>317</v>
      </c>
      <c r="G318" s="88" t="s">
        <v>66</v>
      </c>
      <c r="H318" s="89">
        <f t="shared" si="15"/>
        <v>4</v>
      </c>
      <c r="I318" s="88">
        <f>IF([3]项目总工作量!B$6="交易类",H318*1.5/22,IF([3]项目总工作量!B$6="数据分析类",H318*1.5*0.9/22,IF([3]项目总工作量!B$6="流程管理类",H318*1.5*0.8/22,IF([3]项目总工作量!B$6="渠道类",H318*1.5*0.7/22,FALSE))))</f>
        <v>0.27272727272727271</v>
      </c>
      <c r="J318" s="88" t="s">
        <v>44</v>
      </c>
    </row>
    <row r="319" spans="1:10" s="90" customFormat="1" ht="12">
      <c r="A319" s="138"/>
      <c r="B319" s="127"/>
      <c r="C319" s="127"/>
      <c r="D319" s="85">
        <f t="shared" ref="D319:D382" si="16">I319</f>
        <v>0.27272727272727271</v>
      </c>
      <c r="E319" s="86"/>
      <c r="F319" s="52" t="s">
        <v>316</v>
      </c>
      <c r="G319" s="88" t="s">
        <v>66</v>
      </c>
      <c r="H319" s="89">
        <f t="shared" si="15"/>
        <v>4</v>
      </c>
      <c r="I319" s="88">
        <f>IF([3]项目总工作量!B$6="交易类",H319*1.5/22,IF([3]项目总工作量!B$6="数据分析类",H319*1.5*0.9/22,IF([3]项目总工作量!B$6="流程管理类",H319*1.5*0.8/22,IF([3]项目总工作量!B$6="渠道类",H319*1.5*0.7/22,FALSE))))</f>
        <v>0.27272727272727271</v>
      </c>
      <c r="J319" s="88" t="s">
        <v>44</v>
      </c>
    </row>
    <row r="320" spans="1:10" s="90" customFormat="1" ht="12">
      <c r="A320" s="138"/>
      <c r="B320" s="127"/>
      <c r="C320" s="127"/>
      <c r="D320" s="85">
        <f t="shared" si="16"/>
        <v>0.27272727272727271</v>
      </c>
      <c r="E320" s="86"/>
      <c r="F320" s="52" t="s">
        <v>315</v>
      </c>
      <c r="G320" s="88" t="s">
        <v>66</v>
      </c>
      <c r="H320" s="89">
        <f t="shared" si="15"/>
        <v>4</v>
      </c>
      <c r="I320" s="88">
        <f>IF([3]项目总工作量!B$6="交易类",H320*1.5/22,IF([3]项目总工作量!B$6="数据分析类",H320*1.5*0.9/22,IF([3]项目总工作量!B$6="流程管理类",H320*1.5*0.8/22,IF([3]项目总工作量!B$6="渠道类",H320*1.5*0.7/22,FALSE))))</f>
        <v>0.27272727272727271</v>
      </c>
      <c r="J320" s="88" t="s">
        <v>44</v>
      </c>
    </row>
    <row r="321" spans="1:10" s="90" customFormat="1" ht="12">
      <c r="A321" s="138"/>
      <c r="B321" s="127"/>
      <c r="C321" s="127"/>
      <c r="D321" s="85">
        <f t="shared" si="16"/>
        <v>0.27272727272727271</v>
      </c>
      <c r="E321" s="86"/>
      <c r="F321" s="52" t="s">
        <v>314</v>
      </c>
      <c r="G321" s="88" t="s">
        <v>66</v>
      </c>
      <c r="H321" s="89">
        <f t="shared" si="15"/>
        <v>4</v>
      </c>
      <c r="I321" s="88">
        <f>IF([3]项目总工作量!B$6="交易类",H321*1.5/22,IF([3]项目总工作量!B$6="数据分析类",H321*1.5*0.9/22,IF([3]项目总工作量!B$6="流程管理类",H321*1.5*0.8/22,IF([3]项目总工作量!B$6="渠道类",H321*1.5*0.7/22,FALSE))))</f>
        <v>0.27272727272727271</v>
      </c>
      <c r="J321" s="88" t="s">
        <v>44</v>
      </c>
    </row>
    <row r="322" spans="1:10" s="90" customFormat="1" ht="12">
      <c r="A322" s="138"/>
      <c r="B322" s="127"/>
      <c r="C322" s="127"/>
      <c r="D322" s="85">
        <f t="shared" si="16"/>
        <v>0.27272727272727271</v>
      </c>
      <c r="E322" s="86"/>
      <c r="F322" s="52" t="s">
        <v>313</v>
      </c>
      <c r="G322" s="88" t="s">
        <v>66</v>
      </c>
      <c r="H322" s="89">
        <f t="shared" si="15"/>
        <v>4</v>
      </c>
      <c r="I322" s="88">
        <f>IF([3]项目总工作量!B$6="交易类",H322*1.5/22,IF([3]项目总工作量!B$6="数据分析类",H322*1.5*0.9/22,IF([3]项目总工作量!B$6="流程管理类",H322*1.5*0.8/22,IF([3]项目总工作量!B$6="渠道类",H322*1.5*0.7/22,FALSE))))</f>
        <v>0.27272727272727271</v>
      </c>
      <c r="J322" s="88" t="s">
        <v>44</v>
      </c>
    </row>
    <row r="323" spans="1:10" s="90" customFormat="1" ht="24">
      <c r="A323" s="138"/>
      <c r="B323" s="127"/>
      <c r="C323" s="127"/>
      <c r="D323" s="85">
        <f t="shared" si="16"/>
        <v>0.27272727272727271</v>
      </c>
      <c r="E323" s="86"/>
      <c r="F323" s="52" t="s">
        <v>312</v>
      </c>
      <c r="G323" s="88" t="s">
        <v>66</v>
      </c>
      <c r="H323" s="89">
        <f t="shared" si="15"/>
        <v>4</v>
      </c>
      <c r="I323" s="88">
        <f>IF([3]项目总工作量!B$6="交易类",H323*1.5/22,IF([3]项目总工作量!B$6="数据分析类",H323*1.5*0.9/22,IF([3]项目总工作量!B$6="流程管理类",H323*1.5*0.8/22,IF([3]项目总工作量!B$6="渠道类",H323*1.5*0.7/22,FALSE))))</f>
        <v>0.27272727272727271</v>
      </c>
      <c r="J323" s="88" t="s">
        <v>44</v>
      </c>
    </row>
    <row r="324" spans="1:10" s="90" customFormat="1" ht="24">
      <c r="A324" s="138"/>
      <c r="B324" s="127"/>
      <c r="C324" s="127"/>
      <c r="D324" s="85">
        <f t="shared" si="16"/>
        <v>0.27272727272727271</v>
      </c>
      <c r="E324" s="86"/>
      <c r="F324" s="52" t="s">
        <v>311</v>
      </c>
      <c r="G324" s="88" t="s">
        <v>66</v>
      </c>
      <c r="H324" s="89">
        <f t="shared" si="15"/>
        <v>4</v>
      </c>
      <c r="I324" s="88">
        <f>IF([3]项目总工作量!B$6="交易类",H324*1.5/22,IF([3]项目总工作量!B$6="数据分析类",H324*1.5*0.9/22,IF([3]项目总工作量!B$6="流程管理类",H324*1.5*0.8/22,IF([3]项目总工作量!B$6="渠道类",H324*1.5*0.7/22,FALSE))))</f>
        <v>0.27272727272727271</v>
      </c>
      <c r="J324" s="88" t="s">
        <v>44</v>
      </c>
    </row>
    <row r="325" spans="1:10" s="90" customFormat="1" ht="24">
      <c r="A325" s="138"/>
      <c r="B325" s="127"/>
      <c r="C325" s="127"/>
      <c r="D325" s="85">
        <f t="shared" si="16"/>
        <v>0.27272727272727271</v>
      </c>
      <c r="E325" s="86"/>
      <c r="F325" s="52" t="s">
        <v>310</v>
      </c>
      <c r="G325" s="88" t="s">
        <v>66</v>
      </c>
      <c r="H325" s="89">
        <f t="shared" si="15"/>
        <v>4</v>
      </c>
      <c r="I325" s="88">
        <f>IF([3]项目总工作量!B$6="交易类",H325*1.5/22,IF([3]项目总工作量!B$6="数据分析类",H325*1.5*0.9/22,IF([3]项目总工作量!B$6="流程管理类",H325*1.5*0.8/22,IF([3]项目总工作量!B$6="渠道类",H325*1.5*0.7/22,FALSE))))</f>
        <v>0.27272727272727271</v>
      </c>
      <c r="J325" s="88" t="s">
        <v>44</v>
      </c>
    </row>
    <row r="326" spans="1:10" s="90" customFormat="1" ht="24">
      <c r="A326" s="138"/>
      <c r="B326" s="127"/>
      <c r="C326" s="127"/>
      <c r="D326" s="85">
        <f t="shared" si="16"/>
        <v>0.27272727272727271</v>
      </c>
      <c r="E326" s="86"/>
      <c r="F326" s="52" t="s">
        <v>309</v>
      </c>
      <c r="G326" s="88" t="s">
        <v>66</v>
      </c>
      <c r="H326" s="89">
        <f t="shared" si="15"/>
        <v>4</v>
      </c>
      <c r="I326" s="88">
        <f>IF([3]项目总工作量!B$6="交易类",H326*1.5/22,IF([3]项目总工作量!B$6="数据分析类",H326*1.5*0.9/22,IF([3]项目总工作量!B$6="流程管理类",H326*1.5*0.8/22,IF([3]项目总工作量!B$6="渠道类",H326*1.5*0.7/22,FALSE))))</f>
        <v>0.27272727272727271</v>
      </c>
      <c r="J326" s="88" t="s">
        <v>44</v>
      </c>
    </row>
    <row r="327" spans="1:10" s="90" customFormat="1" ht="24">
      <c r="A327" s="138"/>
      <c r="B327" s="127"/>
      <c r="C327" s="127"/>
      <c r="D327" s="85">
        <f t="shared" si="16"/>
        <v>0.27272727272727271</v>
      </c>
      <c r="E327" s="86"/>
      <c r="F327" s="52" t="s">
        <v>308</v>
      </c>
      <c r="G327" s="88" t="s">
        <v>66</v>
      </c>
      <c r="H327" s="89">
        <f t="shared" si="15"/>
        <v>4</v>
      </c>
      <c r="I327" s="88">
        <f>IF([3]项目总工作量!B$6="交易类",H327*1.5/22,IF([3]项目总工作量!B$6="数据分析类",H327*1.5*0.9/22,IF([3]项目总工作量!B$6="流程管理类",H327*1.5*0.8/22,IF([3]项目总工作量!B$6="渠道类",H327*1.5*0.7/22,FALSE))))</f>
        <v>0.27272727272727271</v>
      </c>
      <c r="J327" s="88" t="s">
        <v>44</v>
      </c>
    </row>
    <row r="328" spans="1:10" s="90" customFormat="1" ht="24">
      <c r="A328" s="138"/>
      <c r="B328" s="127"/>
      <c r="C328" s="127"/>
      <c r="D328" s="85">
        <f t="shared" si="16"/>
        <v>0.27272727272727271</v>
      </c>
      <c r="E328" s="86"/>
      <c r="F328" s="52" t="s">
        <v>307</v>
      </c>
      <c r="G328" s="88" t="s">
        <v>66</v>
      </c>
      <c r="H328" s="89">
        <f t="shared" si="15"/>
        <v>4</v>
      </c>
      <c r="I328" s="88">
        <f>IF([3]项目总工作量!B$6="交易类",H328*1.5/22,IF([3]项目总工作量!B$6="数据分析类",H328*1.5*0.9/22,IF([3]项目总工作量!B$6="流程管理类",H328*1.5*0.8/22,IF([3]项目总工作量!B$6="渠道类",H328*1.5*0.7/22,FALSE))))</f>
        <v>0.27272727272727271</v>
      </c>
      <c r="J328" s="88" t="s">
        <v>44</v>
      </c>
    </row>
    <row r="329" spans="1:10" s="90" customFormat="1" ht="24">
      <c r="A329" s="138"/>
      <c r="B329" s="127"/>
      <c r="C329" s="127"/>
      <c r="D329" s="85">
        <f t="shared" si="16"/>
        <v>0.27272727272727271</v>
      </c>
      <c r="E329" s="86"/>
      <c r="F329" s="52" t="s">
        <v>306</v>
      </c>
      <c r="G329" s="88" t="s">
        <v>66</v>
      </c>
      <c r="H329" s="89">
        <f t="shared" si="15"/>
        <v>4</v>
      </c>
      <c r="I329" s="88">
        <f>IF([3]项目总工作量!B$6="交易类",H329*1.5/22,IF([3]项目总工作量!B$6="数据分析类",H329*1.5*0.9/22,IF([3]项目总工作量!B$6="流程管理类",H329*1.5*0.8/22,IF([3]项目总工作量!B$6="渠道类",H329*1.5*0.7/22,FALSE))))</f>
        <v>0.27272727272727271</v>
      </c>
      <c r="J329" s="88" t="s">
        <v>44</v>
      </c>
    </row>
    <row r="330" spans="1:10" s="90" customFormat="1" ht="24">
      <c r="A330" s="138"/>
      <c r="B330" s="127"/>
      <c r="C330" s="127"/>
      <c r="D330" s="85">
        <f t="shared" si="16"/>
        <v>0.27272727272727271</v>
      </c>
      <c r="E330" s="86"/>
      <c r="F330" s="52" t="s">
        <v>305</v>
      </c>
      <c r="G330" s="88" t="s">
        <v>66</v>
      </c>
      <c r="H330" s="89">
        <f t="shared" ref="H330:H361" si="17">IF(G330="EI",4,IF(G330="EO",5,IF(G330="EQ",4,0)))</f>
        <v>4</v>
      </c>
      <c r="I330" s="88">
        <f>IF([3]项目总工作量!B$6="交易类",H330*1.5/22,IF([3]项目总工作量!B$6="数据分析类",H330*1.5*0.9/22,IF([3]项目总工作量!B$6="流程管理类",H330*1.5*0.8/22,IF([3]项目总工作量!B$6="渠道类",H330*1.5*0.7/22,FALSE))))</f>
        <v>0.27272727272727271</v>
      </c>
      <c r="J330" s="88" t="s">
        <v>44</v>
      </c>
    </row>
    <row r="331" spans="1:10" s="90" customFormat="1" ht="24">
      <c r="A331" s="138"/>
      <c r="B331" s="127"/>
      <c r="C331" s="127"/>
      <c r="D331" s="85">
        <f t="shared" si="16"/>
        <v>0.27272727272727271</v>
      </c>
      <c r="E331" s="86"/>
      <c r="F331" s="52" t="s">
        <v>304</v>
      </c>
      <c r="G331" s="88" t="s">
        <v>66</v>
      </c>
      <c r="H331" s="89">
        <f t="shared" si="17"/>
        <v>4</v>
      </c>
      <c r="I331" s="88">
        <f>IF([3]项目总工作量!B$6="交易类",H331*1.5/22,IF([3]项目总工作量!B$6="数据分析类",H331*1.5*0.9/22,IF([3]项目总工作量!B$6="流程管理类",H331*1.5*0.8/22,IF([3]项目总工作量!B$6="渠道类",H331*1.5*0.7/22,FALSE))))</f>
        <v>0.27272727272727271</v>
      </c>
      <c r="J331" s="88" t="s">
        <v>44</v>
      </c>
    </row>
    <row r="332" spans="1:10" s="90" customFormat="1" ht="24">
      <c r="A332" s="138"/>
      <c r="B332" s="127"/>
      <c r="C332" s="127"/>
      <c r="D332" s="85">
        <f t="shared" si="16"/>
        <v>0.27272727272727271</v>
      </c>
      <c r="E332" s="86"/>
      <c r="F332" s="52" t="s">
        <v>303</v>
      </c>
      <c r="G332" s="88" t="s">
        <v>66</v>
      </c>
      <c r="H332" s="89">
        <f t="shared" si="17"/>
        <v>4</v>
      </c>
      <c r="I332" s="88">
        <f>IF([3]项目总工作量!B$6="交易类",H332*1.5/22,IF([3]项目总工作量!B$6="数据分析类",H332*1.5*0.9/22,IF([3]项目总工作量!B$6="流程管理类",H332*1.5*0.8/22,IF([3]项目总工作量!B$6="渠道类",H332*1.5*0.7/22,FALSE))))</f>
        <v>0.27272727272727271</v>
      </c>
      <c r="J332" s="88" t="s">
        <v>44</v>
      </c>
    </row>
    <row r="333" spans="1:10" s="90" customFormat="1" ht="12">
      <c r="A333" s="138"/>
      <c r="B333" s="127"/>
      <c r="C333" s="127"/>
      <c r="D333" s="85">
        <f t="shared" si="16"/>
        <v>0.27272727272727271</v>
      </c>
      <c r="E333" s="86"/>
      <c r="F333" s="52" t="s">
        <v>302</v>
      </c>
      <c r="G333" s="88" t="s">
        <v>66</v>
      </c>
      <c r="H333" s="89">
        <f t="shared" si="17"/>
        <v>4</v>
      </c>
      <c r="I333" s="88">
        <f>IF([3]项目总工作量!B$6="交易类",H333*1.5/22,IF([3]项目总工作量!B$6="数据分析类",H333*1.5*0.9/22,IF([3]项目总工作量!B$6="流程管理类",H333*1.5*0.8/22,IF([3]项目总工作量!B$6="渠道类",H333*1.5*0.7/22,FALSE))))</f>
        <v>0.27272727272727271</v>
      </c>
      <c r="J333" s="88" t="s">
        <v>44</v>
      </c>
    </row>
    <row r="334" spans="1:10" s="90" customFormat="1" ht="12">
      <c r="A334" s="138"/>
      <c r="B334" s="127"/>
      <c r="C334" s="127"/>
      <c r="D334" s="85">
        <f t="shared" si="16"/>
        <v>0.27272727272727271</v>
      </c>
      <c r="E334" s="86"/>
      <c r="F334" s="52" t="s">
        <v>301</v>
      </c>
      <c r="G334" s="88" t="s">
        <v>66</v>
      </c>
      <c r="H334" s="89">
        <f t="shared" si="17"/>
        <v>4</v>
      </c>
      <c r="I334" s="88">
        <f>IF([3]项目总工作量!B$6="交易类",H334*1.5/22,IF([3]项目总工作量!B$6="数据分析类",H334*1.5*0.9/22,IF([3]项目总工作量!B$6="流程管理类",H334*1.5*0.8/22,IF([3]项目总工作量!B$6="渠道类",H334*1.5*0.7/22,FALSE))))</f>
        <v>0.27272727272727271</v>
      </c>
      <c r="J334" s="88" t="s">
        <v>44</v>
      </c>
    </row>
    <row r="335" spans="1:10" s="90" customFormat="1" ht="12">
      <c r="A335" s="138"/>
      <c r="B335" s="127"/>
      <c r="C335" s="127"/>
      <c r="D335" s="85">
        <f t="shared" si="16"/>
        <v>0.27272727272727271</v>
      </c>
      <c r="E335" s="86"/>
      <c r="F335" s="52" t="s">
        <v>300</v>
      </c>
      <c r="G335" s="88" t="s">
        <v>66</v>
      </c>
      <c r="H335" s="89">
        <f t="shared" si="17"/>
        <v>4</v>
      </c>
      <c r="I335" s="88">
        <f>IF([3]项目总工作量!B$6="交易类",H335*1.5/22,IF([3]项目总工作量!B$6="数据分析类",H335*1.5*0.9/22,IF([3]项目总工作量!B$6="流程管理类",H335*1.5*0.8/22,IF([3]项目总工作量!B$6="渠道类",H335*1.5*0.7/22,FALSE))))</f>
        <v>0.27272727272727271</v>
      </c>
      <c r="J335" s="88" t="s">
        <v>44</v>
      </c>
    </row>
    <row r="336" spans="1:10" s="90" customFormat="1" ht="12">
      <c r="A336" s="138"/>
      <c r="B336" s="127"/>
      <c r="C336" s="127"/>
      <c r="D336" s="85">
        <f t="shared" si="16"/>
        <v>0.27272727272727271</v>
      </c>
      <c r="E336" s="86"/>
      <c r="F336" s="52" t="s">
        <v>299</v>
      </c>
      <c r="G336" s="88" t="s">
        <v>66</v>
      </c>
      <c r="H336" s="89">
        <f t="shared" si="17"/>
        <v>4</v>
      </c>
      <c r="I336" s="88">
        <f>IF([3]项目总工作量!B$6="交易类",H336*1.5/22,IF([3]项目总工作量!B$6="数据分析类",H336*1.5*0.9/22,IF([3]项目总工作量!B$6="流程管理类",H336*1.5*0.8/22,IF([3]项目总工作量!B$6="渠道类",H336*1.5*0.7/22,FALSE))))</f>
        <v>0.27272727272727271</v>
      </c>
      <c r="J336" s="88" t="s">
        <v>44</v>
      </c>
    </row>
    <row r="337" spans="1:10" s="90" customFormat="1" ht="12">
      <c r="A337" s="138"/>
      <c r="B337" s="127"/>
      <c r="C337" s="127"/>
      <c r="D337" s="85">
        <f t="shared" si="16"/>
        <v>0.27272727272727271</v>
      </c>
      <c r="E337" s="86"/>
      <c r="F337" s="52" t="s">
        <v>298</v>
      </c>
      <c r="G337" s="88" t="s">
        <v>66</v>
      </c>
      <c r="H337" s="89">
        <f t="shared" si="17"/>
        <v>4</v>
      </c>
      <c r="I337" s="88">
        <f>IF([3]项目总工作量!B$6="交易类",H337*1.5/22,IF([3]项目总工作量!B$6="数据分析类",H337*1.5*0.9/22,IF([3]项目总工作量!B$6="流程管理类",H337*1.5*0.8/22,IF([3]项目总工作量!B$6="渠道类",H337*1.5*0.7/22,FALSE))))</f>
        <v>0.27272727272727271</v>
      </c>
      <c r="J337" s="88" t="s">
        <v>44</v>
      </c>
    </row>
    <row r="338" spans="1:10" s="90" customFormat="1" ht="12">
      <c r="A338" s="138"/>
      <c r="B338" s="127"/>
      <c r="C338" s="127"/>
      <c r="D338" s="85">
        <f t="shared" si="16"/>
        <v>0.27272727272727271</v>
      </c>
      <c r="E338" s="86"/>
      <c r="F338" s="52" t="s">
        <v>297</v>
      </c>
      <c r="G338" s="88" t="s">
        <v>66</v>
      </c>
      <c r="H338" s="89">
        <f t="shared" si="17"/>
        <v>4</v>
      </c>
      <c r="I338" s="88">
        <f>IF([3]项目总工作量!B$6="交易类",H338*1.5/22,IF([3]项目总工作量!B$6="数据分析类",H338*1.5*0.9/22,IF([3]项目总工作量!B$6="流程管理类",H338*1.5*0.8/22,IF([3]项目总工作量!B$6="渠道类",H338*1.5*0.7/22,FALSE))))</f>
        <v>0.27272727272727271</v>
      </c>
      <c r="J338" s="88" t="s">
        <v>44</v>
      </c>
    </row>
    <row r="339" spans="1:10" s="90" customFormat="1" ht="12">
      <c r="A339" s="138"/>
      <c r="B339" s="127"/>
      <c r="C339" s="127"/>
      <c r="D339" s="85">
        <f t="shared" si="16"/>
        <v>0.27272727272727271</v>
      </c>
      <c r="E339" s="86"/>
      <c r="F339" s="52" t="s">
        <v>296</v>
      </c>
      <c r="G339" s="88" t="s">
        <v>66</v>
      </c>
      <c r="H339" s="89">
        <f t="shared" si="17"/>
        <v>4</v>
      </c>
      <c r="I339" s="88">
        <f>IF([3]项目总工作量!B$6="交易类",H339*1.5/22,IF([3]项目总工作量!B$6="数据分析类",H339*1.5*0.9/22,IF([3]项目总工作量!B$6="流程管理类",H339*1.5*0.8/22,IF([3]项目总工作量!B$6="渠道类",H339*1.5*0.7/22,FALSE))))</f>
        <v>0.27272727272727271</v>
      </c>
      <c r="J339" s="88" t="s">
        <v>44</v>
      </c>
    </row>
    <row r="340" spans="1:10" s="90" customFormat="1" ht="12">
      <c r="A340" s="138"/>
      <c r="B340" s="127"/>
      <c r="C340" s="127"/>
      <c r="D340" s="85">
        <f t="shared" si="16"/>
        <v>0.27272727272727271</v>
      </c>
      <c r="E340" s="86"/>
      <c r="F340" s="52" t="s">
        <v>295</v>
      </c>
      <c r="G340" s="88" t="s">
        <v>66</v>
      </c>
      <c r="H340" s="89">
        <f t="shared" si="17"/>
        <v>4</v>
      </c>
      <c r="I340" s="88">
        <f>IF([3]项目总工作量!B$6="交易类",H340*1.5/22,IF([3]项目总工作量!B$6="数据分析类",H340*1.5*0.9/22,IF([3]项目总工作量!B$6="流程管理类",H340*1.5*0.8/22,IF([3]项目总工作量!B$6="渠道类",H340*1.5*0.7/22,FALSE))))</f>
        <v>0.27272727272727271</v>
      </c>
      <c r="J340" s="88" t="s">
        <v>44</v>
      </c>
    </row>
    <row r="341" spans="1:10" s="90" customFormat="1" ht="12">
      <c r="A341" s="138"/>
      <c r="B341" s="127"/>
      <c r="C341" s="127"/>
      <c r="D341" s="85">
        <f t="shared" si="16"/>
        <v>0.27272727272727271</v>
      </c>
      <c r="E341" s="86"/>
      <c r="F341" s="52" t="s">
        <v>294</v>
      </c>
      <c r="G341" s="88" t="s">
        <v>66</v>
      </c>
      <c r="H341" s="89">
        <f t="shared" si="17"/>
        <v>4</v>
      </c>
      <c r="I341" s="88">
        <f>IF([3]项目总工作量!B$6="交易类",H341*1.5/22,IF([3]项目总工作量!B$6="数据分析类",H341*1.5*0.9/22,IF([3]项目总工作量!B$6="流程管理类",H341*1.5*0.8/22,IF([3]项目总工作量!B$6="渠道类",H341*1.5*0.7/22,FALSE))))</f>
        <v>0.27272727272727271</v>
      </c>
      <c r="J341" s="88" t="s">
        <v>44</v>
      </c>
    </row>
    <row r="342" spans="1:10" s="90" customFormat="1" ht="12">
      <c r="A342" s="138"/>
      <c r="B342" s="127"/>
      <c r="C342" s="127"/>
      <c r="D342" s="85">
        <f t="shared" si="16"/>
        <v>0.27272727272727271</v>
      </c>
      <c r="E342" s="86"/>
      <c r="F342" s="52" t="s">
        <v>293</v>
      </c>
      <c r="G342" s="88" t="s">
        <v>66</v>
      </c>
      <c r="H342" s="89">
        <f t="shared" si="17"/>
        <v>4</v>
      </c>
      <c r="I342" s="88">
        <f>IF([3]项目总工作量!B$6="交易类",H342*1.5/22,IF([3]项目总工作量!B$6="数据分析类",H342*1.5*0.9/22,IF([3]项目总工作量!B$6="流程管理类",H342*1.5*0.8/22,IF([3]项目总工作量!B$6="渠道类",H342*1.5*0.7/22,FALSE))))</f>
        <v>0.27272727272727271</v>
      </c>
      <c r="J342" s="88" t="s">
        <v>44</v>
      </c>
    </row>
    <row r="343" spans="1:10" s="90" customFormat="1" ht="12">
      <c r="A343" s="138"/>
      <c r="B343" s="127"/>
      <c r="C343" s="127"/>
      <c r="D343" s="85">
        <f t="shared" si="16"/>
        <v>0.27272727272727271</v>
      </c>
      <c r="E343" s="86"/>
      <c r="F343" s="52" t="s">
        <v>292</v>
      </c>
      <c r="G343" s="88" t="s">
        <v>66</v>
      </c>
      <c r="H343" s="89">
        <f t="shared" si="17"/>
        <v>4</v>
      </c>
      <c r="I343" s="88">
        <f>IF([3]项目总工作量!B$6="交易类",H343*1.5/22,IF([3]项目总工作量!B$6="数据分析类",H343*1.5*0.9/22,IF([3]项目总工作量!B$6="流程管理类",H343*1.5*0.8/22,IF([3]项目总工作量!B$6="渠道类",H343*1.5*0.7/22,FALSE))))</f>
        <v>0.27272727272727271</v>
      </c>
      <c r="J343" s="88" t="s">
        <v>44</v>
      </c>
    </row>
    <row r="344" spans="1:10" s="90" customFormat="1" ht="12">
      <c r="A344" s="138"/>
      <c r="B344" s="127"/>
      <c r="C344" s="127"/>
      <c r="D344" s="85">
        <f t="shared" si="16"/>
        <v>0.27272727272727271</v>
      </c>
      <c r="E344" s="86"/>
      <c r="F344" s="52" t="s">
        <v>291</v>
      </c>
      <c r="G344" s="88" t="s">
        <v>66</v>
      </c>
      <c r="H344" s="89">
        <f t="shared" si="17"/>
        <v>4</v>
      </c>
      <c r="I344" s="88">
        <f>IF([3]项目总工作量!B$6="交易类",H344*1.5/22,IF([3]项目总工作量!B$6="数据分析类",H344*1.5*0.9/22,IF([3]项目总工作量!B$6="流程管理类",H344*1.5*0.8/22,IF([3]项目总工作量!B$6="渠道类",H344*1.5*0.7/22,FALSE))))</f>
        <v>0.27272727272727271</v>
      </c>
      <c r="J344" s="88" t="s">
        <v>44</v>
      </c>
    </row>
    <row r="345" spans="1:10" s="90" customFormat="1" ht="12">
      <c r="A345" s="138"/>
      <c r="B345" s="127"/>
      <c r="C345" s="127"/>
      <c r="D345" s="85">
        <f t="shared" si="16"/>
        <v>0.27272727272727271</v>
      </c>
      <c r="E345" s="86"/>
      <c r="F345" s="52" t="s">
        <v>290</v>
      </c>
      <c r="G345" s="88" t="s">
        <v>66</v>
      </c>
      <c r="H345" s="89">
        <f t="shared" si="17"/>
        <v>4</v>
      </c>
      <c r="I345" s="88">
        <f>IF([3]项目总工作量!B$6="交易类",H345*1.5/22,IF([3]项目总工作量!B$6="数据分析类",H345*1.5*0.9/22,IF([3]项目总工作量!B$6="流程管理类",H345*1.5*0.8/22,IF([3]项目总工作量!B$6="渠道类",H345*1.5*0.7/22,FALSE))))</f>
        <v>0.27272727272727271</v>
      </c>
      <c r="J345" s="88" t="s">
        <v>44</v>
      </c>
    </row>
    <row r="346" spans="1:10" s="90" customFormat="1" ht="12">
      <c r="A346" s="138"/>
      <c r="B346" s="127"/>
      <c r="C346" s="127"/>
      <c r="D346" s="85">
        <f t="shared" si="16"/>
        <v>0.27272727272727271</v>
      </c>
      <c r="E346" s="86"/>
      <c r="F346" s="52" t="s">
        <v>289</v>
      </c>
      <c r="G346" s="88" t="s">
        <v>66</v>
      </c>
      <c r="H346" s="89">
        <f t="shared" si="17"/>
        <v>4</v>
      </c>
      <c r="I346" s="88">
        <f>IF([3]项目总工作量!B$6="交易类",H346*1.5/22,IF([3]项目总工作量!B$6="数据分析类",H346*1.5*0.9/22,IF([3]项目总工作量!B$6="流程管理类",H346*1.5*0.8/22,IF([3]项目总工作量!B$6="渠道类",H346*1.5*0.7/22,FALSE))))</f>
        <v>0.27272727272727271</v>
      </c>
      <c r="J346" s="88" t="s">
        <v>44</v>
      </c>
    </row>
    <row r="347" spans="1:10" s="90" customFormat="1" ht="12">
      <c r="A347" s="138"/>
      <c r="B347" s="127"/>
      <c r="C347" s="127"/>
      <c r="D347" s="85">
        <f t="shared" si="16"/>
        <v>0.27272727272727271</v>
      </c>
      <c r="E347" s="86"/>
      <c r="F347" s="52" t="s">
        <v>288</v>
      </c>
      <c r="G347" s="88" t="s">
        <v>66</v>
      </c>
      <c r="H347" s="89">
        <f t="shared" si="17"/>
        <v>4</v>
      </c>
      <c r="I347" s="88">
        <f>IF([3]项目总工作量!B$6="交易类",H347*1.5/22,IF([3]项目总工作量!B$6="数据分析类",H347*1.5*0.9/22,IF([3]项目总工作量!B$6="流程管理类",H347*1.5*0.8/22,IF([3]项目总工作量!B$6="渠道类",H347*1.5*0.7/22,FALSE))))</f>
        <v>0.27272727272727271</v>
      </c>
      <c r="J347" s="88" t="s">
        <v>44</v>
      </c>
    </row>
    <row r="348" spans="1:10" s="90" customFormat="1" ht="12">
      <c r="A348" s="138"/>
      <c r="B348" s="127"/>
      <c r="C348" s="127"/>
      <c r="D348" s="85">
        <f t="shared" si="16"/>
        <v>0.27272727272727271</v>
      </c>
      <c r="E348" s="86"/>
      <c r="F348" s="52" t="s">
        <v>287</v>
      </c>
      <c r="G348" s="88" t="s">
        <v>66</v>
      </c>
      <c r="H348" s="89">
        <f t="shared" si="17"/>
        <v>4</v>
      </c>
      <c r="I348" s="88">
        <f>IF([3]项目总工作量!B$6="交易类",H348*1.5/22,IF([3]项目总工作量!B$6="数据分析类",H348*1.5*0.9/22,IF([3]项目总工作量!B$6="流程管理类",H348*1.5*0.8/22,IF([3]项目总工作量!B$6="渠道类",H348*1.5*0.7/22,FALSE))))</f>
        <v>0.27272727272727271</v>
      </c>
      <c r="J348" s="88" t="s">
        <v>44</v>
      </c>
    </row>
    <row r="349" spans="1:10" s="90" customFormat="1" ht="12">
      <c r="A349" s="138"/>
      <c r="B349" s="127"/>
      <c r="C349" s="127"/>
      <c r="D349" s="85">
        <f t="shared" si="16"/>
        <v>0.27272727272727271</v>
      </c>
      <c r="E349" s="86"/>
      <c r="F349" s="52" t="s">
        <v>286</v>
      </c>
      <c r="G349" s="88" t="s">
        <v>66</v>
      </c>
      <c r="H349" s="89">
        <f t="shared" si="17"/>
        <v>4</v>
      </c>
      <c r="I349" s="88">
        <f>IF([3]项目总工作量!B$6="交易类",H349*1.5/22,IF([3]项目总工作量!B$6="数据分析类",H349*1.5*0.9/22,IF([3]项目总工作量!B$6="流程管理类",H349*1.5*0.8/22,IF([3]项目总工作量!B$6="渠道类",H349*1.5*0.7/22,FALSE))))</f>
        <v>0.27272727272727271</v>
      </c>
      <c r="J349" s="88" t="s">
        <v>44</v>
      </c>
    </row>
    <row r="350" spans="1:10" s="90" customFormat="1" ht="12">
      <c r="A350" s="138"/>
      <c r="B350" s="127"/>
      <c r="C350" s="127"/>
      <c r="D350" s="85">
        <f t="shared" si="16"/>
        <v>0.27272727272727271</v>
      </c>
      <c r="E350" s="86"/>
      <c r="F350" s="52" t="s">
        <v>285</v>
      </c>
      <c r="G350" s="88" t="s">
        <v>66</v>
      </c>
      <c r="H350" s="89">
        <f t="shared" si="17"/>
        <v>4</v>
      </c>
      <c r="I350" s="88">
        <f>IF([3]项目总工作量!B$6="交易类",H350*1.5/22,IF([3]项目总工作量!B$6="数据分析类",H350*1.5*0.9/22,IF([3]项目总工作量!B$6="流程管理类",H350*1.5*0.8/22,IF([3]项目总工作量!B$6="渠道类",H350*1.5*0.7/22,FALSE))))</f>
        <v>0.27272727272727271</v>
      </c>
      <c r="J350" s="88" t="s">
        <v>44</v>
      </c>
    </row>
    <row r="351" spans="1:10" s="90" customFormat="1" ht="12">
      <c r="A351" s="138"/>
      <c r="B351" s="127"/>
      <c r="C351" s="127"/>
      <c r="D351" s="85">
        <f t="shared" si="16"/>
        <v>0.27272727272727271</v>
      </c>
      <c r="E351" s="86"/>
      <c r="F351" s="52" t="s">
        <v>284</v>
      </c>
      <c r="G351" s="88" t="s">
        <v>66</v>
      </c>
      <c r="H351" s="89">
        <f t="shared" si="17"/>
        <v>4</v>
      </c>
      <c r="I351" s="88">
        <f>IF([3]项目总工作量!B$6="交易类",H351*1.5/22,IF([3]项目总工作量!B$6="数据分析类",H351*1.5*0.9/22,IF([3]项目总工作量!B$6="流程管理类",H351*1.5*0.8/22,IF([3]项目总工作量!B$6="渠道类",H351*1.5*0.7/22,FALSE))))</f>
        <v>0.27272727272727271</v>
      </c>
      <c r="J351" s="88" t="s">
        <v>44</v>
      </c>
    </row>
    <row r="352" spans="1:10" s="90" customFormat="1" ht="12">
      <c r="A352" s="138"/>
      <c r="B352" s="127"/>
      <c r="C352" s="127"/>
      <c r="D352" s="85">
        <f t="shared" si="16"/>
        <v>0.27272727272727271</v>
      </c>
      <c r="E352" s="86"/>
      <c r="F352" s="52" t="s">
        <v>283</v>
      </c>
      <c r="G352" s="88" t="s">
        <v>66</v>
      </c>
      <c r="H352" s="89">
        <f t="shared" si="17"/>
        <v>4</v>
      </c>
      <c r="I352" s="88">
        <f>IF([3]项目总工作量!B$6="交易类",H352*1.5/22,IF([3]项目总工作量!B$6="数据分析类",H352*1.5*0.9/22,IF([3]项目总工作量!B$6="流程管理类",H352*1.5*0.8/22,IF([3]项目总工作量!B$6="渠道类",H352*1.5*0.7/22,FALSE))))</f>
        <v>0.27272727272727271</v>
      </c>
      <c r="J352" s="88" t="s">
        <v>44</v>
      </c>
    </row>
    <row r="353" spans="1:10" s="90" customFormat="1" ht="12">
      <c r="A353" s="138">
        <v>7</v>
      </c>
      <c r="B353" s="127" t="s">
        <v>216</v>
      </c>
      <c r="C353" s="127" t="s">
        <v>217</v>
      </c>
      <c r="D353" s="85">
        <f t="shared" si="16"/>
        <v>0.27272727272727271</v>
      </c>
      <c r="E353" s="86"/>
      <c r="F353" s="52" t="s">
        <v>218</v>
      </c>
      <c r="G353" s="88" t="s">
        <v>66</v>
      </c>
      <c r="H353" s="89">
        <f t="shared" si="17"/>
        <v>4</v>
      </c>
      <c r="I353" s="88">
        <f>IF([3]项目总工作量!B$6="交易类",H353*1.5/22,IF([3]项目总工作量!B$6="数据分析类",H353*1.5*0.9/22,IF([3]项目总工作量!B$6="流程管理类",H353*1.5*0.8/22,IF([3]项目总工作量!B$6="渠道类",H353*1.5*0.7/22,FALSE))))</f>
        <v>0.27272727272727271</v>
      </c>
      <c r="J353" s="88" t="s">
        <v>44</v>
      </c>
    </row>
    <row r="354" spans="1:10" s="90" customFormat="1" ht="12">
      <c r="A354" s="138"/>
      <c r="B354" s="127"/>
      <c r="C354" s="127"/>
      <c r="D354" s="85">
        <f t="shared" si="16"/>
        <v>0.27272727272727271</v>
      </c>
      <c r="E354" s="86"/>
      <c r="F354" s="52" t="s">
        <v>219</v>
      </c>
      <c r="G354" s="88" t="s">
        <v>66</v>
      </c>
      <c r="H354" s="89">
        <f t="shared" si="17"/>
        <v>4</v>
      </c>
      <c r="I354" s="88">
        <f>IF([3]项目总工作量!B$6="交易类",H354*1.5/22,IF([3]项目总工作量!B$6="数据分析类",H354*1.5*0.9/22,IF([3]项目总工作量!B$6="流程管理类",H354*1.5*0.8/22,IF([3]项目总工作量!B$6="渠道类",H354*1.5*0.7/22,FALSE))))</f>
        <v>0.27272727272727271</v>
      </c>
      <c r="J354" s="88" t="s">
        <v>44</v>
      </c>
    </row>
    <row r="355" spans="1:10" s="90" customFormat="1" ht="12">
      <c r="A355" s="138"/>
      <c r="B355" s="127"/>
      <c r="C355" s="127"/>
      <c r="D355" s="85">
        <f t="shared" si="16"/>
        <v>0.27272727272727271</v>
      </c>
      <c r="E355" s="86"/>
      <c r="F355" s="52" t="s">
        <v>220</v>
      </c>
      <c r="G355" s="88" t="s">
        <v>66</v>
      </c>
      <c r="H355" s="89">
        <f t="shared" si="17"/>
        <v>4</v>
      </c>
      <c r="I355" s="88">
        <f>IF([3]项目总工作量!B$6="交易类",H355*1.5/22,IF([3]项目总工作量!B$6="数据分析类",H355*1.5*0.9/22,IF([3]项目总工作量!B$6="流程管理类",H355*1.5*0.8/22,IF([3]项目总工作量!B$6="渠道类",H355*1.5*0.7/22,FALSE))))</f>
        <v>0.27272727272727271</v>
      </c>
      <c r="J355" s="88" t="s">
        <v>44</v>
      </c>
    </row>
    <row r="356" spans="1:10" s="90" customFormat="1" ht="24">
      <c r="A356" s="138"/>
      <c r="B356" s="127"/>
      <c r="C356" s="127"/>
      <c r="D356" s="85">
        <f t="shared" si="16"/>
        <v>0.27272727272727271</v>
      </c>
      <c r="E356" s="86"/>
      <c r="F356" s="52" t="s">
        <v>221</v>
      </c>
      <c r="G356" s="88" t="s">
        <v>66</v>
      </c>
      <c r="H356" s="89">
        <f t="shared" si="17"/>
        <v>4</v>
      </c>
      <c r="I356" s="88">
        <f>IF([3]项目总工作量!B$6="交易类",H356*1.5/22,IF([3]项目总工作量!B$6="数据分析类",H356*1.5*0.9/22,IF([3]项目总工作量!B$6="流程管理类",H356*1.5*0.8/22,IF([3]项目总工作量!B$6="渠道类",H356*1.5*0.7/22,FALSE))))</f>
        <v>0.27272727272727271</v>
      </c>
      <c r="J356" s="88" t="s">
        <v>44</v>
      </c>
    </row>
    <row r="357" spans="1:10" s="90" customFormat="1" ht="24">
      <c r="A357" s="138"/>
      <c r="B357" s="127"/>
      <c r="C357" s="127"/>
      <c r="D357" s="85">
        <f t="shared" si="16"/>
        <v>0.27272727272727271</v>
      </c>
      <c r="E357" s="86"/>
      <c r="F357" s="52" t="s">
        <v>222</v>
      </c>
      <c r="G357" s="88" t="s">
        <v>66</v>
      </c>
      <c r="H357" s="89">
        <f t="shared" si="17"/>
        <v>4</v>
      </c>
      <c r="I357" s="88">
        <f>IF([3]项目总工作量!B$6="交易类",H357*1.5/22,IF([3]项目总工作量!B$6="数据分析类",H357*1.5*0.9/22,IF([3]项目总工作量!B$6="流程管理类",H357*1.5*0.8/22,IF([3]项目总工作量!B$6="渠道类",H357*1.5*0.7/22,FALSE))))</f>
        <v>0.27272727272727271</v>
      </c>
      <c r="J357" s="88" t="s">
        <v>44</v>
      </c>
    </row>
    <row r="358" spans="1:10" s="90" customFormat="1" ht="12">
      <c r="A358" s="138"/>
      <c r="B358" s="127"/>
      <c r="C358" s="127"/>
      <c r="D358" s="85">
        <f t="shared" si="16"/>
        <v>0.27272727272727271</v>
      </c>
      <c r="E358" s="86"/>
      <c r="F358" s="52" t="s">
        <v>223</v>
      </c>
      <c r="G358" s="88" t="s">
        <v>66</v>
      </c>
      <c r="H358" s="89">
        <f t="shared" si="17"/>
        <v>4</v>
      </c>
      <c r="I358" s="88">
        <f>IF([3]项目总工作量!B$6="交易类",H358*1.5/22,IF([3]项目总工作量!B$6="数据分析类",H358*1.5*0.9/22,IF([3]项目总工作量!B$6="流程管理类",H358*1.5*0.8/22,IF([3]项目总工作量!B$6="渠道类",H358*1.5*0.7/22,FALSE))))</f>
        <v>0.27272727272727271</v>
      </c>
      <c r="J358" s="88" t="s">
        <v>44</v>
      </c>
    </row>
    <row r="359" spans="1:10" s="90" customFormat="1" ht="12">
      <c r="A359" s="138"/>
      <c r="B359" s="127"/>
      <c r="C359" s="127"/>
      <c r="D359" s="85">
        <f t="shared" si="16"/>
        <v>0.27272727272727271</v>
      </c>
      <c r="E359" s="86"/>
      <c r="F359" s="52" t="s">
        <v>224</v>
      </c>
      <c r="G359" s="88" t="s">
        <v>66</v>
      </c>
      <c r="H359" s="89">
        <f t="shared" si="17"/>
        <v>4</v>
      </c>
      <c r="I359" s="88">
        <f>IF([3]项目总工作量!B$6="交易类",H359*1.5/22,IF([3]项目总工作量!B$6="数据分析类",H359*1.5*0.9/22,IF([3]项目总工作量!B$6="流程管理类",H359*1.5*0.8/22,IF([3]项目总工作量!B$6="渠道类",H359*1.5*0.7/22,FALSE))))</f>
        <v>0.27272727272727271</v>
      </c>
      <c r="J359" s="88" t="s">
        <v>44</v>
      </c>
    </row>
    <row r="360" spans="1:10" s="90" customFormat="1" ht="12">
      <c r="A360" s="138"/>
      <c r="B360" s="127"/>
      <c r="C360" s="127"/>
      <c r="D360" s="85">
        <f t="shared" si="16"/>
        <v>0.27272727272727271</v>
      </c>
      <c r="E360" s="86"/>
      <c r="F360" s="52" t="s">
        <v>225</v>
      </c>
      <c r="G360" s="88" t="s">
        <v>66</v>
      </c>
      <c r="H360" s="89">
        <f t="shared" si="17"/>
        <v>4</v>
      </c>
      <c r="I360" s="88">
        <f>IF([3]项目总工作量!B$6="交易类",H360*1.5/22,IF([3]项目总工作量!B$6="数据分析类",H360*1.5*0.9/22,IF([3]项目总工作量!B$6="流程管理类",H360*1.5*0.8/22,IF([3]项目总工作量!B$6="渠道类",H360*1.5*0.7/22,FALSE))))</f>
        <v>0.27272727272727271</v>
      </c>
      <c r="J360" s="88" t="s">
        <v>44</v>
      </c>
    </row>
    <row r="361" spans="1:10" s="90" customFormat="1" ht="12">
      <c r="A361" s="138"/>
      <c r="B361" s="127"/>
      <c r="C361" s="127"/>
      <c r="D361" s="85">
        <f t="shared" si="16"/>
        <v>0.27272727272727271</v>
      </c>
      <c r="E361" s="86"/>
      <c r="F361" s="52" t="s">
        <v>226</v>
      </c>
      <c r="G361" s="88" t="s">
        <v>66</v>
      </c>
      <c r="H361" s="89">
        <f t="shared" si="17"/>
        <v>4</v>
      </c>
      <c r="I361" s="88">
        <f>IF([3]项目总工作量!B$6="交易类",H361*1.5/22,IF([3]项目总工作量!B$6="数据分析类",H361*1.5*0.9/22,IF([3]项目总工作量!B$6="流程管理类",H361*1.5*0.8/22,IF([3]项目总工作量!B$6="渠道类",H361*1.5*0.7/22,FALSE))))</f>
        <v>0.27272727272727271</v>
      </c>
      <c r="J361" s="88" t="s">
        <v>44</v>
      </c>
    </row>
    <row r="362" spans="1:10" s="90" customFormat="1" ht="12">
      <c r="A362" s="138"/>
      <c r="B362" s="127"/>
      <c r="C362" s="127"/>
      <c r="D362" s="85">
        <f t="shared" si="16"/>
        <v>0.27272727272727271</v>
      </c>
      <c r="E362" s="86"/>
      <c r="F362" s="52" t="s">
        <v>227</v>
      </c>
      <c r="G362" s="88" t="s">
        <v>66</v>
      </c>
      <c r="H362" s="89">
        <f t="shared" ref="H362:H393" si="18">IF(G362="EI",4,IF(G362="EO",5,IF(G362="EQ",4,0)))</f>
        <v>4</v>
      </c>
      <c r="I362" s="88">
        <f>IF([3]项目总工作量!B$6="交易类",H362*1.5/22,IF([3]项目总工作量!B$6="数据分析类",H362*1.5*0.9/22,IF([3]项目总工作量!B$6="流程管理类",H362*1.5*0.8/22,IF([3]项目总工作量!B$6="渠道类",H362*1.5*0.7/22,FALSE))))</f>
        <v>0.27272727272727271</v>
      </c>
      <c r="J362" s="88" t="s">
        <v>44</v>
      </c>
    </row>
    <row r="363" spans="1:10" s="90" customFormat="1" ht="12">
      <c r="A363" s="138"/>
      <c r="B363" s="127"/>
      <c r="C363" s="127"/>
      <c r="D363" s="85">
        <f t="shared" si="16"/>
        <v>0.27272727272727271</v>
      </c>
      <c r="E363" s="86"/>
      <c r="F363" s="52" t="s">
        <v>228</v>
      </c>
      <c r="G363" s="88" t="s">
        <v>66</v>
      </c>
      <c r="H363" s="89">
        <f t="shared" si="18"/>
        <v>4</v>
      </c>
      <c r="I363" s="88">
        <f>IF([3]项目总工作量!B$6="交易类",H363*1.5/22,IF([3]项目总工作量!B$6="数据分析类",H363*1.5*0.9/22,IF([3]项目总工作量!B$6="流程管理类",H363*1.5*0.8/22,IF([3]项目总工作量!B$6="渠道类",H363*1.5*0.7/22,FALSE))))</f>
        <v>0.27272727272727271</v>
      </c>
      <c r="J363" s="88" t="s">
        <v>44</v>
      </c>
    </row>
    <row r="364" spans="1:10" s="90" customFormat="1" ht="24">
      <c r="A364" s="138"/>
      <c r="B364" s="127"/>
      <c r="C364" s="127"/>
      <c r="D364" s="85">
        <f t="shared" si="16"/>
        <v>0.27272727272727271</v>
      </c>
      <c r="E364" s="86"/>
      <c r="F364" s="52" t="s">
        <v>229</v>
      </c>
      <c r="G364" s="88" t="s">
        <v>66</v>
      </c>
      <c r="H364" s="89">
        <f t="shared" si="18"/>
        <v>4</v>
      </c>
      <c r="I364" s="88">
        <f>IF([3]项目总工作量!B$6="交易类",H364*1.5/22,IF([3]项目总工作量!B$6="数据分析类",H364*1.5*0.9/22,IF([3]项目总工作量!B$6="流程管理类",H364*1.5*0.8/22,IF([3]项目总工作量!B$6="渠道类",H364*1.5*0.7/22,FALSE))))</f>
        <v>0.27272727272727271</v>
      </c>
      <c r="J364" s="88" t="s">
        <v>44</v>
      </c>
    </row>
    <row r="365" spans="1:10" s="90" customFormat="1" ht="12">
      <c r="A365" s="138"/>
      <c r="B365" s="127"/>
      <c r="C365" s="127"/>
      <c r="D365" s="85">
        <f t="shared" si="16"/>
        <v>0.27272727272727271</v>
      </c>
      <c r="E365" s="86"/>
      <c r="F365" s="52" t="s">
        <v>230</v>
      </c>
      <c r="G365" s="88" t="s">
        <v>66</v>
      </c>
      <c r="H365" s="89">
        <f t="shared" si="18"/>
        <v>4</v>
      </c>
      <c r="I365" s="88">
        <f>IF([3]项目总工作量!B$6="交易类",H365*1.5/22,IF([3]项目总工作量!B$6="数据分析类",H365*1.5*0.9/22,IF([3]项目总工作量!B$6="流程管理类",H365*1.5*0.8/22,IF([3]项目总工作量!B$6="渠道类",H365*1.5*0.7/22,FALSE))))</f>
        <v>0.27272727272727271</v>
      </c>
      <c r="J365" s="88" t="s">
        <v>44</v>
      </c>
    </row>
    <row r="366" spans="1:10" s="90" customFormat="1" ht="12">
      <c r="A366" s="138"/>
      <c r="B366" s="127"/>
      <c r="C366" s="127"/>
      <c r="D366" s="85">
        <f t="shared" si="16"/>
        <v>0.27272727272727271</v>
      </c>
      <c r="E366" s="86"/>
      <c r="F366" s="52" t="s">
        <v>231</v>
      </c>
      <c r="G366" s="88" t="s">
        <v>66</v>
      </c>
      <c r="H366" s="89">
        <f t="shared" si="18"/>
        <v>4</v>
      </c>
      <c r="I366" s="88">
        <f>IF([3]项目总工作量!B$6="交易类",H366*1.5/22,IF([3]项目总工作量!B$6="数据分析类",H366*1.5*0.9/22,IF([3]项目总工作量!B$6="流程管理类",H366*1.5*0.8/22,IF([3]项目总工作量!B$6="渠道类",H366*1.5*0.7/22,FALSE))))</f>
        <v>0.27272727272727271</v>
      </c>
      <c r="J366" s="88" t="s">
        <v>44</v>
      </c>
    </row>
    <row r="367" spans="1:10" s="90" customFormat="1" ht="12">
      <c r="A367" s="138"/>
      <c r="B367" s="127"/>
      <c r="C367" s="127"/>
      <c r="D367" s="85">
        <f t="shared" si="16"/>
        <v>0.27272727272727271</v>
      </c>
      <c r="E367" s="86"/>
      <c r="F367" s="52" t="s">
        <v>232</v>
      </c>
      <c r="G367" s="88" t="s">
        <v>66</v>
      </c>
      <c r="H367" s="89">
        <f t="shared" si="18"/>
        <v>4</v>
      </c>
      <c r="I367" s="88">
        <f>IF([3]项目总工作量!B$6="交易类",H367*1.5/22,IF([3]项目总工作量!B$6="数据分析类",H367*1.5*0.9/22,IF([3]项目总工作量!B$6="流程管理类",H367*1.5*0.8/22,IF([3]项目总工作量!B$6="渠道类",H367*1.5*0.7/22,FALSE))))</f>
        <v>0.27272727272727271</v>
      </c>
      <c r="J367" s="88" t="s">
        <v>44</v>
      </c>
    </row>
    <row r="368" spans="1:10" s="90" customFormat="1" ht="12">
      <c r="A368" s="138"/>
      <c r="B368" s="127"/>
      <c r="C368" s="127"/>
      <c r="D368" s="85">
        <f t="shared" si="16"/>
        <v>0.27272727272727271</v>
      </c>
      <c r="E368" s="86"/>
      <c r="F368" s="52" t="s">
        <v>233</v>
      </c>
      <c r="G368" s="88" t="s">
        <v>66</v>
      </c>
      <c r="H368" s="89">
        <f t="shared" si="18"/>
        <v>4</v>
      </c>
      <c r="I368" s="88">
        <f>IF([3]项目总工作量!B$6="交易类",H368*1.5/22,IF([3]项目总工作量!B$6="数据分析类",H368*1.5*0.9/22,IF([3]项目总工作量!B$6="流程管理类",H368*1.5*0.8/22,IF([3]项目总工作量!B$6="渠道类",H368*1.5*0.7/22,FALSE))))</f>
        <v>0.27272727272727271</v>
      </c>
      <c r="J368" s="88" t="s">
        <v>44</v>
      </c>
    </row>
    <row r="369" spans="1:10" s="90" customFormat="1" ht="12">
      <c r="A369" s="138"/>
      <c r="B369" s="127"/>
      <c r="C369" s="127"/>
      <c r="D369" s="85">
        <f t="shared" si="16"/>
        <v>0.27272727272727271</v>
      </c>
      <c r="E369" s="86"/>
      <c r="F369" s="52" t="s">
        <v>234</v>
      </c>
      <c r="G369" s="88" t="s">
        <v>66</v>
      </c>
      <c r="H369" s="89">
        <f t="shared" si="18"/>
        <v>4</v>
      </c>
      <c r="I369" s="88">
        <f>IF([3]项目总工作量!B$6="交易类",H369*1.5/22,IF([3]项目总工作量!B$6="数据分析类",H369*1.5*0.9/22,IF([3]项目总工作量!B$6="流程管理类",H369*1.5*0.8/22,IF([3]项目总工作量!B$6="渠道类",H369*1.5*0.7/22,FALSE))))</f>
        <v>0.27272727272727271</v>
      </c>
      <c r="J369" s="88" t="s">
        <v>44</v>
      </c>
    </row>
    <row r="370" spans="1:10" s="90" customFormat="1" ht="12">
      <c r="A370" s="138"/>
      <c r="B370" s="127"/>
      <c r="C370" s="127"/>
      <c r="D370" s="85">
        <f t="shared" si="16"/>
        <v>0.27272727272727271</v>
      </c>
      <c r="E370" s="86"/>
      <c r="F370" s="52" t="s">
        <v>235</v>
      </c>
      <c r="G370" s="88" t="s">
        <v>66</v>
      </c>
      <c r="H370" s="89">
        <f t="shared" si="18"/>
        <v>4</v>
      </c>
      <c r="I370" s="88">
        <f>IF([3]项目总工作量!B$6="交易类",H370*1.5/22,IF([3]项目总工作量!B$6="数据分析类",H370*1.5*0.9/22,IF([3]项目总工作量!B$6="流程管理类",H370*1.5*0.8/22,IF([3]项目总工作量!B$6="渠道类",H370*1.5*0.7/22,FALSE))))</f>
        <v>0.27272727272727271</v>
      </c>
      <c r="J370" s="88" t="s">
        <v>44</v>
      </c>
    </row>
    <row r="371" spans="1:10" s="90" customFormat="1" ht="12">
      <c r="A371" s="138"/>
      <c r="B371" s="127"/>
      <c r="C371" s="127"/>
      <c r="D371" s="85">
        <f t="shared" si="16"/>
        <v>0.27272727272727271</v>
      </c>
      <c r="E371" s="86"/>
      <c r="F371" s="52" t="s">
        <v>236</v>
      </c>
      <c r="G371" s="88" t="s">
        <v>66</v>
      </c>
      <c r="H371" s="89">
        <f t="shared" si="18"/>
        <v>4</v>
      </c>
      <c r="I371" s="88">
        <f>IF([3]项目总工作量!B$6="交易类",H371*1.5/22,IF([3]项目总工作量!B$6="数据分析类",H371*1.5*0.9/22,IF([3]项目总工作量!B$6="流程管理类",H371*1.5*0.8/22,IF([3]项目总工作量!B$6="渠道类",H371*1.5*0.7/22,FALSE))))</f>
        <v>0.27272727272727271</v>
      </c>
      <c r="J371" s="88" t="s">
        <v>44</v>
      </c>
    </row>
    <row r="372" spans="1:10" s="90" customFormat="1" ht="12">
      <c r="A372" s="138"/>
      <c r="B372" s="127"/>
      <c r="C372" s="127"/>
      <c r="D372" s="85">
        <f t="shared" si="16"/>
        <v>0.27272727272727271</v>
      </c>
      <c r="E372" s="86"/>
      <c r="F372" s="52" t="s">
        <v>237</v>
      </c>
      <c r="G372" s="88" t="s">
        <v>66</v>
      </c>
      <c r="H372" s="89">
        <f t="shared" si="18"/>
        <v>4</v>
      </c>
      <c r="I372" s="88">
        <f>IF([3]项目总工作量!B$6="交易类",H372*1.5/22,IF([3]项目总工作量!B$6="数据分析类",H372*1.5*0.9/22,IF([3]项目总工作量!B$6="流程管理类",H372*1.5*0.8/22,IF([3]项目总工作量!B$6="渠道类",H372*1.5*0.7/22,FALSE))))</f>
        <v>0.27272727272727271</v>
      </c>
      <c r="J372" s="88" t="s">
        <v>44</v>
      </c>
    </row>
    <row r="373" spans="1:10" s="90" customFormat="1" ht="12">
      <c r="A373" s="138"/>
      <c r="B373" s="127"/>
      <c r="C373" s="127"/>
      <c r="D373" s="85">
        <f t="shared" si="16"/>
        <v>0.27272727272727271</v>
      </c>
      <c r="E373" s="86"/>
      <c r="F373" s="52" t="s">
        <v>238</v>
      </c>
      <c r="G373" s="88" t="s">
        <v>66</v>
      </c>
      <c r="H373" s="89">
        <f t="shared" si="18"/>
        <v>4</v>
      </c>
      <c r="I373" s="88">
        <f>IF([3]项目总工作量!B$6="交易类",H373*1.5/22,IF([3]项目总工作量!B$6="数据分析类",H373*1.5*0.9/22,IF([3]项目总工作量!B$6="流程管理类",H373*1.5*0.8/22,IF([3]项目总工作量!B$6="渠道类",H373*1.5*0.7/22,FALSE))))</f>
        <v>0.27272727272727271</v>
      </c>
      <c r="J373" s="88" t="s">
        <v>44</v>
      </c>
    </row>
    <row r="374" spans="1:10" s="90" customFormat="1" ht="12">
      <c r="A374" s="138"/>
      <c r="B374" s="127"/>
      <c r="C374" s="127"/>
      <c r="D374" s="85">
        <f t="shared" si="16"/>
        <v>0.27272727272727271</v>
      </c>
      <c r="E374" s="86"/>
      <c r="F374" s="52" t="s">
        <v>239</v>
      </c>
      <c r="G374" s="88" t="s">
        <v>66</v>
      </c>
      <c r="H374" s="89">
        <f t="shared" si="18"/>
        <v>4</v>
      </c>
      <c r="I374" s="88">
        <f>IF([3]项目总工作量!B$6="交易类",H374*1.5/22,IF([3]项目总工作量!B$6="数据分析类",H374*1.5*0.9/22,IF([3]项目总工作量!B$6="流程管理类",H374*1.5*0.8/22,IF([3]项目总工作量!B$6="渠道类",H374*1.5*0.7/22,FALSE))))</f>
        <v>0.27272727272727271</v>
      </c>
      <c r="J374" s="88" t="s">
        <v>44</v>
      </c>
    </row>
    <row r="375" spans="1:10" s="90" customFormat="1" ht="12">
      <c r="A375" s="138"/>
      <c r="B375" s="127"/>
      <c r="C375" s="127"/>
      <c r="D375" s="85">
        <f t="shared" si="16"/>
        <v>0.27272727272727271</v>
      </c>
      <c r="E375" s="86"/>
      <c r="F375" s="52" t="s">
        <v>240</v>
      </c>
      <c r="G375" s="88" t="s">
        <v>66</v>
      </c>
      <c r="H375" s="89">
        <f t="shared" si="18"/>
        <v>4</v>
      </c>
      <c r="I375" s="88">
        <f>IF([3]项目总工作量!B$6="交易类",H375*1.5/22,IF([3]项目总工作量!B$6="数据分析类",H375*1.5*0.9/22,IF([3]项目总工作量!B$6="流程管理类",H375*1.5*0.8/22,IF([3]项目总工作量!B$6="渠道类",H375*1.5*0.7/22,FALSE))))</f>
        <v>0.27272727272727271</v>
      </c>
      <c r="J375" s="88" t="s">
        <v>44</v>
      </c>
    </row>
    <row r="376" spans="1:10" s="90" customFormat="1" ht="12">
      <c r="A376" s="138"/>
      <c r="B376" s="127"/>
      <c r="C376" s="127"/>
      <c r="D376" s="85">
        <f t="shared" si="16"/>
        <v>0.27272727272727271</v>
      </c>
      <c r="E376" s="86"/>
      <c r="F376" s="52" t="s">
        <v>241</v>
      </c>
      <c r="G376" s="88" t="s">
        <v>66</v>
      </c>
      <c r="H376" s="89">
        <f t="shared" si="18"/>
        <v>4</v>
      </c>
      <c r="I376" s="88">
        <f>IF([3]项目总工作量!B$6="交易类",H376*1.5/22,IF([3]项目总工作量!B$6="数据分析类",H376*1.5*0.9/22,IF([3]项目总工作量!B$6="流程管理类",H376*1.5*0.8/22,IF([3]项目总工作量!B$6="渠道类",H376*1.5*0.7/22,FALSE))))</f>
        <v>0.27272727272727271</v>
      </c>
      <c r="J376" s="88" t="s">
        <v>44</v>
      </c>
    </row>
    <row r="377" spans="1:10" s="90" customFormat="1" ht="12">
      <c r="A377" s="138"/>
      <c r="B377" s="127"/>
      <c r="C377" s="127"/>
      <c r="D377" s="85">
        <f t="shared" si="16"/>
        <v>0.27272727272727271</v>
      </c>
      <c r="E377" s="86"/>
      <c r="F377" s="52" t="s">
        <v>242</v>
      </c>
      <c r="G377" s="88" t="s">
        <v>66</v>
      </c>
      <c r="H377" s="89">
        <f t="shared" si="18"/>
        <v>4</v>
      </c>
      <c r="I377" s="88">
        <f>IF([3]项目总工作量!B$6="交易类",H377*1.5/22,IF([3]项目总工作量!B$6="数据分析类",H377*1.5*0.9/22,IF([3]项目总工作量!B$6="流程管理类",H377*1.5*0.8/22,IF([3]项目总工作量!B$6="渠道类",H377*1.5*0.7/22,FALSE))))</f>
        <v>0.27272727272727271</v>
      </c>
      <c r="J377" s="88" t="s">
        <v>44</v>
      </c>
    </row>
    <row r="378" spans="1:10" s="90" customFormat="1" ht="12">
      <c r="A378" s="138"/>
      <c r="B378" s="127"/>
      <c r="C378" s="127"/>
      <c r="D378" s="85">
        <f t="shared" si="16"/>
        <v>0.27272727272727271</v>
      </c>
      <c r="E378" s="86"/>
      <c r="F378" s="52" t="s">
        <v>243</v>
      </c>
      <c r="G378" s="88" t="s">
        <v>66</v>
      </c>
      <c r="H378" s="89">
        <f t="shared" si="18"/>
        <v>4</v>
      </c>
      <c r="I378" s="88">
        <f>IF([3]项目总工作量!B$6="交易类",H378*1.5/22,IF([3]项目总工作量!B$6="数据分析类",H378*1.5*0.9/22,IF([3]项目总工作量!B$6="流程管理类",H378*1.5*0.8/22,IF([3]项目总工作量!B$6="渠道类",H378*1.5*0.7/22,FALSE))))</f>
        <v>0.27272727272727271</v>
      </c>
      <c r="J378" s="88" t="s">
        <v>44</v>
      </c>
    </row>
    <row r="379" spans="1:10" s="90" customFormat="1" ht="12">
      <c r="A379" s="138"/>
      <c r="B379" s="127"/>
      <c r="C379" s="127"/>
      <c r="D379" s="85">
        <f t="shared" si="16"/>
        <v>0.27272727272727271</v>
      </c>
      <c r="E379" s="86"/>
      <c r="F379" s="52" t="s">
        <v>244</v>
      </c>
      <c r="G379" s="88" t="s">
        <v>66</v>
      </c>
      <c r="H379" s="89">
        <f t="shared" si="18"/>
        <v>4</v>
      </c>
      <c r="I379" s="88">
        <f>IF([3]项目总工作量!B$6="交易类",H379*1.5/22,IF([3]项目总工作量!B$6="数据分析类",H379*1.5*0.9/22,IF([3]项目总工作量!B$6="流程管理类",H379*1.5*0.8/22,IF([3]项目总工作量!B$6="渠道类",H379*1.5*0.7/22,FALSE))))</f>
        <v>0.27272727272727271</v>
      </c>
      <c r="J379" s="88" t="s">
        <v>44</v>
      </c>
    </row>
    <row r="380" spans="1:10" s="90" customFormat="1" ht="12">
      <c r="A380" s="138"/>
      <c r="B380" s="127"/>
      <c r="C380" s="127"/>
      <c r="D380" s="85">
        <f t="shared" si="16"/>
        <v>0.27272727272727271</v>
      </c>
      <c r="E380" s="86"/>
      <c r="F380" s="52" t="s">
        <v>245</v>
      </c>
      <c r="G380" s="88" t="s">
        <v>66</v>
      </c>
      <c r="H380" s="89">
        <f t="shared" si="18"/>
        <v>4</v>
      </c>
      <c r="I380" s="88">
        <f>IF([3]项目总工作量!B$6="交易类",H380*1.5/22,IF([3]项目总工作量!B$6="数据分析类",H380*1.5*0.9/22,IF([3]项目总工作量!B$6="流程管理类",H380*1.5*0.8/22,IF([3]项目总工作量!B$6="渠道类",H380*1.5*0.7/22,FALSE))))</f>
        <v>0.27272727272727271</v>
      </c>
      <c r="J380" s="88" t="s">
        <v>44</v>
      </c>
    </row>
    <row r="381" spans="1:10" s="90" customFormat="1" ht="12">
      <c r="A381" s="138"/>
      <c r="B381" s="127"/>
      <c r="C381" s="127"/>
      <c r="D381" s="85">
        <f t="shared" si="16"/>
        <v>0.27272727272727271</v>
      </c>
      <c r="E381" s="86"/>
      <c r="F381" s="52" t="s">
        <v>246</v>
      </c>
      <c r="G381" s="88" t="s">
        <v>66</v>
      </c>
      <c r="H381" s="89">
        <f t="shared" si="18"/>
        <v>4</v>
      </c>
      <c r="I381" s="88">
        <f>IF([3]项目总工作量!B$6="交易类",H381*1.5/22,IF([3]项目总工作量!B$6="数据分析类",H381*1.5*0.9/22,IF([3]项目总工作量!B$6="流程管理类",H381*1.5*0.8/22,IF([3]项目总工作量!B$6="渠道类",H381*1.5*0.7/22,FALSE))))</f>
        <v>0.27272727272727271</v>
      </c>
      <c r="J381" s="88" t="s">
        <v>44</v>
      </c>
    </row>
    <row r="382" spans="1:10" s="90" customFormat="1" ht="12">
      <c r="A382" s="138"/>
      <c r="B382" s="127"/>
      <c r="C382" s="127"/>
      <c r="D382" s="85">
        <f t="shared" si="16"/>
        <v>0.27272727272727271</v>
      </c>
      <c r="E382" s="86"/>
      <c r="F382" s="52" t="s">
        <v>247</v>
      </c>
      <c r="G382" s="88" t="s">
        <v>66</v>
      </c>
      <c r="H382" s="89">
        <f t="shared" si="18"/>
        <v>4</v>
      </c>
      <c r="I382" s="88">
        <f>IF([3]项目总工作量!B$6="交易类",H382*1.5/22,IF([3]项目总工作量!B$6="数据分析类",H382*1.5*0.9/22,IF([3]项目总工作量!B$6="流程管理类",H382*1.5*0.8/22,IF([3]项目总工作量!B$6="渠道类",H382*1.5*0.7/22,FALSE))))</f>
        <v>0.27272727272727271</v>
      </c>
      <c r="J382" s="88" t="s">
        <v>44</v>
      </c>
    </row>
    <row r="383" spans="1:10" s="90" customFormat="1" ht="12">
      <c r="A383" s="138"/>
      <c r="B383" s="127"/>
      <c r="C383" s="127"/>
      <c r="D383" s="85">
        <f t="shared" ref="D383:D412" si="19">I383</f>
        <v>0.27272727272727271</v>
      </c>
      <c r="E383" s="86"/>
      <c r="F383" s="52" t="s">
        <v>248</v>
      </c>
      <c r="G383" s="88" t="s">
        <v>66</v>
      </c>
      <c r="H383" s="89">
        <f t="shared" si="18"/>
        <v>4</v>
      </c>
      <c r="I383" s="88">
        <f>IF([3]项目总工作量!B$6="交易类",H383*1.5/22,IF([3]项目总工作量!B$6="数据分析类",H383*1.5*0.9/22,IF([3]项目总工作量!B$6="流程管理类",H383*1.5*0.8/22,IF([3]项目总工作量!B$6="渠道类",H383*1.5*0.7/22,FALSE))))</f>
        <v>0.27272727272727271</v>
      </c>
      <c r="J383" s="88" t="s">
        <v>44</v>
      </c>
    </row>
    <row r="384" spans="1:10" s="90" customFormat="1" ht="24">
      <c r="A384" s="138"/>
      <c r="B384" s="127"/>
      <c r="C384" s="127"/>
      <c r="D384" s="85">
        <f t="shared" si="19"/>
        <v>0.27272727272727271</v>
      </c>
      <c r="E384" s="86"/>
      <c r="F384" s="52" t="s">
        <v>249</v>
      </c>
      <c r="G384" s="88" t="s">
        <v>66</v>
      </c>
      <c r="H384" s="89">
        <f t="shared" si="18"/>
        <v>4</v>
      </c>
      <c r="I384" s="88">
        <f>IF([3]项目总工作量!B$6="交易类",H384*1.5/22,IF([3]项目总工作量!B$6="数据分析类",H384*1.5*0.9/22,IF([3]项目总工作量!B$6="流程管理类",H384*1.5*0.8/22,IF([3]项目总工作量!B$6="渠道类",H384*1.5*0.7/22,FALSE))))</f>
        <v>0.27272727272727271</v>
      </c>
      <c r="J384" s="88" t="s">
        <v>44</v>
      </c>
    </row>
    <row r="385" spans="1:10" s="90" customFormat="1" ht="12">
      <c r="A385" s="138"/>
      <c r="B385" s="127"/>
      <c r="C385" s="127"/>
      <c r="D385" s="85">
        <f t="shared" si="19"/>
        <v>0.27272727272727271</v>
      </c>
      <c r="E385" s="86"/>
      <c r="F385" s="52" t="s">
        <v>250</v>
      </c>
      <c r="G385" s="88" t="s">
        <v>66</v>
      </c>
      <c r="H385" s="89">
        <f t="shared" si="18"/>
        <v>4</v>
      </c>
      <c r="I385" s="88">
        <f>IF([3]项目总工作量!B$6="交易类",H385*1.5/22,IF([3]项目总工作量!B$6="数据分析类",H385*1.5*0.9/22,IF([3]项目总工作量!B$6="流程管理类",H385*1.5*0.8/22,IF([3]项目总工作量!B$6="渠道类",H385*1.5*0.7/22,FALSE))))</f>
        <v>0.27272727272727271</v>
      </c>
      <c r="J385" s="88" t="s">
        <v>44</v>
      </c>
    </row>
    <row r="386" spans="1:10" s="90" customFormat="1" ht="12">
      <c r="A386" s="138"/>
      <c r="B386" s="127"/>
      <c r="C386" s="127"/>
      <c r="D386" s="85">
        <f t="shared" si="19"/>
        <v>0.27272727272727271</v>
      </c>
      <c r="E386" s="86"/>
      <c r="F386" s="52" t="s">
        <v>251</v>
      </c>
      <c r="G386" s="88" t="s">
        <v>66</v>
      </c>
      <c r="H386" s="89">
        <f t="shared" si="18"/>
        <v>4</v>
      </c>
      <c r="I386" s="88">
        <f>IF([3]项目总工作量!B$6="交易类",H386*1.5/22,IF([3]项目总工作量!B$6="数据分析类",H386*1.5*0.9/22,IF([3]项目总工作量!B$6="流程管理类",H386*1.5*0.8/22,IF([3]项目总工作量!B$6="渠道类",H386*1.5*0.7/22,FALSE))))</f>
        <v>0.27272727272727271</v>
      </c>
      <c r="J386" s="88" t="s">
        <v>44</v>
      </c>
    </row>
    <row r="387" spans="1:10" s="90" customFormat="1" ht="12">
      <c r="A387" s="138"/>
      <c r="B387" s="127"/>
      <c r="C387" s="127"/>
      <c r="D387" s="85">
        <f t="shared" si="19"/>
        <v>0.27272727272727271</v>
      </c>
      <c r="E387" s="86"/>
      <c r="F387" s="52" t="s">
        <v>252</v>
      </c>
      <c r="G387" s="88" t="s">
        <v>66</v>
      </c>
      <c r="H387" s="89">
        <f t="shared" si="18"/>
        <v>4</v>
      </c>
      <c r="I387" s="88">
        <f>IF([3]项目总工作量!B$6="交易类",H387*1.5/22,IF([3]项目总工作量!B$6="数据分析类",H387*1.5*0.9/22,IF([3]项目总工作量!B$6="流程管理类",H387*1.5*0.8/22,IF([3]项目总工作量!B$6="渠道类",H387*1.5*0.7/22,FALSE))))</f>
        <v>0.27272727272727271</v>
      </c>
      <c r="J387" s="88" t="s">
        <v>44</v>
      </c>
    </row>
    <row r="388" spans="1:10" s="90" customFormat="1" ht="24">
      <c r="A388" s="138"/>
      <c r="B388" s="127"/>
      <c r="C388" s="127"/>
      <c r="D388" s="85">
        <f t="shared" si="19"/>
        <v>0.27272727272727271</v>
      </c>
      <c r="E388" s="86"/>
      <c r="F388" s="52" t="s">
        <v>253</v>
      </c>
      <c r="G388" s="88" t="s">
        <v>66</v>
      </c>
      <c r="H388" s="89">
        <f t="shared" si="18"/>
        <v>4</v>
      </c>
      <c r="I388" s="88">
        <f>IF([3]项目总工作量!B$6="交易类",H388*1.5/22,IF([3]项目总工作量!B$6="数据分析类",H388*1.5*0.9/22,IF([3]项目总工作量!B$6="流程管理类",H388*1.5*0.8/22,IF([3]项目总工作量!B$6="渠道类",H388*1.5*0.7/22,FALSE))))</f>
        <v>0.27272727272727271</v>
      </c>
      <c r="J388" s="88" t="s">
        <v>44</v>
      </c>
    </row>
    <row r="389" spans="1:10" s="90" customFormat="1" ht="24">
      <c r="A389" s="138"/>
      <c r="B389" s="127"/>
      <c r="C389" s="127"/>
      <c r="D389" s="85">
        <f t="shared" si="19"/>
        <v>0.27272727272727271</v>
      </c>
      <c r="E389" s="86"/>
      <c r="F389" s="52" t="s">
        <v>254</v>
      </c>
      <c r="G389" s="88" t="s">
        <v>66</v>
      </c>
      <c r="H389" s="89">
        <f t="shared" si="18"/>
        <v>4</v>
      </c>
      <c r="I389" s="88">
        <f>IF([3]项目总工作量!B$6="交易类",H389*1.5/22,IF([3]项目总工作量!B$6="数据分析类",H389*1.5*0.9/22,IF([3]项目总工作量!B$6="流程管理类",H389*1.5*0.8/22,IF([3]项目总工作量!B$6="渠道类",H389*1.5*0.7/22,FALSE))))</f>
        <v>0.27272727272727271</v>
      </c>
      <c r="J389" s="88" t="s">
        <v>44</v>
      </c>
    </row>
    <row r="390" spans="1:10" s="90" customFormat="1" ht="24">
      <c r="A390" s="138"/>
      <c r="B390" s="127"/>
      <c r="C390" s="127"/>
      <c r="D390" s="85">
        <f t="shared" si="19"/>
        <v>0.27272727272727271</v>
      </c>
      <c r="E390" s="86"/>
      <c r="F390" s="52" t="s">
        <v>255</v>
      </c>
      <c r="G390" s="88" t="s">
        <v>66</v>
      </c>
      <c r="H390" s="89">
        <f t="shared" si="18"/>
        <v>4</v>
      </c>
      <c r="I390" s="88">
        <f>IF([3]项目总工作量!B$6="交易类",H390*1.5/22,IF([3]项目总工作量!B$6="数据分析类",H390*1.5*0.9/22,IF([3]项目总工作量!B$6="流程管理类",H390*1.5*0.8/22,IF([3]项目总工作量!B$6="渠道类",H390*1.5*0.7/22,FALSE))))</f>
        <v>0.27272727272727271</v>
      </c>
      <c r="J390" s="88" t="s">
        <v>44</v>
      </c>
    </row>
    <row r="391" spans="1:10" s="90" customFormat="1" ht="12">
      <c r="A391" s="138"/>
      <c r="B391" s="127"/>
      <c r="C391" s="127"/>
      <c r="D391" s="85">
        <f t="shared" si="19"/>
        <v>0.27272727272727271</v>
      </c>
      <c r="E391" s="86"/>
      <c r="F391" s="52" t="s">
        <v>256</v>
      </c>
      <c r="G391" s="88" t="s">
        <v>66</v>
      </c>
      <c r="H391" s="89">
        <f t="shared" si="18"/>
        <v>4</v>
      </c>
      <c r="I391" s="88">
        <f>IF([3]项目总工作量!B$6="交易类",H391*1.5/22,IF([3]项目总工作量!B$6="数据分析类",H391*1.5*0.9/22,IF([3]项目总工作量!B$6="流程管理类",H391*1.5*0.8/22,IF([3]项目总工作量!B$6="渠道类",H391*1.5*0.7/22,FALSE))))</f>
        <v>0.27272727272727271</v>
      </c>
      <c r="J391" s="88" t="s">
        <v>44</v>
      </c>
    </row>
    <row r="392" spans="1:10" s="90" customFormat="1" ht="12">
      <c r="A392" s="138"/>
      <c r="B392" s="127"/>
      <c r="C392" s="127"/>
      <c r="D392" s="85">
        <f t="shared" si="19"/>
        <v>0.27272727272727271</v>
      </c>
      <c r="E392" s="86"/>
      <c r="F392" s="52" t="s">
        <v>257</v>
      </c>
      <c r="G392" s="88" t="s">
        <v>66</v>
      </c>
      <c r="H392" s="89">
        <f t="shared" si="18"/>
        <v>4</v>
      </c>
      <c r="I392" s="88">
        <f>IF([3]项目总工作量!B$6="交易类",H392*1.5/22,IF([3]项目总工作量!B$6="数据分析类",H392*1.5*0.9/22,IF([3]项目总工作量!B$6="流程管理类",H392*1.5*0.8/22,IF([3]项目总工作量!B$6="渠道类",H392*1.5*0.7/22,FALSE))))</f>
        <v>0.27272727272727271</v>
      </c>
      <c r="J392" s="88" t="s">
        <v>44</v>
      </c>
    </row>
    <row r="393" spans="1:10" s="90" customFormat="1" ht="12">
      <c r="A393" s="138"/>
      <c r="B393" s="127"/>
      <c r="C393" s="127"/>
      <c r="D393" s="85">
        <f t="shared" si="19"/>
        <v>0.27272727272727271</v>
      </c>
      <c r="E393" s="86"/>
      <c r="F393" s="52" t="s">
        <v>258</v>
      </c>
      <c r="G393" s="88" t="s">
        <v>66</v>
      </c>
      <c r="H393" s="89">
        <f t="shared" si="18"/>
        <v>4</v>
      </c>
      <c r="I393" s="88">
        <f>IF([3]项目总工作量!B$6="交易类",H393*1.5/22,IF([3]项目总工作量!B$6="数据分析类",H393*1.5*0.9/22,IF([3]项目总工作量!B$6="流程管理类",H393*1.5*0.8/22,IF([3]项目总工作量!B$6="渠道类",H393*1.5*0.7/22,FALSE))))</f>
        <v>0.27272727272727271</v>
      </c>
      <c r="J393" s="88" t="s">
        <v>44</v>
      </c>
    </row>
    <row r="394" spans="1:10" s="90" customFormat="1" ht="12">
      <c r="A394" s="138"/>
      <c r="B394" s="127"/>
      <c r="C394" s="127"/>
      <c r="D394" s="85">
        <f t="shared" si="19"/>
        <v>0.27272727272727271</v>
      </c>
      <c r="E394" s="86"/>
      <c r="F394" s="52" t="s">
        <v>259</v>
      </c>
      <c r="G394" s="88" t="s">
        <v>66</v>
      </c>
      <c r="H394" s="89">
        <f t="shared" ref="H394:H413" si="20">IF(G394="EI",4,IF(G394="EO",5,IF(G394="EQ",4,0)))</f>
        <v>4</v>
      </c>
      <c r="I394" s="88">
        <f>IF([3]项目总工作量!B$6="交易类",H394*1.5/22,IF([3]项目总工作量!B$6="数据分析类",H394*1.5*0.9/22,IF([3]项目总工作量!B$6="流程管理类",H394*1.5*0.8/22,IF([3]项目总工作量!B$6="渠道类",H394*1.5*0.7/22,FALSE))))</f>
        <v>0.27272727272727271</v>
      </c>
      <c r="J394" s="88" t="s">
        <v>44</v>
      </c>
    </row>
    <row r="395" spans="1:10" s="90" customFormat="1" ht="12">
      <c r="A395" s="138">
        <v>8</v>
      </c>
      <c r="B395" s="127" t="s">
        <v>282</v>
      </c>
      <c r="C395" s="127" t="s">
        <v>281</v>
      </c>
      <c r="D395" s="85">
        <f t="shared" si="19"/>
        <v>0.27272727272727271</v>
      </c>
      <c r="E395" s="86"/>
      <c r="F395" s="52" t="s">
        <v>280</v>
      </c>
      <c r="G395" s="88" t="s">
        <v>66</v>
      </c>
      <c r="H395" s="89">
        <f t="shared" si="20"/>
        <v>4</v>
      </c>
      <c r="I395" s="88">
        <f>IF([3]项目总工作量!B$6="交易类",H395*1.5/22,IF([3]项目总工作量!B$6="数据分析类",H395*1.5*0.9/22,IF([3]项目总工作量!B$6="流程管理类",H395*1.5*0.8/22,IF([3]项目总工作量!B$6="渠道类",H395*1.5*0.7/22,FALSE))))</f>
        <v>0.27272727272727271</v>
      </c>
      <c r="J395" s="88" t="s">
        <v>44</v>
      </c>
    </row>
    <row r="396" spans="1:10" s="90" customFormat="1" ht="12">
      <c r="A396" s="138"/>
      <c r="B396" s="127"/>
      <c r="C396" s="127"/>
      <c r="D396" s="85">
        <f t="shared" si="19"/>
        <v>0.27272727272727271</v>
      </c>
      <c r="E396" s="86"/>
      <c r="F396" s="52" t="s">
        <v>279</v>
      </c>
      <c r="G396" s="88" t="s">
        <v>66</v>
      </c>
      <c r="H396" s="89">
        <f t="shared" si="20"/>
        <v>4</v>
      </c>
      <c r="I396" s="88">
        <f>IF([3]项目总工作量!B$6="交易类",H396*1.5/22,IF([3]项目总工作量!B$6="数据分析类",H396*1.5*0.9/22,IF([3]项目总工作量!B$6="流程管理类",H396*1.5*0.8/22,IF([3]项目总工作量!B$6="渠道类",H396*1.5*0.7/22,FALSE))))</f>
        <v>0.27272727272727271</v>
      </c>
      <c r="J396" s="88" t="s">
        <v>44</v>
      </c>
    </row>
    <row r="397" spans="1:10" s="90" customFormat="1" ht="12">
      <c r="A397" s="138"/>
      <c r="B397" s="127"/>
      <c r="C397" s="127"/>
      <c r="D397" s="85">
        <f t="shared" si="19"/>
        <v>0.27272727272727271</v>
      </c>
      <c r="E397" s="86"/>
      <c r="F397" s="52" t="s">
        <v>278</v>
      </c>
      <c r="G397" s="88" t="s">
        <v>66</v>
      </c>
      <c r="H397" s="89">
        <f t="shared" si="20"/>
        <v>4</v>
      </c>
      <c r="I397" s="88">
        <f>IF([3]项目总工作量!B$6="交易类",H397*1.5/22,IF([3]项目总工作量!B$6="数据分析类",H397*1.5*0.9/22,IF([3]项目总工作量!B$6="流程管理类",H397*1.5*0.8/22,IF([3]项目总工作量!B$6="渠道类",H397*1.5*0.7/22,FALSE))))</f>
        <v>0.27272727272727271</v>
      </c>
      <c r="J397" s="88" t="s">
        <v>44</v>
      </c>
    </row>
    <row r="398" spans="1:10" s="90" customFormat="1" ht="12">
      <c r="A398" s="138"/>
      <c r="B398" s="127"/>
      <c r="C398" s="127"/>
      <c r="D398" s="85">
        <f t="shared" si="19"/>
        <v>0.27272727272727271</v>
      </c>
      <c r="E398" s="86"/>
      <c r="F398" s="52" t="s">
        <v>277</v>
      </c>
      <c r="G398" s="88" t="s">
        <v>66</v>
      </c>
      <c r="H398" s="89">
        <f t="shared" si="20"/>
        <v>4</v>
      </c>
      <c r="I398" s="88">
        <f>IF([3]项目总工作量!B$6="交易类",H398*1.5/22,IF([3]项目总工作量!B$6="数据分析类",H398*1.5*0.9/22,IF([3]项目总工作量!B$6="流程管理类",H398*1.5*0.8/22,IF([3]项目总工作量!B$6="渠道类",H398*1.5*0.7/22,FALSE))))</f>
        <v>0.27272727272727271</v>
      </c>
      <c r="J398" s="88" t="s">
        <v>44</v>
      </c>
    </row>
    <row r="399" spans="1:10" s="90" customFormat="1" ht="12">
      <c r="A399" s="138"/>
      <c r="B399" s="127"/>
      <c r="C399" s="127"/>
      <c r="D399" s="85">
        <f t="shared" si="19"/>
        <v>0.27272727272727271</v>
      </c>
      <c r="E399" s="86"/>
      <c r="F399" s="52" t="s">
        <v>276</v>
      </c>
      <c r="G399" s="88" t="s">
        <v>66</v>
      </c>
      <c r="H399" s="89">
        <f t="shared" si="20"/>
        <v>4</v>
      </c>
      <c r="I399" s="88">
        <f>IF([3]项目总工作量!B$6="交易类",H399*1.5/22,IF([3]项目总工作量!B$6="数据分析类",H399*1.5*0.9/22,IF([3]项目总工作量!B$6="流程管理类",H399*1.5*0.8/22,IF([3]项目总工作量!B$6="渠道类",H399*1.5*0.7/22,FALSE))))</f>
        <v>0.27272727272727271</v>
      </c>
      <c r="J399" s="88" t="s">
        <v>44</v>
      </c>
    </row>
    <row r="400" spans="1:10" s="90" customFormat="1" ht="12">
      <c r="A400" s="138"/>
      <c r="B400" s="127"/>
      <c r="C400" s="127"/>
      <c r="D400" s="85">
        <f t="shared" si="19"/>
        <v>0.27272727272727271</v>
      </c>
      <c r="E400" s="86"/>
      <c r="F400" s="52" t="s">
        <v>275</v>
      </c>
      <c r="G400" s="88" t="s">
        <v>66</v>
      </c>
      <c r="H400" s="89">
        <f t="shared" si="20"/>
        <v>4</v>
      </c>
      <c r="I400" s="88">
        <f>IF([3]项目总工作量!B$6="交易类",H400*1.5/22,IF([3]项目总工作量!B$6="数据分析类",H400*1.5*0.9/22,IF([3]项目总工作量!B$6="流程管理类",H400*1.5*0.8/22,IF([3]项目总工作量!B$6="渠道类",H400*1.5*0.7/22,FALSE))))</f>
        <v>0.27272727272727271</v>
      </c>
      <c r="J400" s="88" t="s">
        <v>44</v>
      </c>
    </row>
    <row r="401" spans="1:10" s="90" customFormat="1" ht="12">
      <c r="A401" s="138"/>
      <c r="B401" s="127"/>
      <c r="C401" s="127"/>
      <c r="D401" s="85">
        <f t="shared" si="19"/>
        <v>0.27272727272727271</v>
      </c>
      <c r="E401" s="86"/>
      <c r="F401" s="52" t="s">
        <v>274</v>
      </c>
      <c r="G401" s="88" t="s">
        <v>66</v>
      </c>
      <c r="H401" s="89">
        <f t="shared" si="20"/>
        <v>4</v>
      </c>
      <c r="I401" s="88">
        <f>IF([3]项目总工作量!B$6="交易类",H401*1.5/22,IF([3]项目总工作量!B$6="数据分析类",H401*1.5*0.9/22,IF([3]项目总工作量!B$6="流程管理类",H401*1.5*0.8/22,IF([3]项目总工作量!B$6="渠道类",H401*1.5*0.7/22,FALSE))))</f>
        <v>0.27272727272727271</v>
      </c>
      <c r="J401" s="88" t="s">
        <v>44</v>
      </c>
    </row>
    <row r="402" spans="1:10" s="90" customFormat="1" ht="12">
      <c r="A402" s="138"/>
      <c r="B402" s="127"/>
      <c r="C402" s="127"/>
      <c r="D402" s="85">
        <f t="shared" si="19"/>
        <v>0.27272727272727271</v>
      </c>
      <c r="E402" s="86"/>
      <c r="F402" s="52" t="s">
        <v>273</v>
      </c>
      <c r="G402" s="88" t="s">
        <v>66</v>
      </c>
      <c r="H402" s="89">
        <f t="shared" si="20"/>
        <v>4</v>
      </c>
      <c r="I402" s="88">
        <f>IF([3]项目总工作量!B$6="交易类",H402*1.5/22,IF([3]项目总工作量!B$6="数据分析类",H402*1.5*0.9/22,IF([3]项目总工作量!B$6="流程管理类",H402*1.5*0.8/22,IF([3]项目总工作量!B$6="渠道类",H402*1.5*0.7/22,FALSE))))</f>
        <v>0.27272727272727271</v>
      </c>
      <c r="J402" s="88" t="s">
        <v>44</v>
      </c>
    </row>
    <row r="403" spans="1:10" s="90" customFormat="1" ht="12">
      <c r="A403" s="138"/>
      <c r="B403" s="127"/>
      <c r="C403" s="127"/>
      <c r="D403" s="85">
        <f t="shared" si="19"/>
        <v>0.27272727272727271</v>
      </c>
      <c r="E403" s="86"/>
      <c r="F403" s="52" t="s">
        <v>272</v>
      </c>
      <c r="G403" s="88" t="s">
        <v>66</v>
      </c>
      <c r="H403" s="89">
        <f t="shared" si="20"/>
        <v>4</v>
      </c>
      <c r="I403" s="88">
        <f>IF([3]项目总工作量!B$6="交易类",H403*1.5/22,IF([3]项目总工作量!B$6="数据分析类",H403*1.5*0.9/22,IF([3]项目总工作量!B$6="流程管理类",H403*1.5*0.8/22,IF([3]项目总工作量!B$6="渠道类",H403*1.5*0.7/22,FALSE))))</f>
        <v>0.27272727272727271</v>
      </c>
      <c r="J403" s="88" t="s">
        <v>44</v>
      </c>
    </row>
    <row r="404" spans="1:10" s="90" customFormat="1" ht="12">
      <c r="A404" s="138"/>
      <c r="B404" s="127"/>
      <c r="C404" s="127" t="s">
        <v>271</v>
      </c>
      <c r="D404" s="85">
        <f t="shared" si="19"/>
        <v>0.34090909090909088</v>
      </c>
      <c r="E404" s="86"/>
      <c r="F404" s="52" t="s">
        <v>270</v>
      </c>
      <c r="G404" s="88" t="s">
        <v>67</v>
      </c>
      <c r="H404" s="89">
        <f t="shared" si="20"/>
        <v>5</v>
      </c>
      <c r="I404" s="88">
        <f>IF([3]项目总工作量!B$6="交易类",H404*1.5/22,IF([3]项目总工作量!B$6="数据分析类",H404*1.5*0.9/22,IF([3]项目总工作量!B$6="流程管理类",H404*1.5*0.8/22,IF([3]项目总工作量!B$6="渠道类",H404*1.5*0.7/22,FALSE))))</f>
        <v>0.34090909090909088</v>
      </c>
      <c r="J404" s="88" t="s">
        <v>44</v>
      </c>
    </row>
    <row r="405" spans="1:10" s="90" customFormat="1" ht="12">
      <c r="A405" s="138"/>
      <c r="B405" s="127"/>
      <c r="C405" s="127"/>
      <c r="D405" s="85">
        <f t="shared" si="19"/>
        <v>0.34090909090909088</v>
      </c>
      <c r="E405" s="86"/>
      <c r="F405" s="52" t="s">
        <v>269</v>
      </c>
      <c r="G405" s="88" t="s">
        <v>67</v>
      </c>
      <c r="H405" s="89">
        <f t="shared" si="20"/>
        <v>5</v>
      </c>
      <c r="I405" s="88">
        <f>IF([3]项目总工作量!B$6="交易类",H405*1.5/22,IF([3]项目总工作量!B$6="数据分析类",H405*1.5*0.9/22,IF([3]项目总工作量!B$6="流程管理类",H405*1.5*0.8/22,IF([3]项目总工作量!B$6="渠道类",H405*1.5*0.7/22,FALSE))))</f>
        <v>0.34090909090909088</v>
      </c>
      <c r="J405" s="88" t="s">
        <v>44</v>
      </c>
    </row>
    <row r="406" spans="1:10" s="90" customFormat="1" ht="12">
      <c r="A406" s="138"/>
      <c r="B406" s="127"/>
      <c r="C406" s="127"/>
      <c r="D406" s="85">
        <f t="shared" si="19"/>
        <v>0.34090909090909088</v>
      </c>
      <c r="E406" s="86"/>
      <c r="F406" s="52" t="s">
        <v>268</v>
      </c>
      <c r="G406" s="88" t="s">
        <v>67</v>
      </c>
      <c r="H406" s="89">
        <f t="shared" si="20"/>
        <v>5</v>
      </c>
      <c r="I406" s="88">
        <f>IF([3]项目总工作量!B$6="交易类",H406*1.5/22,IF([3]项目总工作量!B$6="数据分析类",H406*1.5*0.9/22,IF([3]项目总工作量!B$6="流程管理类",H406*1.5*0.8/22,IF([3]项目总工作量!B$6="渠道类",H406*1.5*0.7/22,FALSE))))</f>
        <v>0.34090909090909088</v>
      </c>
      <c r="J406" s="88" t="s">
        <v>44</v>
      </c>
    </row>
    <row r="407" spans="1:10" s="90" customFormat="1" ht="12">
      <c r="A407" s="138"/>
      <c r="B407" s="127"/>
      <c r="C407" s="127"/>
      <c r="D407" s="85">
        <f t="shared" si="19"/>
        <v>0.34090909090909088</v>
      </c>
      <c r="E407" s="86"/>
      <c r="F407" s="52" t="s">
        <v>267</v>
      </c>
      <c r="G407" s="88" t="s">
        <v>67</v>
      </c>
      <c r="H407" s="89">
        <f t="shared" si="20"/>
        <v>5</v>
      </c>
      <c r="I407" s="88">
        <f>IF([3]项目总工作量!B$6="交易类",H407*1.5/22,IF([3]项目总工作量!B$6="数据分析类",H407*1.5*0.9/22,IF([3]项目总工作量!B$6="流程管理类",H407*1.5*0.8/22,IF([3]项目总工作量!B$6="渠道类",H407*1.5*0.7/22,FALSE))))</f>
        <v>0.34090909090909088</v>
      </c>
      <c r="J407" s="88" t="s">
        <v>44</v>
      </c>
    </row>
    <row r="408" spans="1:10" s="90" customFormat="1" ht="12">
      <c r="A408" s="138"/>
      <c r="B408" s="127"/>
      <c r="C408" s="127"/>
      <c r="D408" s="85">
        <f t="shared" si="19"/>
        <v>0.34090909090909088</v>
      </c>
      <c r="E408" s="86"/>
      <c r="F408" s="52" t="s">
        <v>266</v>
      </c>
      <c r="G408" s="88" t="s">
        <v>67</v>
      </c>
      <c r="H408" s="89">
        <f t="shared" si="20"/>
        <v>5</v>
      </c>
      <c r="I408" s="88">
        <f>IF([3]项目总工作量!B$6="交易类",H408*1.5/22,IF([3]项目总工作量!B$6="数据分析类",H408*1.5*0.9/22,IF([3]项目总工作量!B$6="流程管理类",H408*1.5*0.8/22,IF([3]项目总工作量!B$6="渠道类",H408*1.5*0.7/22,FALSE))))</f>
        <v>0.34090909090909088</v>
      </c>
      <c r="J408" s="88" t="s">
        <v>44</v>
      </c>
    </row>
    <row r="409" spans="1:10" s="90" customFormat="1" ht="12">
      <c r="A409" s="138"/>
      <c r="B409" s="127"/>
      <c r="C409" s="127"/>
      <c r="D409" s="85">
        <f t="shared" si="19"/>
        <v>0.34090909090909088</v>
      </c>
      <c r="E409" s="86"/>
      <c r="F409" s="52" t="s">
        <v>265</v>
      </c>
      <c r="G409" s="88" t="s">
        <v>67</v>
      </c>
      <c r="H409" s="89">
        <f t="shared" si="20"/>
        <v>5</v>
      </c>
      <c r="I409" s="88">
        <f>IF([3]项目总工作量!B$6="交易类",H409*1.5/22,IF([3]项目总工作量!B$6="数据分析类",H409*1.5*0.9/22,IF([3]项目总工作量!B$6="流程管理类",H409*1.5*0.8/22,IF([3]项目总工作量!B$6="渠道类",H409*1.5*0.7/22,FALSE))))</f>
        <v>0.34090909090909088</v>
      </c>
      <c r="J409" s="88" t="s">
        <v>44</v>
      </c>
    </row>
    <row r="410" spans="1:10" s="90" customFormat="1" ht="12">
      <c r="A410" s="138"/>
      <c r="B410" s="127"/>
      <c r="C410" s="127"/>
      <c r="D410" s="85">
        <f t="shared" si="19"/>
        <v>0.34090909090909088</v>
      </c>
      <c r="E410" s="86"/>
      <c r="F410" s="52" t="s">
        <v>264</v>
      </c>
      <c r="G410" s="88" t="s">
        <v>67</v>
      </c>
      <c r="H410" s="89">
        <f t="shared" si="20"/>
        <v>5</v>
      </c>
      <c r="I410" s="88">
        <f>IF([3]项目总工作量!B$6="交易类",H410*1.5/22,IF([3]项目总工作量!B$6="数据分析类",H410*1.5*0.9/22,IF([3]项目总工作量!B$6="流程管理类",H410*1.5*0.8/22,IF([3]项目总工作量!B$6="渠道类",H410*1.5*0.7/22,FALSE))))</f>
        <v>0.34090909090909088</v>
      </c>
      <c r="J410" s="88" t="s">
        <v>44</v>
      </c>
    </row>
    <row r="411" spans="1:10" s="90" customFormat="1" ht="12">
      <c r="A411" s="138"/>
      <c r="B411" s="127"/>
      <c r="C411" s="127"/>
      <c r="D411" s="85">
        <f t="shared" si="19"/>
        <v>0.34090909090909088</v>
      </c>
      <c r="E411" s="86"/>
      <c r="F411" s="52" t="s">
        <v>263</v>
      </c>
      <c r="G411" s="88" t="s">
        <v>67</v>
      </c>
      <c r="H411" s="89">
        <f t="shared" si="20"/>
        <v>5</v>
      </c>
      <c r="I411" s="88">
        <f>IF([3]项目总工作量!B$6="交易类",H411*1.5/22,IF([3]项目总工作量!B$6="数据分析类",H411*1.5*0.9/22,IF([3]项目总工作量!B$6="流程管理类",H411*1.5*0.8/22,IF([3]项目总工作量!B$6="渠道类",H411*1.5*0.7/22,FALSE))))</f>
        <v>0.34090909090909088</v>
      </c>
      <c r="J411" s="88" t="s">
        <v>44</v>
      </c>
    </row>
    <row r="412" spans="1:10" s="90" customFormat="1" ht="12">
      <c r="A412" s="138"/>
      <c r="B412" s="127"/>
      <c r="C412" s="127"/>
      <c r="D412" s="85">
        <f t="shared" si="19"/>
        <v>0.34090909090909088</v>
      </c>
      <c r="E412" s="86"/>
      <c r="F412" s="52" t="s">
        <v>262</v>
      </c>
      <c r="G412" s="88" t="s">
        <v>67</v>
      </c>
      <c r="H412" s="89">
        <f t="shared" si="20"/>
        <v>5</v>
      </c>
      <c r="I412" s="88">
        <f>IF([3]项目总工作量!B$6="交易类",H412*1.5/22,IF([3]项目总工作量!B$6="数据分析类",H412*1.5*0.9/22,IF([3]项目总工作量!B$6="流程管理类",H412*1.5*0.8/22,IF([3]项目总工作量!B$6="渠道类",H412*1.5*0.7/22,FALSE))))</f>
        <v>0.34090909090909088</v>
      </c>
      <c r="J412" s="88" t="s">
        <v>44</v>
      </c>
    </row>
    <row r="413" spans="1:10" s="90" customFormat="1" ht="12">
      <c r="A413" s="138"/>
      <c r="B413" s="127"/>
      <c r="C413" s="52" t="s">
        <v>261</v>
      </c>
      <c r="D413" s="85">
        <f>I413</f>
        <v>0.34090909090909088</v>
      </c>
      <c r="E413" s="86"/>
      <c r="F413" s="52" t="s">
        <v>260</v>
      </c>
      <c r="G413" s="88" t="s">
        <v>67</v>
      </c>
      <c r="H413" s="89">
        <f t="shared" si="20"/>
        <v>5</v>
      </c>
      <c r="I413" s="88">
        <f>IF([3]项目总工作量!B$6="交易类",H413*1.5/22,IF([3]项目总工作量!B$6="数据分析类",H413*1.5*0.9/22,IF([3]项目总工作量!B$6="流程管理类",H413*1.5*0.8/22,IF([3]项目总工作量!B$6="渠道类",H413*1.5*0.7/22,FALSE))))</f>
        <v>0.34090909090909088</v>
      </c>
      <c r="J413" s="88" t="s">
        <v>44</v>
      </c>
    </row>
    <row r="414" spans="1:10" s="41" customFormat="1" ht="12">
      <c r="A414" s="139" t="s">
        <v>41</v>
      </c>
      <c r="B414" s="139"/>
      <c r="C414" s="139"/>
      <c r="D414" s="36" t="e">
        <f>SUM(D4:D413)</f>
        <v>#REF!</v>
      </c>
      <c r="E414" s="36">
        <f>SUM(E4:E413)</f>
        <v>10.25</v>
      </c>
      <c r="F414" s="58"/>
      <c r="G414" s="58"/>
      <c r="H414" s="39">
        <f>SUM(H4:H413)</f>
        <v>1685</v>
      </c>
      <c r="I414" s="39" t="e">
        <f>SUM(I4:I413)</f>
        <v>#REF!</v>
      </c>
      <c r="J414" s="58"/>
    </row>
  </sheetData>
  <mergeCells count="36">
    <mergeCell ref="A414:C414"/>
    <mergeCell ref="A1:J1"/>
    <mergeCell ref="C239:C246"/>
    <mergeCell ref="A353:A394"/>
    <mergeCell ref="B353:B394"/>
    <mergeCell ref="C353:C394"/>
    <mergeCell ref="A4:A35"/>
    <mergeCell ref="B4:B35"/>
    <mergeCell ref="B36:B80"/>
    <mergeCell ref="A36:A80"/>
    <mergeCell ref="A81:A159"/>
    <mergeCell ref="A247:A352"/>
    <mergeCell ref="A395:A413"/>
    <mergeCell ref="A239:A246"/>
    <mergeCell ref="B239:B246"/>
    <mergeCell ref="C81:C95"/>
    <mergeCell ref="C234:C238"/>
    <mergeCell ref="B234:B238"/>
    <mergeCell ref="A234:A238"/>
    <mergeCell ref="C395:C403"/>
    <mergeCell ref="C404:C412"/>
    <mergeCell ref="C247:C352"/>
    <mergeCell ref="B247:B352"/>
    <mergeCell ref="B395:B413"/>
    <mergeCell ref="A161:A233"/>
    <mergeCell ref="B161:B233"/>
    <mergeCell ref="C161:C175"/>
    <mergeCell ref="C176:C222"/>
    <mergeCell ref="C223:C233"/>
    <mergeCell ref="B81:B160"/>
    <mergeCell ref="C104:C105"/>
    <mergeCell ref="C4:C32"/>
    <mergeCell ref="C64:C80"/>
    <mergeCell ref="C36:C63"/>
    <mergeCell ref="C33:C35"/>
    <mergeCell ref="C106:C160"/>
  </mergeCells>
  <phoneticPr fontId="2" type="noConversion"/>
  <conditionalFormatting sqref="E161:E233">
    <cfRule type="cellIs" dxfId="0" priority="1" stopIfTrue="1" operator="lessThan">
      <formula>0</formula>
    </cfRule>
  </conditionalFormatting>
  <dataValidations count="2">
    <dataValidation type="list" allowBlank="1" showInputMessage="1" showErrorMessage="1" sqref="G4:G416">
      <formula1>"EI,EQ,EO"</formula1>
    </dataValidation>
    <dataValidation type="list" allowBlank="1" showInputMessage="1" showErrorMessage="1" sqref="J4:J416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V25"/>
  <sheetViews>
    <sheetView workbookViewId="0">
      <pane ySplit="3" topLeftCell="A4" activePane="bottomLeft" state="frozen"/>
      <selection pane="bottomLeft" activeCell="E30" sqref="E30"/>
    </sheetView>
  </sheetViews>
  <sheetFormatPr defaultColWidth="9" defaultRowHeight="15.6"/>
  <cols>
    <col min="1" max="1" width="6.19921875" style="28" customWidth="1"/>
    <col min="2" max="2" width="32.19921875" style="28" customWidth="1"/>
    <col min="3" max="3" width="26.5" style="28" customWidth="1"/>
    <col min="4" max="4" width="8.69921875" style="61" customWidth="1"/>
    <col min="5" max="6" width="20.19921875" style="37" customWidth="1"/>
    <col min="7" max="7" width="12.5" style="28" customWidth="1"/>
    <col min="8" max="8" width="9.69921875" style="28" customWidth="1"/>
    <col min="9" max="16384" width="9" style="28"/>
  </cols>
  <sheetData>
    <row r="1" spans="1:256" ht="31.5" customHeight="1">
      <c r="A1" s="147" t="s">
        <v>6</v>
      </c>
      <c r="B1" s="147"/>
      <c r="C1" s="147"/>
      <c r="D1" s="147"/>
      <c r="E1" s="147"/>
      <c r="F1" s="147"/>
      <c r="G1" s="147"/>
      <c r="H1" s="147"/>
    </row>
    <row r="2" spans="1:256" s="30" customFormat="1" ht="34.5" customHeight="1">
      <c r="A2" s="29" t="s">
        <v>0</v>
      </c>
      <c r="B2" s="29" t="s">
        <v>1</v>
      </c>
      <c r="C2" s="29" t="s">
        <v>2</v>
      </c>
      <c r="D2" s="59" t="s">
        <v>50</v>
      </c>
      <c r="E2" s="75" t="s">
        <v>12</v>
      </c>
      <c r="F2" s="75" t="s">
        <v>13</v>
      </c>
      <c r="G2" s="76" t="s">
        <v>5</v>
      </c>
      <c r="H2" s="76" t="s">
        <v>63</v>
      </c>
    </row>
    <row r="3" spans="1:256" s="30" customFormat="1" ht="74.25" customHeight="1">
      <c r="A3" s="23"/>
      <c r="B3" s="31" t="s">
        <v>57</v>
      </c>
      <c r="C3" s="24" t="s">
        <v>47</v>
      </c>
      <c r="D3" s="63" t="s">
        <v>55</v>
      </c>
      <c r="E3" s="63" t="s">
        <v>55</v>
      </c>
      <c r="F3" s="35" t="s">
        <v>48</v>
      </c>
      <c r="G3" s="77" t="s">
        <v>46</v>
      </c>
      <c r="H3" s="77" t="s">
        <v>65</v>
      </c>
    </row>
    <row r="4" spans="1:256" s="80" customFormat="1" ht="16.95" customHeight="1">
      <c r="A4" s="83">
        <v>1</v>
      </c>
      <c r="B4" s="78" t="s">
        <v>468</v>
      </c>
      <c r="C4" s="78" t="s">
        <v>68</v>
      </c>
      <c r="D4" s="64">
        <f t="shared" ref="D4:D24" si="0">IF(C4="ILF",10,IF(C4="EIF",7,0))</f>
        <v>10</v>
      </c>
      <c r="E4" s="71">
        <f>IF(项目总工作量!$B$6="交易类",D4*1.5/22,IF(项目总工作量!$B$6="数据分析类",D4*1.5*0.9/22,IF(项目总工作量!$B$6="流程管理类",D4*1.5*0.8/22,IF(项目总工作量!$B$6="渠道类",FALSE))))</f>
        <v>0.68181818181818177</v>
      </c>
      <c r="F4" s="84">
        <v>1</v>
      </c>
      <c r="G4" s="81"/>
      <c r="H4" s="81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</row>
    <row r="5" spans="1:256" s="80" customFormat="1" ht="16.95" customHeight="1">
      <c r="A5" s="83">
        <v>2</v>
      </c>
      <c r="B5" s="78" t="s">
        <v>469</v>
      </c>
      <c r="C5" s="78" t="s">
        <v>68</v>
      </c>
      <c r="D5" s="64">
        <f t="shared" si="0"/>
        <v>10</v>
      </c>
      <c r="E5" s="71">
        <f>IF(项目总工作量!$B$6="交易类",D5*1.5/22,IF(项目总工作量!$B$6="数据分析类",D5*1.5*0.9/22,IF(项目总工作量!$B$6="流程管理类",D5*1.5*0.8/22,IF(项目总工作量!$B$6="渠道类",FALSE))))</f>
        <v>0.68181818181818177</v>
      </c>
      <c r="F5" s="84">
        <v>1</v>
      </c>
      <c r="G5" s="81"/>
      <c r="H5" s="81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</row>
    <row r="6" spans="1:256" s="80" customFormat="1" ht="16.95" customHeight="1">
      <c r="A6" s="83">
        <v>3</v>
      </c>
      <c r="B6" s="78" t="s">
        <v>470</v>
      </c>
      <c r="C6" s="78" t="s">
        <v>68</v>
      </c>
      <c r="D6" s="64">
        <f t="shared" si="0"/>
        <v>10</v>
      </c>
      <c r="E6" s="71">
        <f>IF(项目总工作量!$B$6="交易类",D6*1.5/22,IF(项目总工作量!$B$6="数据分析类",D6*1.5*0.9/22,IF(项目总工作量!$B$6="流程管理类",D6*1.5*0.8/22,IF(项目总工作量!$B$6="渠道类",FALSE))))</f>
        <v>0.68181818181818177</v>
      </c>
      <c r="F6" s="84">
        <v>1</v>
      </c>
      <c r="G6" s="81"/>
      <c r="H6" s="81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</row>
    <row r="7" spans="1:256" s="80" customFormat="1" ht="16.95" customHeight="1">
      <c r="A7" s="83">
        <v>4</v>
      </c>
      <c r="B7" s="78" t="s">
        <v>471</v>
      </c>
      <c r="C7" s="78" t="s">
        <v>68</v>
      </c>
      <c r="D7" s="64">
        <f t="shared" si="0"/>
        <v>10</v>
      </c>
      <c r="E7" s="71">
        <f>IF(项目总工作量!$B$6="交易类",D7*1.5/22,IF(项目总工作量!$B$6="数据分析类",D7*1.5*0.9/22,IF(项目总工作量!$B$6="流程管理类",D7*1.5*0.8/22,IF(项目总工作量!$B$6="渠道类",FALSE))))</f>
        <v>0.68181818181818177</v>
      </c>
      <c r="F7" s="84">
        <v>1</v>
      </c>
      <c r="G7" s="81"/>
      <c r="H7" s="81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</row>
    <row r="8" spans="1:256" s="80" customFormat="1" ht="16.95" customHeight="1">
      <c r="A8" s="83">
        <v>5</v>
      </c>
      <c r="B8" s="78" t="s">
        <v>472</v>
      </c>
      <c r="C8" s="78" t="s">
        <v>68</v>
      </c>
      <c r="D8" s="64">
        <f t="shared" si="0"/>
        <v>10</v>
      </c>
      <c r="E8" s="71">
        <f>IF(项目总工作量!$B$6="交易类",D8*1.5/22,IF(项目总工作量!$B$6="数据分析类",D8*1.5*0.9/22,IF(项目总工作量!$B$6="流程管理类",D8*1.5*0.8/22,IF(项目总工作量!$B$6="渠道类",FALSE))))</f>
        <v>0.68181818181818177</v>
      </c>
      <c r="F8" s="84">
        <v>1</v>
      </c>
      <c r="G8" s="81"/>
      <c r="H8" s="81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</row>
    <row r="9" spans="1:256" s="80" customFormat="1" ht="16.95" customHeight="1">
      <c r="A9" s="83">
        <v>6</v>
      </c>
      <c r="B9" s="78" t="s">
        <v>473</v>
      </c>
      <c r="C9" s="78" t="s">
        <v>68</v>
      </c>
      <c r="D9" s="64">
        <f t="shared" si="0"/>
        <v>10</v>
      </c>
      <c r="E9" s="71">
        <f>IF(项目总工作量!$B$6="交易类",D9*1.5/22,IF(项目总工作量!$B$6="数据分析类",D9*1.5*0.9/22,IF(项目总工作量!$B$6="流程管理类",D9*1.5*0.8/22,IF(项目总工作量!$B$6="渠道类",FALSE))))</f>
        <v>0.68181818181818177</v>
      </c>
      <c r="F9" s="84">
        <v>1</v>
      </c>
      <c r="G9" s="81"/>
      <c r="H9" s="81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</row>
    <row r="10" spans="1:256" s="80" customFormat="1" ht="16.95" customHeight="1">
      <c r="A10" s="83">
        <v>7</v>
      </c>
      <c r="B10" s="78" t="s">
        <v>474</v>
      </c>
      <c r="C10" s="78" t="s">
        <v>68</v>
      </c>
      <c r="D10" s="64">
        <f t="shared" si="0"/>
        <v>10</v>
      </c>
      <c r="E10" s="71">
        <f>IF(项目总工作量!$B$6="交易类",D10*1.5/22,IF(项目总工作量!$B$6="数据分析类",D10*1.5*0.9/22,IF(项目总工作量!$B$6="流程管理类",D10*1.5*0.8/22,IF(项目总工作量!$B$6="渠道类",FALSE))))</f>
        <v>0.68181818181818177</v>
      </c>
      <c r="F10" s="84">
        <v>1</v>
      </c>
      <c r="G10" s="81"/>
      <c r="H10" s="81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</row>
    <row r="11" spans="1:256" s="80" customFormat="1" ht="16.95" customHeight="1">
      <c r="A11" s="83">
        <v>8</v>
      </c>
      <c r="B11" s="78" t="s">
        <v>475</v>
      </c>
      <c r="C11" s="78" t="s">
        <v>68</v>
      </c>
      <c r="D11" s="64">
        <f t="shared" si="0"/>
        <v>10</v>
      </c>
      <c r="E11" s="71">
        <f>IF(项目总工作量!$B$6="交易类",D11*1.5/22,IF(项目总工作量!$B$6="数据分析类",D11*1.5*0.9/22,IF(项目总工作量!$B$6="流程管理类",D11*1.5*0.8/22,IF(项目总工作量!$B$6="渠道类",FALSE))))</f>
        <v>0.68181818181818177</v>
      </c>
      <c r="F11" s="84">
        <v>1</v>
      </c>
      <c r="G11" s="81"/>
      <c r="H11" s="81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</row>
    <row r="12" spans="1:256" s="80" customFormat="1" ht="16.95" customHeight="1">
      <c r="A12" s="83">
        <v>9</v>
      </c>
      <c r="B12" s="78" t="s">
        <v>476</v>
      </c>
      <c r="C12" s="78" t="s">
        <v>68</v>
      </c>
      <c r="D12" s="64">
        <f t="shared" si="0"/>
        <v>10</v>
      </c>
      <c r="E12" s="71">
        <f>IF(项目总工作量!$B$6="交易类",D12*1.5/22,IF(项目总工作量!$B$6="数据分析类",D12*1.5*0.9/22,IF(项目总工作量!$B$6="流程管理类",D12*1.5*0.8/22,IF(项目总工作量!$B$6="渠道类",FALSE))))</f>
        <v>0.68181818181818177</v>
      </c>
      <c r="F12" s="84">
        <v>1</v>
      </c>
      <c r="G12" s="81"/>
      <c r="H12" s="81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</row>
    <row r="13" spans="1:256" s="80" customFormat="1" ht="16.95" customHeight="1">
      <c r="A13" s="83">
        <v>10</v>
      </c>
      <c r="B13" s="78" t="s">
        <v>477</v>
      </c>
      <c r="C13" s="78" t="s">
        <v>68</v>
      </c>
      <c r="D13" s="64">
        <f t="shared" si="0"/>
        <v>10</v>
      </c>
      <c r="E13" s="71">
        <f>IF(项目总工作量!$B$6="交易类",D13*1.5/22,IF(项目总工作量!$B$6="数据分析类",D13*1.5*0.9/22,IF(项目总工作量!$B$6="流程管理类",D13*1.5*0.8/22,IF(项目总工作量!$B$6="渠道类",FALSE))))</f>
        <v>0.68181818181818177</v>
      </c>
      <c r="F13" s="84">
        <v>1</v>
      </c>
      <c r="G13" s="81"/>
      <c r="H13" s="81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</row>
    <row r="14" spans="1:256" s="80" customFormat="1" ht="16.95" customHeight="1">
      <c r="A14" s="83">
        <v>11</v>
      </c>
      <c r="B14" s="78" t="s">
        <v>478</v>
      </c>
      <c r="C14" s="78" t="s">
        <v>68</v>
      </c>
      <c r="D14" s="64">
        <f t="shared" si="0"/>
        <v>10</v>
      </c>
      <c r="E14" s="71">
        <f>IF(项目总工作量!$B$6="交易类",D14*1.5/22,IF(项目总工作量!$B$6="数据分析类",D14*1.5*0.9/22,IF(项目总工作量!$B$6="流程管理类",D14*1.5*0.8/22,IF(项目总工作量!$B$6="渠道类",FALSE))))</f>
        <v>0.68181818181818177</v>
      </c>
      <c r="F14" s="84">
        <v>1</v>
      </c>
      <c r="G14" s="81"/>
      <c r="H14" s="81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</row>
    <row r="15" spans="1:256" s="80" customFormat="1" ht="16.95" customHeight="1">
      <c r="A15" s="83">
        <v>12</v>
      </c>
      <c r="B15" s="78" t="s">
        <v>479</v>
      </c>
      <c r="C15" s="78" t="s">
        <v>68</v>
      </c>
      <c r="D15" s="64">
        <f t="shared" si="0"/>
        <v>10</v>
      </c>
      <c r="E15" s="71">
        <f>IF(项目总工作量!$B$6="交易类",D15*1.5/22,IF(项目总工作量!$B$6="数据分析类",D15*1.5*0.9/22,IF(项目总工作量!$B$6="流程管理类",D15*1.5*0.8/22,IF(项目总工作量!$B$6="渠道类",FALSE))))</f>
        <v>0.68181818181818177</v>
      </c>
      <c r="F15" s="84">
        <v>1</v>
      </c>
      <c r="G15" s="81"/>
      <c r="H15" s="81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</row>
    <row r="16" spans="1:256" s="80" customFormat="1" ht="16.95" customHeight="1">
      <c r="A16" s="83">
        <v>13</v>
      </c>
      <c r="B16" s="78" t="s">
        <v>480</v>
      </c>
      <c r="C16" s="78" t="s">
        <v>68</v>
      </c>
      <c r="D16" s="64">
        <f t="shared" si="0"/>
        <v>10</v>
      </c>
      <c r="E16" s="71">
        <f>IF(项目总工作量!$B$6="交易类",D16*1.5/22,IF(项目总工作量!$B$6="数据分析类",D16*1.5*0.9/22,IF(项目总工作量!$B$6="流程管理类",D16*1.5*0.8/22,IF(项目总工作量!$B$6="渠道类",FALSE))))</f>
        <v>0.68181818181818177</v>
      </c>
      <c r="F16" s="84">
        <v>1</v>
      </c>
      <c r="G16" s="81"/>
      <c r="H16" s="81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</row>
    <row r="17" spans="1:256" s="80" customFormat="1" ht="16.95" customHeight="1">
      <c r="A17" s="83">
        <v>14</v>
      </c>
      <c r="B17" s="78" t="s">
        <v>481</v>
      </c>
      <c r="C17" s="78" t="s">
        <v>68</v>
      </c>
      <c r="D17" s="64">
        <f t="shared" si="0"/>
        <v>10</v>
      </c>
      <c r="E17" s="71">
        <f>IF(项目总工作量!$B$6="交易类",D17*1.5/22,IF(项目总工作量!$B$6="数据分析类",D17*1.5*0.9/22,IF(项目总工作量!$B$6="流程管理类",D17*1.5*0.8/22,IF(项目总工作量!$B$6="渠道类",FALSE))))</f>
        <v>0.68181818181818177</v>
      </c>
      <c r="F17" s="84">
        <v>1</v>
      </c>
      <c r="G17" s="81"/>
      <c r="H17" s="81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</row>
    <row r="18" spans="1:256" s="80" customFormat="1" ht="16.95" customHeight="1">
      <c r="A18" s="83">
        <v>15</v>
      </c>
      <c r="B18" s="78" t="s">
        <v>482</v>
      </c>
      <c r="C18" s="78" t="s">
        <v>68</v>
      </c>
      <c r="D18" s="64">
        <f t="shared" si="0"/>
        <v>10</v>
      </c>
      <c r="E18" s="71">
        <f>IF(项目总工作量!$B$6="交易类",D18*1.5/22,IF(项目总工作量!$B$6="数据分析类",D18*1.5*0.9/22,IF(项目总工作量!$B$6="流程管理类",D18*1.5*0.8/22,IF(项目总工作量!$B$6="渠道类",FALSE))))</f>
        <v>0.68181818181818177</v>
      </c>
      <c r="F18" s="84">
        <v>1</v>
      </c>
      <c r="G18" s="81"/>
      <c r="H18" s="81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</row>
    <row r="19" spans="1:256" s="80" customFormat="1" ht="16.95" customHeight="1">
      <c r="A19" s="83">
        <v>16</v>
      </c>
      <c r="B19" s="78" t="s">
        <v>483</v>
      </c>
      <c r="C19" s="78" t="s">
        <v>68</v>
      </c>
      <c r="D19" s="64">
        <f t="shared" si="0"/>
        <v>10</v>
      </c>
      <c r="E19" s="71">
        <f>IF(项目总工作量!$B$6="交易类",D19*1.5/22,IF(项目总工作量!$B$6="数据分析类",D19*1.5*0.9/22,IF(项目总工作量!$B$6="流程管理类",D19*1.5*0.8/22,IF(项目总工作量!$B$6="渠道类",FALSE))))</f>
        <v>0.68181818181818177</v>
      </c>
      <c r="F19" s="84">
        <v>1</v>
      </c>
      <c r="G19" s="81"/>
      <c r="H19" s="81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</row>
    <row r="20" spans="1:256" s="80" customFormat="1" ht="16.95" customHeight="1">
      <c r="A20" s="83">
        <v>17</v>
      </c>
      <c r="B20" s="78" t="s">
        <v>484</v>
      </c>
      <c r="C20" s="78" t="s">
        <v>68</v>
      </c>
      <c r="D20" s="64">
        <f t="shared" si="0"/>
        <v>10</v>
      </c>
      <c r="E20" s="71">
        <f>IF(项目总工作量!$B$6="交易类",D20*1.5/22,IF(项目总工作量!$B$6="数据分析类",D20*1.5*0.9/22,IF(项目总工作量!$B$6="流程管理类",D20*1.5*0.8/22,IF(项目总工作量!$B$6="渠道类",FALSE))))</f>
        <v>0.68181818181818177</v>
      </c>
      <c r="F20" s="84">
        <v>1</v>
      </c>
      <c r="G20" s="81"/>
      <c r="H20" s="81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</row>
    <row r="21" spans="1:256" s="80" customFormat="1" ht="16.95" customHeight="1">
      <c r="A21" s="83">
        <v>18</v>
      </c>
      <c r="B21" s="82" t="s">
        <v>485</v>
      </c>
      <c r="C21" s="81" t="s">
        <v>68</v>
      </c>
      <c r="D21" s="64">
        <f t="shared" si="0"/>
        <v>10</v>
      </c>
      <c r="E21" s="71">
        <f>IF(项目总工作量!$B$6="交易类",D21*1.5/22,IF(项目总工作量!$B$6="数据分析类",D21*1.5*0.9/22,IF(项目总工作量!$B$6="流程管理类",D21*1.5*0.8/22,IF(项目总工作量!$B$6="渠道类",FALSE))))</f>
        <v>0.68181818181818177</v>
      </c>
      <c r="F21" s="84">
        <v>1</v>
      </c>
      <c r="G21" s="81"/>
      <c r="H21" s="81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</row>
    <row r="22" spans="1:256" s="40" customFormat="1" ht="12">
      <c r="A22" s="42"/>
      <c r="B22" s="42"/>
      <c r="C22" s="42"/>
      <c r="D22" s="64">
        <f t="shared" si="0"/>
        <v>0</v>
      </c>
      <c r="E22" s="67">
        <f>IF(项目总工作量!$B$6="交易类",D22*1.5/22,IF(项目总工作量!$B$6="数据分析类",D22*1.5*0.9/22,IF(项目总工作量!$B$6="流程管理类",D22*1.5*0.8/22,IF(项目总工作量!$B$6="渠道类",FALSE))))</f>
        <v>0</v>
      </c>
      <c r="F22" s="38"/>
      <c r="G22" s="42"/>
      <c r="H22" s="62"/>
    </row>
    <row r="23" spans="1:256" s="40" customFormat="1" ht="12">
      <c r="A23" s="42"/>
      <c r="B23" s="42"/>
      <c r="C23" s="42"/>
      <c r="D23" s="64">
        <f t="shared" si="0"/>
        <v>0</v>
      </c>
      <c r="E23" s="67">
        <f>IF(项目总工作量!$B$6="交易类",D23*1.5/22,IF(项目总工作量!$B$6="数据分析类",D23*1.5*0.9/22,IF(项目总工作量!$B$6="流程管理类",D23*1.5*0.8/22,IF(项目总工作量!$B$6="渠道类",FALSE))))</f>
        <v>0</v>
      </c>
      <c r="F23" s="38"/>
      <c r="G23" s="42"/>
      <c r="H23" s="62"/>
    </row>
    <row r="24" spans="1:256" s="40" customFormat="1" ht="12">
      <c r="A24" s="42"/>
      <c r="B24" s="42"/>
      <c r="C24" s="42"/>
      <c r="D24" s="64">
        <f t="shared" si="0"/>
        <v>0</v>
      </c>
      <c r="E24" s="67">
        <f>IF(项目总工作量!$B$6="交易类",D24*1.5/22,IF(项目总工作量!$B$6="数据分析类",D24*1.5*0.9/22,IF(项目总工作量!$B$6="流程管理类",D24*1.5*0.8/22,IF(项目总工作量!$B$6="渠道类",FALSE))))</f>
        <v>0</v>
      </c>
      <c r="F24" s="38"/>
      <c r="G24" s="42"/>
      <c r="H24" s="62"/>
    </row>
    <row r="25" spans="1:256" s="40" customFormat="1" ht="12">
      <c r="A25" s="145" t="s">
        <v>42</v>
      </c>
      <c r="B25" s="146"/>
      <c r="C25" s="146"/>
      <c r="D25" s="60">
        <f>SUM(D4:D24)</f>
        <v>180</v>
      </c>
      <c r="E25" s="36">
        <f>SUM(E4:E24)</f>
        <v>12.272727272727272</v>
      </c>
      <c r="F25" s="36">
        <f>SUM(F4:F24)</f>
        <v>18</v>
      </c>
      <c r="G25" s="39"/>
      <c r="H25" s="39"/>
    </row>
  </sheetData>
  <mergeCells count="2">
    <mergeCell ref="A25:C25"/>
    <mergeCell ref="A1:H1"/>
  </mergeCells>
  <phoneticPr fontId="2" type="noConversion"/>
  <dataValidations count="2">
    <dataValidation type="list" allowBlank="1" showInputMessage="1" showErrorMessage="1" sqref="C4:C24">
      <formula1>"ILF,EIF"</formula1>
    </dataValidation>
    <dataValidation type="list" allowBlank="1" showInputMessage="1" showErrorMessage="1" sqref="G4:G24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30"/>
  <sheetViews>
    <sheetView workbookViewId="0">
      <selection activeCell="L20" sqref="L20"/>
    </sheetView>
  </sheetViews>
  <sheetFormatPr defaultColWidth="9" defaultRowHeight="12"/>
  <cols>
    <col min="1" max="1" width="7.796875" style="43" customWidth="1"/>
    <col min="2" max="2" width="16.69921875" style="56" customWidth="1"/>
    <col min="3" max="3" width="19.19921875" style="56" customWidth="1"/>
    <col min="4" max="4" width="19.69921875" style="56" customWidth="1"/>
    <col min="5" max="5" width="21.19921875" style="43" customWidth="1"/>
    <col min="6" max="6" width="20.69921875" style="43" customWidth="1"/>
    <col min="7" max="7" width="13.69921875" style="43" customWidth="1"/>
    <col min="8" max="16384" width="9" style="43"/>
  </cols>
  <sheetData>
    <row r="1" spans="1:9" ht="38.25" customHeight="1">
      <c r="A1" s="148" t="s">
        <v>10</v>
      </c>
      <c r="B1" s="148"/>
      <c r="C1" s="148"/>
      <c r="D1" s="148"/>
      <c r="E1" s="148"/>
      <c r="F1" s="148"/>
      <c r="G1" s="148"/>
    </row>
    <row r="2" spans="1:9" ht="24">
      <c r="A2" s="20" t="s">
        <v>43</v>
      </c>
      <c r="B2" s="20" t="s">
        <v>11</v>
      </c>
      <c r="C2" s="20" t="s">
        <v>25</v>
      </c>
      <c r="D2" s="20" t="s">
        <v>26</v>
      </c>
      <c r="E2" s="20" t="s">
        <v>12</v>
      </c>
      <c r="F2" s="20" t="s">
        <v>13</v>
      </c>
      <c r="G2" s="20" t="s">
        <v>23</v>
      </c>
    </row>
    <row r="3" spans="1:9" ht="60">
      <c r="A3" s="152">
        <v>1</v>
      </c>
      <c r="B3" s="153" t="s">
        <v>491</v>
      </c>
      <c r="C3" s="44" t="s">
        <v>492</v>
      </c>
      <c r="D3" s="44" t="s">
        <v>493</v>
      </c>
      <c r="E3" s="45">
        <v>0.6</v>
      </c>
      <c r="F3" s="45">
        <v>1</v>
      </c>
      <c r="G3" s="46">
        <f>SUM(E3:F3)</f>
        <v>1.6</v>
      </c>
      <c r="H3" s="47"/>
      <c r="I3" s="48"/>
    </row>
    <row r="4" spans="1:9" ht="24">
      <c r="A4" s="152"/>
      <c r="B4" s="153"/>
      <c r="C4" s="44" t="s">
        <v>494</v>
      </c>
      <c r="D4" s="44" t="s">
        <v>495</v>
      </c>
      <c r="E4" s="45">
        <v>3</v>
      </c>
      <c r="F4" s="45"/>
      <c r="G4" s="46">
        <f t="shared" ref="G4:G6" si="0">SUM(E4:F4)</f>
        <v>3</v>
      </c>
      <c r="H4" s="47"/>
    </row>
    <row r="5" spans="1:9" ht="13.2">
      <c r="A5" s="152"/>
      <c r="B5" s="153"/>
      <c r="C5" s="44" t="s">
        <v>496</v>
      </c>
      <c r="D5" s="44" t="s">
        <v>497</v>
      </c>
      <c r="E5" s="45">
        <v>2</v>
      </c>
      <c r="F5" s="45"/>
      <c r="G5" s="46">
        <f t="shared" si="0"/>
        <v>2</v>
      </c>
      <c r="H5" s="47"/>
    </row>
    <row r="6" spans="1:9" ht="36">
      <c r="A6" s="152"/>
      <c r="B6" s="153"/>
      <c r="C6" s="44" t="s">
        <v>498</v>
      </c>
      <c r="D6" s="44" t="s">
        <v>499</v>
      </c>
      <c r="E6" s="45">
        <v>1</v>
      </c>
      <c r="F6" s="45"/>
      <c r="G6" s="46">
        <f t="shared" si="0"/>
        <v>1</v>
      </c>
      <c r="H6" s="47"/>
    </row>
    <row r="7" spans="1:9" ht="24">
      <c r="A7" s="152">
        <v>2</v>
      </c>
      <c r="B7" s="153" t="s">
        <v>500</v>
      </c>
      <c r="C7" s="44" t="s">
        <v>501</v>
      </c>
      <c r="D7" s="44" t="s">
        <v>502</v>
      </c>
      <c r="E7" s="45">
        <v>1</v>
      </c>
      <c r="F7" s="45"/>
      <c r="G7" s="46">
        <f>SUM(E7:F7)</f>
        <v>1</v>
      </c>
      <c r="H7" s="47"/>
      <c r="I7" s="48"/>
    </row>
    <row r="8" spans="1:9" ht="24">
      <c r="A8" s="152"/>
      <c r="B8" s="153"/>
      <c r="C8" s="44" t="s">
        <v>503</v>
      </c>
      <c r="D8" s="44" t="s">
        <v>504</v>
      </c>
      <c r="E8" s="45">
        <v>3</v>
      </c>
      <c r="F8" s="45"/>
      <c r="G8" s="46">
        <f t="shared" ref="G8:G28" si="1">SUM(E8:F8)</f>
        <v>3</v>
      </c>
      <c r="H8" s="47"/>
    </row>
    <row r="9" spans="1:9" ht="24">
      <c r="A9" s="152"/>
      <c r="B9" s="153"/>
      <c r="C9" s="44" t="s">
        <v>505</v>
      </c>
      <c r="D9" s="44" t="s">
        <v>506</v>
      </c>
      <c r="E9" s="45">
        <v>2</v>
      </c>
      <c r="F9" s="45"/>
      <c r="G9" s="46">
        <f t="shared" si="1"/>
        <v>2</v>
      </c>
      <c r="H9" s="47"/>
    </row>
    <row r="10" spans="1:9" ht="24">
      <c r="A10" s="152"/>
      <c r="B10" s="153"/>
      <c r="C10" s="44" t="s">
        <v>507</v>
      </c>
      <c r="D10" s="44" t="s">
        <v>508</v>
      </c>
      <c r="E10" s="45">
        <v>1</v>
      </c>
      <c r="F10" s="45"/>
      <c r="G10" s="46">
        <f t="shared" si="1"/>
        <v>1</v>
      </c>
      <c r="H10" s="47"/>
    </row>
    <row r="11" spans="1:9" ht="24">
      <c r="A11" s="152"/>
      <c r="B11" s="153"/>
      <c r="C11" s="44" t="s">
        <v>509</v>
      </c>
      <c r="D11" s="44" t="s">
        <v>510</v>
      </c>
      <c r="E11" s="45">
        <v>2</v>
      </c>
      <c r="F11" s="49"/>
      <c r="G11" s="46">
        <f t="shared" si="1"/>
        <v>2</v>
      </c>
      <c r="H11" s="50"/>
    </row>
    <row r="12" spans="1:9" ht="13.95" customHeight="1">
      <c r="A12" s="152"/>
      <c r="B12" s="153"/>
      <c r="C12" s="44" t="s">
        <v>511</v>
      </c>
      <c r="D12" s="44" t="s">
        <v>512</v>
      </c>
      <c r="E12" s="45">
        <v>1</v>
      </c>
      <c r="F12" s="49"/>
      <c r="G12" s="46">
        <f t="shared" si="1"/>
        <v>1</v>
      </c>
      <c r="H12" s="50"/>
    </row>
    <row r="13" spans="1:9" ht="13.95" customHeight="1">
      <c r="A13" s="152"/>
      <c r="B13" s="153"/>
      <c r="C13" s="44" t="s">
        <v>513</v>
      </c>
      <c r="D13" s="44"/>
      <c r="E13" s="45">
        <v>1</v>
      </c>
      <c r="F13" s="49"/>
      <c r="G13" s="46">
        <f t="shared" si="1"/>
        <v>1</v>
      </c>
      <c r="H13" s="50"/>
    </row>
    <row r="14" spans="1:9" ht="13.95" customHeight="1">
      <c r="A14" s="152"/>
      <c r="B14" s="153"/>
      <c r="C14" s="44" t="s">
        <v>514</v>
      </c>
      <c r="D14" s="44"/>
      <c r="E14" s="45">
        <v>1</v>
      </c>
      <c r="F14" s="49"/>
      <c r="G14" s="46">
        <f t="shared" si="1"/>
        <v>1</v>
      </c>
      <c r="H14" s="50"/>
    </row>
    <row r="15" spans="1:9" ht="13.95" customHeight="1">
      <c r="A15" s="152"/>
      <c r="B15" s="153"/>
      <c r="C15" s="44" t="s">
        <v>515</v>
      </c>
      <c r="D15" s="44"/>
      <c r="E15" s="45">
        <v>1</v>
      </c>
      <c r="F15" s="49"/>
      <c r="G15" s="46">
        <f t="shared" si="1"/>
        <v>1</v>
      </c>
      <c r="H15" s="50"/>
      <c r="I15" s="51"/>
    </row>
    <row r="16" spans="1:9" ht="13.95" customHeight="1">
      <c r="A16" s="152"/>
      <c r="B16" s="153"/>
      <c r="C16" s="44" t="s">
        <v>516</v>
      </c>
      <c r="D16" s="44"/>
      <c r="E16" s="45">
        <v>1</v>
      </c>
      <c r="F16" s="49"/>
      <c r="G16" s="46">
        <f t="shared" si="1"/>
        <v>1</v>
      </c>
      <c r="H16" s="50"/>
    </row>
    <row r="17" spans="1:10" ht="13.95" customHeight="1">
      <c r="A17" s="152"/>
      <c r="B17" s="153"/>
      <c r="C17" s="44" t="s">
        <v>517</v>
      </c>
      <c r="D17" s="44"/>
      <c r="E17" s="45">
        <v>1</v>
      </c>
      <c r="F17" s="49"/>
      <c r="G17" s="46">
        <f t="shared" si="1"/>
        <v>1</v>
      </c>
      <c r="H17" s="50"/>
    </row>
    <row r="18" spans="1:10" ht="13.95" customHeight="1">
      <c r="A18" s="152"/>
      <c r="B18" s="153"/>
      <c r="C18" s="44" t="s">
        <v>518</v>
      </c>
      <c r="D18" s="44"/>
      <c r="E18" s="45">
        <v>1</v>
      </c>
      <c r="F18" s="49"/>
      <c r="G18" s="46">
        <f t="shared" si="1"/>
        <v>1</v>
      </c>
      <c r="H18" s="50"/>
    </row>
    <row r="19" spans="1:10" ht="13.95" customHeight="1">
      <c r="A19" s="152"/>
      <c r="B19" s="153"/>
      <c r="C19" s="44" t="s">
        <v>519</v>
      </c>
      <c r="D19" s="44"/>
      <c r="E19" s="45">
        <v>1</v>
      </c>
      <c r="F19" s="49"/>
      <c r="G19" s="46">
        <f t="shared" si="1"/>
        <v>1</v>
      </c>
      <c r="H19" s="50"/>
    </row>
    <row r="20" spans="1:10" ht="13.95" customHeight="1">
      <c r="A20" s="152"/>
      <c r="B20" s="153"/>
      <c r="C20" s="44" t="s">
        <v>520</v>
      </c>
      <c r="D20" s="44"/>
      <c r="E20" s="45">
        <v>2</v>
      </c>
      <c r="F20" s="49"/>
      <c r="G20" s="46">
        <f t="shared" si="1"/>
        <v>2</v>
      </c>
      <c r="H20" s="50"/>
      <c r="I20" s="51"/>
    </row>
    <row r="21" spans="1:10" ht="13.95" customHeight="1">
      <c r="A21" s="152"/>
      <c r="B21" s="153"/>
      <c r="C21" s="44" t="s">
        <v>521</v>
      </c>
      <c r="D21" s="44"/>
      <c r="E21" s="45">
        <v>1</v>
      </c>
      <c r="F21" s="49"/>
      <c r="G21" s="46">
        <f t="shared" si="1"/>
        <v>1</v>
      </c>
      <c r="H21" s="50"/>
    </row>
    <row r="22" spans="1:10" ht="13.95" customHeight="1">
      <c r="A22" s="152"/>
      <c r="B22" s="153"/>
      <c r="C22" s="44" t="s">
        <v>522</v>
      </c>
      <c r="D22" s="44"/>
      <c r="E22" s="45">
        <v>1</v>
      </c>
      <c r="F22" s="49"/>
      <c r="G22" s="46">
        <f t="shared" si="1"/>
        <v>1</v>
      </c>
      <c r="H22" s="50"/>
    </row>
    <row r="23" spans="1:10" ht="30" customHeight="1">
      <c r="A23" s="152"/>
      <c r="B23" s="153"/>
      <c r="C23" s="44" t="s">
        <v>523</v>
      </c>
      <c r="D23" s="44" t="s">
        <v>524</v>
      </c>
      <c r="E23" s="45">
        <v>1</v>
      </c>
      <c r="F23" s="49"/>
      <c r="G23" s="46">
        <f t="shared" si="1"/>
        <v>1</v>
      </c>
      <c r="H23" s="50"/>
    </row>
    <row r="24" spans="1:10" ht="24">
      <c r="A24" s="152">
        <v>3</v>
      </c>
      <c r="B24" s="153" t="s">
        <v>525</v>
      </c>
      <c r="C24" s="44" t="s">
        <v>526</v>
      </c>
      <c r="D24" s="44" t="s">
        <v>527</v>
      </c>
      <c r="E24" s="45">
        <v>3</v>
      </c>
      <c r="F24" s="49"/>
      <c r="G24" s="46">
        <f t="shared" si="1"/>
        <v>3</v>
      </c>
      <c r="H24" s="50"/>
    </row>
    <row r="25" spans="1:10" ht="24">
      <c r="A25" s="152"/>
      <c r="B25" s="153"/>
      <c r="C25" s="44" t="s">
        <v>528</v>
      </c>
      <c r="D25" s="44" t="s">
        <v>529</v>
      </c>
      <c r="E25" s="45">
        <v>2</v>
      </c>
      <c r="F25" s="49"/>
      <c r="G25" s="46">
        <f t="shared" si="1"/>
        <v>2</v>
      </c>
      <c r="H25" s="50"/>
    </row>
    <row r="26" spans="1:10" ht="24">
      <c r="A26" s="152">
        <v>4</v>
      </c>
      <c r="B26" s="153" t="s">
        <v>530</v>
      </c>
      <c r="C26" s="44" t="s">
        <v>531</v>
      </c>
      <c r="D26" s="52" t="s">
        <v>532</v>
      </c>
      <c r="E26" s="53">
        <v>4</v>
      </c>
      <c r="F26" s="53"/>
      <c r="G26" s="46">
        <f t="shared" si="1"/>
        <v>4</v>
      </c>
      <c r="H26" s="50"/>
      <c r="I26" s="47"/>
      <c r="J26" s="51"/>
    </row>
    <row r="27" spans="1:10" ht="13.2">
      <c r="A27" s="152"/>
      <c r="B27" s="153"/>
      <c r="C27" s="44" t="s">
        <v>533</v>
      </c>
      <c r="D27" s="52" t="s">
        <v>534</v>
      </c>
      <c r="E27" s="53">
        <v>2</v>
      </c>
      <c r="F27" s="53"/>
      <c r="G27" s="46">
        <f t="shared" si="1"/>
        <v>2</v>
      </c>
      <c r="H27" s="50"/>
      <c r="I27" s="51"/>
    </row>
    <row r="28" spans="1:10" ht="24">
      <c r="A28" s="152"/>
      <c r="B28" s="153"/>
      <c r="C28" s="44" t="s">
        <v>535</v>
      </c>
      <c r="D28" s="44" t="s">
        <v>536</v>
      </c>
      <c r="E28" s="45">
        <v>3</v>
      </c>
      <c r="F28" s="49"/>
      <c r="G28" s="46">
        <f t="shared" si="1"/>
        <v>3</v>
      </c>
      <c r="H28" s="50"/>
      <c r="I28" s="51"/>
    </row>
    <row r="29" spans="1:10" ht="14.25" customHeight="1">
      <c r="A29" s="149" t="s">
        <v>14</v>
      </c>
      <c r="B29" s="150"/>
      <c r="C29" s="150"/>
      <c r="D29" s="151"/>
      <c r="E29" s="54">
        <f>SUM(E3:E28)</f>
        <v>42.6</v>
      </c>
      <c r="F29" s="54">
        <f>SUM(F3:F28)</f>
        <v>1</v>
      </c>
      <c r="G29" s="55">
        <f>SUM(E29:F29)</f>
        <v>43.6</v>
      </c>
      <c r="H29" s="50"/>
    </row>
    <row r="30" spans="1:10" ht="13.2">
      <c r="H30" s="57"/>
    </row>
  </sheetData>
  <mergeCells count="10">
    <mergeCell ref="A1:G1"/>
    <mergeCell ref="A29:D29"/>
    <mergeCell ref="A3:A6"/>
    <mergeCell ref="B3:B6"/>
    <mergeCell ref="A7:A23"/>
    <mergeCell ref="B7:B23"/>
    <mergeCell ref="A24:A25"/>
    <mergeCell ref="B24:B25"/>
    <mergeCell ref="A26:A28"/>
    <mergeCell ref="B26:B28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项目总工作量</vt:lpstr>
      <vt:lpstr>事务功能</vt:lpstr>
      <vt:lpstr>数据功能</vt:lpstr>
      <vt:lpstr>非功能点估算表</vt:lpstr>
      <vt:lpstr>DType</vt:lpstr>
      <vt:lpstr>FPRating</vt:lpstr>
      <vt:lpstr>TType</vt:lpstr>
    </vt:vector>
  </TitlesOfParts>
  <Company>suiji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</dc:creator>
  <cp:lastModifiedBy>Gavin Zheng</cp:lastModifiedBy>
  <dcterms:created xsi:type="dcterms:W3CDTF">2008-05-29T08:25:26Z</dcterms:created>
  <dcterms:modified xsi:type="dcterms:W3CDTF">2018-05-18T09:43:03Z</dcterms:modified>
</cp:coreProperties>
</file>